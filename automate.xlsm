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Data Analysis\PORTFOLIO\"/>
    </mc:Choice>
  </mc:AlternateContent>
  <xr:revisionPtr revIDLastSave="0" documentId="13_ncr:1_{36A30DBA-F205-4BF8-8907-8F700009C82C}" xr6:coauthVersionLast="47" xr6:coauthVersionMax="47" xr10:uidLastSave="{00000000-0000-0000-0000-000000000000}"/>
  <bookViews>
    <workbookView xWindow="-108" yWindow="-108" windowWidth="23256" windowHeight="12576" activeTab="5" xr2:uid="{DED47B77-A52A-4FF0-BA4F-04F63D6A855E}"/>
  </bookViews>
  <sheets>
    <sheet name="Entry_Sheet" sheetId="2" r:id="rId1"/>
    <sheet name="Result_Database" sheetId="6" r:id="rId2"/>
    <sheet name="Backend" sheetId="9" state="hidden" r:id="rId3"/>
    <sheet name="Analysis" sheetId="7" r:id="rId4"/>
    <sheet name="Result_Summary" sheetId="8" r:id="rId5"/>
    <sheet name="Subject_Analysis" sheetId="1" r:id="rId6"/>
  </sheets>
  <definedNames>
    <definedName name="_xleta.AND" hidden="1" xlm="1">#NAME?</definedName>
    <definedName name="_xlpm.category_col" hidden="1" xlm="1">#NAME?</definedName>
    <definedName name="_xlpm.col_index" hidden="1" xlm="1">#NAME?</definedName>
    <definedName name="_xlpm.col_offset" hidden="1" xlm="1">#NAME?</definedName>
    <definedName name="_xlpm.count_pass" hidden="1" xlm="1">#NAME?</definedName>
    <definedName name="_xlpm.gender" hidden="1" xlm="1">#NAME?</definedName>
    <definedName name="_xlpm.grade_count" hidden="1" xlm="1">#NAME?</definedName>
    <definedName name="_xlpm.grade_to_count" hidden="1" xlm="1">#NAME?</definedName>
    <definedName name="_xlpm.result" hidden="1" xlm="1">#NAME?</definedName>
    <definedName name="_xlpm.result_row" hidden="1" xlm="1">#NAME?</definedName>
    <definedName name="_xlpm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8" l="1"/>
  <c r="A7" i="8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495" i="7"/>
  <c r="T496" i="7"/>
  <c r="T497" i="7"/>
  <c r="T498" i="7"/>
  <c r="T499" i="7"/>
  <c r="T500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V104" i="7"/>
  <c r="V105" i="7"/>
  <c r="V106" i="7"/>
  <c r="V107" i="7"/>
  <c r="V108" i="7"/>
  <c r="V109" i="7"/>
  <c r="V110" i="7"/>
  <c r="V111" i="7"/>
  <c r="V112" i="7"/>
  <c r="V113" i="7"/>
  <c r="V114" i="7"/>
  <c r="V115" i="7"/>
  <c r="V116" i="7"/>
  <c r="V117" i="7"/>
  <c r="V118" i="7"/>
  <c r="V119" i="7"/>
  <c r="V120" i="7"/>
  <c r="V121" i="7"/>
  <c r="V122" i="7"/>
  <c r="V123" i="7"/>
  <c r="V124" i="7"/>
  <c r="V125" i="7"/>
  <c r="V126" i="7"/>
  <c r="V127" i="7"/>
  <c r="V128" i="7"/>
  <c r="V129" i="7"/>
  <c r="V130" i="7"/>
  <c r="V131" i="7"/>
  <c r="V132" i="7"/>
  <c r="V133" i="7"/>
  <c r="V134" i="7"/>
  <c r="V135" i="7"/>
  <c r="V136" i="7"/>
  <c r="V137" i="7"/>
  <c r="V138" i="7"/>
  <c r="V139" i="7"/>
  <c r="V140" i="7"/>
  <c r="V141" i="7"/>
  <c r="V142" i="7"/>
  <c r="V143" i="7"/>
  <c r="V144" i="7"/>
  <c r="V145" i="7"/>
  <c r="V146" i="7"/>
  <c r="V147" i="7"/>
  <c r="V148" i="7"/>
  <c r="V149" i="7"/>
  <c r="V150" i="7"/>
  <c r="V151" i="7"/>
  <c r="V152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69" i="7"/>
  <c r="V170" i="7"/>
  <c r="V171" i="7"/>
  <c r="V172" i="7"/>
  <c r="V173" i="7"/>
  <c r="V174" i="7"/>
  <c r="V175" i="7"/>
  <c r="V176" i="7"/>
  <c r="V177" i="7"/>
  <c r="V178" i="7"/>
  <c r="V179" i="7"/>
  <c r="V180" i="7"/>
  <c r="V181" i="7"/>
  <c r="V182" i="7"/>
  <c r="V183" i="7"/>
  <c r="V184" i="7"/>
  <c r="V185" i="7"/>
  <c r="V186" i="7"/>
  <c r="V187" i="7"/>
  <c r="V188" i="7"/>
  <c r="V189" i="7"/>
  <c r="V190" i="7"/>
  <c r="V191" i="7"/>
  <c r="V192" i="7"/>
  <c r="V193" i="7"/>
  <c r="V194" i="7"/>
  <c r="V195" i="7"/>
  <c r="V196" i="7"/>
  <c r="V197" i="7"/>
  <c r="V198" i="7"/>
  <c r="V199" i="7"/>
  <c r="V200" i="7"/>
  <c r="V201" i="7"/>
  <c r="V202" i="7"/>
  <c r="V203" i="7"/>
  <c r="V204" i="7"/>
  <c r="V205" i="7"/>
  <c r="V206" i="7"/>
  <c r="V207" i="7"/>
  <c r="V208" i="7"/>
  <c r="V209" i="7"/>
  <c r="V210" i="7"/>
  <c r="V211" i="7"/>
  <c r="V212" i="7"/>
  <c r="V213" i="7"/>
  <c r="V214" i="7"/>
  <c r="V215" i="7"/>
  <c r="V216" i="7"/>
  <c r="V217" i="7"/>
  <c r="V218" i="7"/>
  <c r="V219" i="7"/>
  <c r="V220" i="7"/>
  <c r="V221" i="7"/>
  <c r="V222" i="7"/>
  <c r="V223" i="7"/>
  <c r="V224" i="7"/>
  <c r="V225" i="7"/>
  <c r="V226" i="7"/>
  <c r="V227" i="7"/>
  <c r="V228" i="7"/>
  <c r="V229" i="7"/>
  <c r="V230" i="7"/>
  <c r="V231" i="7"/>
  <c r="V232" i="7"/>
  <c r="V233" i="7"/>
  <c r="V234" i="7"/>
  <c r="V235" i="7"/>
  <c r="V236" i="7"/>
  <c r="V237" i="7"/>
  <c r="V238" i="7"/>
  <c r="V239" i="7"/>
  <c r="V240" i="7"/>
  <c r="V241" i="7"/>
  <c r="V242" i="7"/>
  <c r="V243" i="7"/>
  <c r="V244" i="7"/>
  <c r="V245" i="7"/>
  <c r="V246" i="7"/>
  <c r="V247" i="7"/>
  <c r="V248" i="7"/>
  <c r="V249" i="7"/>
  <c r="V250" i="7"/>
  <c r="V251" i="7"/>
  <c r="V252" i="7"/>
  <c r="V253" i="7"/>
  <c r="V254" i="7"/>
  <c r="V255" i="7"/>
  <c r="V256" i="7"/>
  <c r="V257" i="7"/>
  <c r="V258" i="7"/>
  <c r="V259" i="7"/>
  <c r="V260" i="7"/>
  <c r="V261" i="7"/>
  <c r="V262" i="7"/>
  <c r="V263" i="7"/>
  <c r="V264" i="7"/>
  <c r="V265" i="7"/>
  <c r="V266" i="7"/>
  <c r="V267" i="7"/>
  <c r="V268" i="7"/>
  <c r="V269" i="7"/>
  <c r="V270" i="7"/>
  <c r="V271" i="7"/>
  <c r="V272" i="7"/>
  <c r="V273" i="7"/>
  <c r="V274" i="7"/>
  <c r="V275" i="7"/>
  <c r="V276" i="7"/>
  <c r="V277" i="7"/>
  <c r="V278" i="7"/>
  <c r="V279" i="7"/>
  <c r="V280" i="7"/>
  <c r="V281" i="7"/>
  <c r="V282" i="7"/>
  <c r="V283" i="7"/>
  <c r="V284" i="7"/>
  <c r="V285" i="7"/>
  <c r="V286" i="7"/>
  <c r="V287" i="7"/>
  <c r="V288" i="7"/>
  <c r="V289" i="7"/>
  <c r="V290" i="7"/>
  <c r="V291" i="7"/>
  <c r="V292" i="7"/>
  <c r="V293" i="7"/>
  <c r="V294" i="7"/>
  <c r="V295" i="7"/>
  <c r="V296" i="7"/>
  <c r="V297" i="7"/>
  <c r="V298" i="7"/>
  <c r="V299" i="7"/>
  <c r="V300" i="7"/>
  <c r="V301" i="7"/>
  <c r="V302" i="7"/>
  <c r="V303" i="7"/>
  <c r="V304" i="7"/>
  <c r="V305" i="7"/>
  <c r="V306" i="7"/>
  <c r="V307" i="7"/>
  <c r="V308" i="7"/>
  <c r="V309" i="7"/>
  <c r="V310" i="7"/>
  <c r="V311" i="7"/>
  <c r="V312" i="7"/>
  <c r="V313" i="7"/>
  <c r="V314" i="7"/>
  <c r="V315" i="7"/>
  <c r="V316" i="7"/>
  <c r="V317" i="7"/>
  <c r="V318" i="7"/>
  <c r="V319" i="7"/>
  <c r="V320" i="7"/>
  <c r="V321" i="7"/>
  <c r="V322" i="7"/>
  <c r="V323" i="7"/>
  <c r="V324" i="7"/>
  <c r="V325" i="7"/>
  <c r="V326" i="7"/>
  <c r="V327" i="7"/>
  <c r="V328" i="7"/>
  <c r="V329" i="7"/>
  <c r="V330" i="7"/>
  <c r="V331" i="7"/>
  <c r="V332" i="7"/>
  <c r="V333" i="7"/>
  <c r="V334" i="7"/>
  <c r="V335" i="7"/>
  <c r="V336" i="7"/>
  <c r="V337" i="7"/>
  <c r="V338" i="7"/>
  <c r="V339" i="7"/>
  <c r="V340" i="7"/>
  <c r="V341" i="7"/>
  <c r="V342" i="7"/>
  <c r="V343" i="7"/>
  <c r="V344" i="7"/>
  <c r="V345" i="7"/>
  <c r="V346" i="7"/>
  <c r="V347" i="7"/>
  <c r="V348" i="7"/>
  <c r="V349" i="7"/>
  <c r="V350" i="7"/>
  <c r="V351" i="7"/>
  <c r="V352" i="7"/>
  <c r="V353" i="7"/>
  <c r="V354" i="7"/>
  <c r="V355" i="7"/>
  <c r="V356" i="7"/>
  <c r="V357" i="7"/>
  <c r="V358" i="7"/>
  <c r="V359" i="7"/>
  <c r="V360" i="7"/>
  <c r="V361" i="7"/>
  <c r="V362" i="7"/>
  <c r="V363" i="7"/>
  <c r="V364" i="7"/>
  <c r="V365" i="7"/>
  <c r="V366" i="7"/>
  <c r="V367" i="7"/>
  <c r="V368" i="7"/>
  <c r="V369" i="7"/>
  <c r="V370" i="7"/>
  <c r="V371" i="7"/>
  <c r="V372" i="7"/>
  <c r="V373" i="7"/>
  <c r="V374" i="7"/>
  <c r="V375" i="7"/>
  <c r="V376" i="7"/>
  <c r="V377" i="7"/>
  <c r="V378" i="7"/>
  <c r="V379" i="7"/>
  <c r="V380" i="7"/>
  <c r="V381" i="7"/>
  <c r="V382" i="7"/>
  <c r="V383" i="7"/>
  <c r="V384" i="7"/>
  <c r="V385" i="7"/>
  <c r="V386" i="7"/>
  <c r="V387" i="7"/>
  <c r="V388" i="7"/>
  <c r="V389" i="7"/>
  <c r="V390" i="7"/>
  <c r="V391" i="7"/>
  <c r="V392" i="7"/>
  <c r="V393" i="7"/>
  <c r="V394" i="7"/>
  <c r="V395" i="7"/>
  <c r="V396" i="7"/>
  <c r="V397" i="7"/>
  <c r="V398" i="7"/>
  <c r="V399" i="7"/>
  <c r="V400" i="7"/>
  <c r="V401" i="7"/>
  <c r="V402" i="7"/>
  <c r="V403" i="7"/>
  <c r="V404" i="7"/>
  <c r="V405" i="7"/>
  <c r="V406" i="7"/>
  <c r="V407" i="7"/>
  <c r="V408" i="7"/>
  <c r="V409" i="7"/>
  <c r="V410" i="7"/>
  <c r="V411" i="7"/>
  <c r="V412" i="7"/>
  <c r="V413" i="7"/>
  <c r="V414" i="7"/>
  <c r="V415" i="7"/>
  <c r="V416" i="7"/>
  <c r="V417" i="7"/>
  <c r="V418" i="7"/>
  <c r="V419" i="7"/>
  <c r="V420" i="7"/>
  <c r="V421" i="7"/>
  <c r="V422" i="7"/>
  <c r="V423" i="7"/>
  <c r="V424" i="7"/>
  <c r="V425" i="7"/>
  <c r="V426" i="7"/>
  <c r="V427" i="7"/>
  <c r="V428" i="7"/>
  <c r="V429" i="7"/>
  <c r="V430" i="7"/>
  <c r="V431" i="7"/>
  <c r="V432" i="7"/>
  <c r="V433" i="7"/>
  <c r="V434" i="7"/>
  <c r="V435" i="7"/>
  <c r="V436" i="7"/>
  <c r="V437" i="7"/>
  <c r="V438" i="7"/>
  <c r="V439" i="7"/>
  <c r="V440" i="7"/>
  <c r="V441" i="7"/>
  <c r="V442" i="7"/>
  <c r="V443" i="7"/>
  <c r="V444" i="7"/>
  <c r="V445" i="7"/>
  <c r="V446" i="7"/>
  <c r="V447" i="7"/>
  <c r="V448" i="7"/>
  <c r="V449" i="7"/>
  <c r="V450" i="7"/>
  <c r="V451" i="7"/>
  <c r="V452" i="7"/>
  <c r="V453" i="7"/>
  <c r="V454" i="7"/>
  <c r="V455" i="7"/>
  <c r="V456" i="7"/>
  <c r="V457" i="7"/>
  <c r="V458" i="7"/>
  <c r="V459" i="7"/>
  <c r="V460" i="7"/>
  <c r="V461" i="7"/>
  <c r="V462" i="7"/>
  <c r="V463" i="7"/>
  <c r="V464" i="7"/>
  <c r="V465" i="7"/>
  <c r="V466" i="7"/>
  <c r="V467" i="7"/>
  <c r="V468" i="7"/>
  <c r="V469" i="7"/>
  <c r="V470" i="7"/>
  <c r="V471" i="7"/>
  <c r="V472" i="7"/>
  <c r="V473" i="7"/>
  <c r="V474" i="7"/>
  <c r="V475" i="7"/>
  <c r="V476" i="7"/>
  <c r="V477" i="7"/>
  <c r="V478" i="7"/>
  <c r="V479" i="7"/>
  <c r="V480" i="7"/>
  <c r="V481" i="7"/>
  <c r="V482" i="7"/>
  <c r="V483" i="7"/>
  <c r="V484" i="7"/>
  <c r="V485" i="7"/>
  <c r="V486" i="7"/>
  <c r="V487" i="7"/>
  <c r="V488" i="7"/>
  <c r="V489" i="7"/>
  <c r="V490" i="7"/>
  <c r="V491" i="7"/>
  <c r="V492" i="7"/>
  <c r="V493" i="7"/>
  <c r="V494" i="7"/>
  <c r="V495" i="7"/>
  <c r="V496" i="7"/>
  <c r="V497" i="7"/>
  <c r="V498" i="7"/>
  <c r="V499" i="7"/>
  <c r="V500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Y500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109" i="7"/>
  <c r="Z110" i="7"/>
  <c r="Z111" i="7"/>
  <c r="Z112" i="7"/>
  <c r="Z113" i="7"/>
  <c r="Z114" i="7"/>
  <c r="Z115" i="7"/>
  <c r="Z116" i="7"/>
  <c r="Z117" i="7"/>
  <c r="Z118" i="7"/>
  <c r="Z119" i="7"/>
  <c r="Z120" i="7"/>
  <c r="Z121" i="7"/>
  <c r="Z122" i="7"/>
  <c r="Z123" i="7"/>
  <c r="Z124" i="7"/>
  <c r="Z125" i="7"/>
  <c r="Z126" i="7"/>
  <c r="Z127" i="7"/>
  <c r="Z128" i="7"/>
  <c r="Z129" i="7"/>
  <c r="Z130" i="7"/>
  <c r="Z131" i="7"/>
  <c r="Z132" i="7"/>
  <c r="Z133" i="7"/>
  <c r="Z134" i="7"/>
  <c r="Z135" i="7"/>
  <c r="Z136" i="7"/>
  <c r="Z137" i="7"/>
  <c r="Z138" i="7"/>
  <c r="Z139" i="7"/>
  <c r="Z140" i="7"/>
  <c r="Z141" i="7"/>
  <c r="Z142" i="7"/>
  <c r="Z143" i="7"/>
  <c r="Z144" i="7"/>
  <c r="Z145" i="7"/>
  <c r="Z146" i="7"/>
  <c r="Z147" i="7"/>
  <c r="Z148" i="7"/>
  <c r="Z149" i="7"/>
  <c r="Z150" i="7"/>
  <c r="Z151" i="7"/>
  <c r="Z152" i="7"/>
  <c r="Z153" i="7"/>
  <c r="Z154" i="7"/>
  <c r="Z155" i="7"/>
  <c r="Z156" i="7"/>
  <c r="Z157" i="7"/>
  <c r="Z158" i="7"/>
  <c r="Z159" i="7"/>
  <c r="Z160" i="7"/>
  <c r="Z161" i="7"/>
  <c r="Z162" i="7"/>
  <c r="Z163" i="7"/>
  <c r="Z164" i="7"/>
  <c r="Z165" i="7"/>
  <c r="Z166" i="7"/>
  <c r="Z167" i="7"/>
  <c r="Z168" i="7"/>
  <c r="Z169" i="7"/>
  <c r="Z170" i="7"/>
  <c r="Z171" i="7"/>
  <c r="Z172" i="7"/>
  <c r="Z173" i="7"/>
  <c r="Z174" i="7"/>
  <c r="Z175" i="7"/>
  <c r="Z176" i="7"/>
  <c r="Z177" i="7"/>
  <c r="Z178" i="7"/>
  <c r="Z179" i="7"/>
  <c r="Z180" i="7"/>
  <c r="Z181" i="7"/>
  <c r="Z182" i="7"/>
  <c r="Z183" i="7"/>
  <c r="Z184" i="7"/>
  <c r="Z185" i="7"/>
  <c r="Z186" i="7"/>
  <c r="Z187" i="7"/>
  <c r="Z188" i="7"/>
  <c r="Z189" i="7"/>
  <c r="Z190" i="7"/>
  <c r="Z191" i="7"/>
  <c r="Z192" i="7"/>
  <c r="Z193" i="7"/>
  <c r="Z194" i="7"/>
  <c r="Z195" i="7"/>
  <c r="Z196" i="7"/>
  <c r="Z197" i="7"/>
  <c r="Z198" i="7"/>
  <c r="Z199" i="7"/>
  <c r="Z200" i="7"/>
  <c r="Z201" i="7"/>
  <c r="Z202" i="7"/>
  <c r="Z203" i="7"/>
  <c r="Z204" i="7"/>
  <c r="Z205" i="7"/>
  <c r="Z206" i="7"/>
  <c r="Z207" i="7"/>
  <c r="Z208" i="7"/>
  <c r="Z209" i="7"/>
  <c r="Z210" i="7"/>
  <c r="Z211" i="7"/>
  <c r="Z212" i="7"/>
  <c r="Z213" i="7"/>
  <c r="Z214" i="7"/>
  <c r="Z215" i="7"/>
  <c r="Z216" i="7"/>
  <c r="Z217" i="7"/>
  <c r="Z218" i="7"/>
  <c r="Z219" i="7"/>
  <c r="Z220" i="7"/>
  <c r="Z221" i="7"/>
  <c r="Z222" i="7"/>
  <c r="Z223" i="7"/>
  <c r="Z224" i="7"/>
  <c r="Z225" i="7"/>
  <c r="Z226" i="7"/>
  <c r="Z227" i="7"/>
  <c r="Z228" i="7"/>
  <c r="Z229" i="7"/>
  <c r="Z230" i="7"/>
  <c r="Z231" i="7"/>
  <c r="Z232" i="7"/>
  <c r="Z233" i="7"/>
  <c r="Z234" i="7"/>
  <c r="Z235" i="7"/>
  <c r="Z236" i="7"/>
  <c r="Z237" i="7"/>
  <c r="Z238" i="7"/>
  <c r="Z239" i="7"/>
  <c r="Z240" i="7"/>
  <c r="Z241" i="7"/>
  <c r="Z242" i="7"/>
  <c r="Z243" i="7"/>
  <c r="Z244" i="7"/>
  <c r="Z245" i="7"/>
  <c r="Z246" i="7"/>
  <c r="Z247" i="7"/>
  <c r="Z248" i="7"/>
  <c r="Z249" i="7"/>
  <c r="Z250" i="7"/>
  <c r="Z251" i="7"/>
  <c r="Z252" i="7"/>
  <c r="Z253" i="7"/>
  <c r="Z254" i="7"/>
  <c r="Z255" i="7"/>
  <c r="Z256" i="7"/>
  <c r="Z257" i="7"/>
  <c r="Z258" i="7"/>
  <c r="Z259" i="7"/>
  <c r="Z260" i="7"/>
  <c r="Z261" i="7"/>
  <c r="Z262" i="7"/>
  <c r="Z263" i="7"/>
  <c r="Z264" i="7"/>
  <c r="Z265" i="7"/>
  <c r="Z266" i="7"/>
  <c r="Z267" i="7"/>
  <c r="Z268" i="7"/>
  <c r="Z269" i="7"/>
  <c r="Z270" i="7"/>
  <c r="Z271" i="7"/>
  <c r="Z272" i="7"/>
  <c r="Z273" i="7"/>
  <c r="Z274" i="7"/>
  <c r="Z275" i="7"/>
  <c r="Z276" i="7"/>
  <c r="Z277" i="7"/>
  <c r="Z278" i="7"/>
  <c r="Z279" i="7"/>
  <c r="Z280" i="7"/>
  <c r="Z281" i="7"/>
  <c r="Z282" i="7"/>
  <c r="Z283" i="7"/>
  <c r="Z284" i="7"/>
  <c r="Z285" i="7"/>
  <c r="Z286" i="7"/>
  <c r="Z287" i="7"/>
  <c r="Z288" i="7"/>
  <c r="Z289" i="7"/>
  <c r="Z290" i="7"/>
  <c r="Z291" i="7"/>
  <c r="Z292" i="7"/>
  <c r="Z293" i="7"/>
  <c r="Z294" i="7"/>
  <c r="Z295" i="7"/>
  <c r="Z296" i="7"/>
  <c r="Z297" i="7"/>
  <c r="Z298" i="7"/>
  <c r="Z299" i="7"/>
  <c r="Z300" i="7"/>
  <c r="Z301" i="7"/>
  <c r="Z302" i="7"/>
  <c r="Z303" i="7"/>
  <c r="Z304" i="7"/>
  <c r="Z305" i="7"/>
  <c r="Z306" i="7"/>
  <c r="Z307" i="7"/>
  <c r="Z308" i="7"/>
  <c r="Z309" i="7"/>
  <c r="Z310" i="7"/>
  <c r="Z311" i="7"/>
  <c r="Z312" i="7"/>
  <c r="Z313" i="7"/>
  <c r="Z314" i="7"/>
  <c r="Z315" i="7"/>
  <c r="Z316" i="7"/>
  <c r="Z317" i="7"/>
  <c r="Z318" i="7"/>
  <c r="Z319" i="7"/>
  <c r="Z320" i="7"/>
  <c r="Z321" i="7"/>
  <c r="Z322" i="7"/>
  <c r="Z323" i="7"/>
  <c r="Z324" i="7"/>
  <c r="Z325" i="7"/>
  <c r="Z326" i="7"/>
  <c r="Z327" i="7"/>
  <c r="Z328" i="7"/>
  <c r="Z329" i="7"/>
  <c r="Z330" i="7"/>
  <c r="Z331" i="7"/>
  <c r="Z332" i="7"/>
  <c r="Z333" i="7"/>
  <c r="Z334" i="7"/>
  <c r="Z335" i="7"/>
  <c r="Z336" i="7"/>
  <c r="Z337" i="7"/>
  <c r="Z338" i="7"/>
  <c r="Z339" i="7"/>
  <c r="Z340" i="7"/>
  <c r="Z341" i="7"/>
  <c r="Z342" i="7"/>
  <c r="Z343" i="7"/>
  <c r="Z344" i="7"/>
  <c r="Z345" i="7"/>
  <c r="Z346" i="7"/>
  <c r="Z347" i="7"/>
  <c r="Z348" i="7"/>
  <c r="Z349" i="7"/>
  <c r="Z350" i="7"/>
  <c r="Z351" i="7"/>
  <c r="Z352" i="7"/>
  <c r="Z353" i="7"/>
  <c r="Z354" i="7"/>
  <c r="Z355" i="7"/>
  <c r="Z356" i="7"/>
  <c r="Z357" i="7"/>
  <c r="Z358" i="7"/>
  <c r="Z359" i="7"/>
  <c r="Z360" i="7"/>
  <c r="Z361" i="7"/>
  <c r="Z362" i="7"/>
  <c r="Z363" i="7"/>
  <c r="Z364" i="7"/>
  <c r="Z365" i="7"/>
  <c r="Z366" i="7"/>
  <c r="Z367" i="7"/>
  <c r="Z368" i="7"/>
  <c r="Z369" i="7"/>
  <c r="Z370" i="7"/>
  <c r="Z371" i="7"/>
  <c r="Z372" i="7"/>
  <c r="Z373" i="7"/>
  <c r="Z374" i="7"/>
  <c r="Z375" i="7"/>
  <c r="Z376" i="7"/>
  <c r="Z377" i="7"/>
  <c r="Z378" i="7"/>
  <c r="Z379" i="7"/>
  <c r="Z380" i="7"/>
  <c r="Z381" i="7"/>
  <c r="Z382" i="7"/>
  <c r="Z383" i="7"/>
  <c r="Z384" i="7"/>
  <c r="Z385" i="7"/>
  <c r="Z386" i="7"/>
  <c r="Z387" i="7"/>
  <c r="Z388" i="7"/>
  <c r="Z389" i="7"/>
  <c r="Z390" i="7"/>
  <c r="Z391" i="7"/>
  <c r="Z392" i="7"/>
  <c r="Z393" i="7"/>
  <c r="Z394" i="7"/>
  <c r="Z395" i="7"/>
  <c r="Z396" i="7"/>
  <c r="Z397" i="7"/>
  <c r="Z398" i="7"/>
  <c r="Z399" i="7"/>
  <c r="Z400" i="7"/>
  <c r="Z401" i="7"/>
  <c r="Z402" i="7"/>
  <c r="Z403" i="7"/>
  <c r="Z404" i="7"/>
  <c r="Z405" i="7"/>
  <c r="Z406" i="7"/>
  <c r="Z407" i="7"/>
  <c r="Z408" i="7"/>
  <c r="Z409" i="7"/>
  <c r="Z410" i="7"/>
  <c r="Z411" i="7"/>
  <c r="Z412" i="7"/>
  <c r="Z413" i="7"/>
  <c r="Z414" i="7"/>
  <c r="Z415" i="7"/>
  <c r="Z416" i="7"/>
  <c r="Z417" i="7"/>
  <c r="Z418" i="7"/>
  <c r="Z419" i="7"/>
  <c r="Z420" i="7"/>
  <c r="Z421" i="7"/>
  <c r="Z422" i="7"/>
  <c r="Z423" i="7"/>
  <c r="Z424" i="7"/>
  <c r="Z425" i="7"/>
  <c r="Z426" i="7"/>
  <c r="Z427" i="7"/>
  <c r="Z428" i="7"/>
  <c r="Z429" i="7"/>
  <c r="Z430" i="7"/>
  <c r="Z431" i="7"/>
  <c r="Z432" i="7"/>
  <c r="Z433" i="7"/>
  <c r="Z434" i="7"/>
  <c r="Z435" i="7"/>
  <c r="Z436" i="7"/>
  <c r="Z437" i="7"/>
  <c r="Z438" i="7"/>
  <c r="Z439" i="7"/>
  <c r="Z440" i="7"/>
  <c r="Z441" i="7"/>
  <c r="Z442" i="7"/>
  <c r="Z443" i="7"/>
  <c r="Z444" i="7"/>
  <c r="Z445" i="7"/>
  <c r="Z446" i="7"/>
  <c r="Z447" i="7"/>
  <c r="Z448" i="7"/>
  <c r="Z449" i="7"/>
  <c r="Z450" i="7"/>
  <c r="Z451" i="7"/>
  <c r="Z452" i="7"/>
  <c r="Z453" i="7"/>
  <c r="Z454" i="7"/>
  <c r="Z455" i="7"/>
  <c r="Z456" i="7"/>
  <c r="Z457" i="7"/>
  <c r="Z458" i="7"/>
  <c r="Z459" i="7"/>
  <c r="Z460" i="7"/>
  <c r="Z461" i="7"/>
  <c r="Z462" i="7"/>
  <c r="Z463" i="7"/>
  <c r="Z464" i="7"/>
  <c r="Z465" i="7"/>
  <c r="Z466" i="7"/>
  <c r="Z467" i="7"/>
  <c r="Z468" i="7"/>
  <c r="Z469" i="7"/>
  <c r="Z470" i="7"/>
  <c r="Z471" i="7"/>
  <c r="Z472" i="7"/>
  <c r="Z473" i="7"/>
  <c r="Z474" i="7"/>
  <c r="Z475" i="7"/>
  <c r="Z476" i="7"/>
  <c r="Z477" i="7"/>
  <c r="Z478" i="7"/>
  <c r="Z479" i="7"/>
  <c r="Z480" i="7"/>
  <c r="Z481" i="7"/>
  <c r="Z482" i="7"/>
  <c r="Z483" i="7"/>
  <c r="Z484" i="7"/>
  <c r="Z485" i="7"/>
  <c r="Z486" i="7"/>
  <c r="Z487" i="7"/>
  <c r="Z488" i="7"/>
  <c r="Z489" i="7"/>
  <c r="Z490" i="7"/>
  <c r="Z491" i="7"/>
  <c r="Z492" i="7"/>
  <c r="Z493" i="7"/>
  <c r="Z494" i="7"/>
  <c r="Z495" i="7"/>
  <c r="Z496" i="7"/>
  <c r="Z497" i="7"/>
  <c r="Z498" i="7"/>
  <c r="Z499" i="7"/>
  <c r="Z500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5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188" i="7"/>
  <c r="AA189" i="7"/>
  <c r="AA190" i="7"/>
  <c r="AA191" i="7"/>
  <c r="AA192" i="7"/>
  <c r="AA193" i="7"/>
  <c r="AA194" i="7"/>
  <c r="AA195" i="7"/>
  <c r="AA196" i="7"/>
  <c r="AA197" i="7"/>
  <c r="AA198" i="7"/>
  <c r="AA199" i="7"/>
  <c r="AA200" i="7"/>
  <c r="AA201" i="7"/>
  <c r="AA202" i="7"/>
  <c r="AA203" i="7"/>
  <c r="AA204" i="7"/>
  <c r="AA205" i="7"/>
  <c r="AA206" i="7"/>
  <c r="AA207" i="7"/>
  <c r="AA208" i="7"/>
  <c r="AA209" i="7"/>
  <c r="AA210" i="7"/>
  <c r="AA211" i="7"/>
  <c r="AA212" i="7"/>
  <c r="AA213" i="7"/>
  <c r="AA214" i="7"/>
  <c r="AA215" i="7"/>
  <c r="AA216" i="7"/>
  <c r="AA217" i="7"/>
  <c r="AA218" i="7"/>
  <c r="AA219" i="7"/>
  <c r="AA220" i="7"/>
  <c r="AA221" i="7"/>
  <c r="AA222" i="7"/>
  <c r="AA223" i="7"/>
  <c r="AA224" i="7"/>
  <c r="AA225" i="7"/>
  <c r="AA226" i="7"/>
  <c r="AA227" i="7"/>
  <c r="AA228" i="7"/>
  <c r="AA229" i="7"/>
  <c r="AA230" i="7"/>
  <c r="AA231" i="7"/>
  <c r="AA232" i="7"/>
  <c r="AA233" i="7"/>
  <c r="AA234" i="7"/>
  <c r="AA235" i="7"/>
  <c r="AA236" i="7"/>
  <c r="AA237" i="7"/>
  <c r="AA238" i="7"/>
  <c r="AA239" i="7"/>
  <c r="AA240" i="7"/>
  <c r="AA241" i="7"/>
  <c r="AA242" i="7"/>
  <c r="AA243" i="7"/>
  <c r="AA244" i="7"/>
  <c r="AA245" i="7"/>
  <c r="AA246" i="7"/>
  <c r="AA247" i="7"/>
  <c r="AA248" i="7"/>
  <c r="AA249" i="7"/>
  <c r="AA250" i="7"/>
  <c r="AA251" i="7"/>
  <c r="AA252" i="7"/>
  <c r="AA253" i="7"/>
  <c r="AA254" i="7"/>
  <c r="AA255" i="7"/>
  <c r="AA256" i="7"/>
  <c r="AA257" i="7"/>
  <c r="AA258" i="7"/>
  <c r="AA259" i="7"/>
  <c r="AA260" i="7"/>
  <c r="AA261" i="7"/>
  <c r="AA262" i="7"/>
  <c r="AA263" i="7"/>
  <c r="AA264" i="7"/>
  <c r="AA265" i="7"/>
  <c r="AA266" i="7"/>
  <c r="AA267" i="7"/>
  <c r="AA268" i="7"/>
  <c r="AA269" i="7"/>
  <c r="AA270" i="7"/>
  <c r="AA271" i="7"/>
  <c r="AA272" i="7"/>
  <c r="AA273" i="7"/>
  <c r="AA274" i="7"/>
  <c r="AA275" i="7"/>
  <c r="AA276" i="7"/>
  <c r="AA277" i="7"/>
  <c r="AA278" i="7"/>
  <c r="AA279" i="7"/>
  <c r="AA280" i="7"/>
  <c r="AA281" i="7"/>
  <c r="AA282" i="7"/>
  <c r="AA283" i="7"/>
  <c r="AA284" i="7"/>
  <c r="AA285" i="7"/>
  <c r="AA286" i="7"/>
  <c r="AA287" i="7"/>
  <c r="AA288" i="7"/>
  <c r="AA289" i="7"/>
  <c r="AA290" i="7"/>
  <c r="AA291" i="7"/>
  <c r="AA292" i="7"/>
  <c r="AA293" i="7"/>
  <c r="AA294" i="7"/>
  <c r="AA295" i="7"/>
  <c r="AA296" i="7"/>
  <c r="AA297" i="7"/>
  <c r="AA298" i="7"/>
  <c r="AA299" i="7"/>
  <c r="AA300" i="7"/>
  <c r="AA301" i="7"/>
  <c r="AA302" i="7"/>
  <c r="AA303" i="7"/>
  <c r="AA304" i="7"/>
  <c r="AA305" i="7"/>
  <c r="AA306" i="7"/>
  <c r="AA307" i="7"/>
  <c r="AA308" i="7"/>
  <c r="AA309" i="7"/>
  <c r="AA310" i="7"/>
  <c r="AA311" i="7"/>
  <c r="AA312" i="7"/>
  <c r="AA313" i="7"/>
  <c r="AA314" i="7"/>
  <c r="AA315" i="7"/>
  <c r="AA316" i="7"/>
  <c r="AA317" i="7"/>
  <c r="AA318" i="7"/>
  <c r="AA319" i="7"/>
  <c r="AA320" i="7"/>
  <c r="AA321" i="7"/>
  <c r="AA322" i="7"/>
  <c r="AA323" i="7"/>
  <c r="AA324" i="7"/>
  <c r="AA325" i="7"/>
  <c r="AA326" i="7"/>
  <c r="AA327" i="7"/>
  <c r="AA328" i="7"/>
  <c r="AA329" i="7"/>
  <c r="AA330" i="7"/>
  <c r="AA331" i="7"/>
  <c r="AA332" i="7"/>
  <c r="AA333" i="7"/>
  <c r="AA334" i="7"/>
  <c r="AA335" i="7"/>
  <c r="AA336" i="7"/>
  <c r="AA337" i="7"/>
  <c r="AA338" i="7"/>
  <c r="AA339" i="7"/>
  <c r="AA340" i="7"/>
  <c r="AA341" i="7"/>
  <c r="AA342" i="7"/>
  <c r="AA343" i="7"/>
  <c r="AA344" i="7"/>
  <c r="AA345" i="7"/>
  <c r="AA346" i="7"/>
  <c r="AA347" i="7"/>
  <c r="AA348" i="7"/>
  <c r="AA349" i="7"/>
  <c r="AA350" i="7"/>
  <c r="AA351" i="7"/>
  <c r="AA352" i="7"/>
  <c r="AA353" i="7"/>
  <c r="AA354" i="7"/>
  <c r="AA355" i="7"/>
  <c r="AA356" i="7"/>
  <c r="AA357" i="7"/>
  <c r="AA358" i="7"/>
  <c r="AA359" i="7"/>
  <c r="AA360" i="7"/>
  <c r="AA361" i="7"/>
  <c r="AA362" i="7"/>
  <c r="AA363" i="7"/>
  <c r="AA364" i="7"/>
  <c r="AA365" i="7"/>
  <c r="AA366" i="7"/>
  <c r="AA367" i="7"/>
  <c r="AA368" i="7"/>
  <c r="AA369" i="7"/>
  <c r="AA370" i="7"/>
  <c r="AA371" i="7"/>
  <c r="AA372" i="7"/>
  <c r="AA373" i="7"/>
  <c r="AA374" i="7"/>
  <c r="AA375" i="7"/>
  <c r="AA376" i="7"/>
  <c r="AA377" i="7"/>
  <c r="AA378" i="7"/>
  <c r="AA379" i="7"/>
  <c r="AA380" i="7"/>
  <c r="AA381" i="7"/>
  <c r="AA382" i="7"/>
  <c r="AA383" i="7"/>
  <c r="AA384" i="7"/>
  <c r="AA385" i="7"/>
  <c r="AA386" i="7"/>
  <c r="AA387" i="7"/>
  <c r="AA388" i="7"/>
  <c r="AA389" i="7"/>
  <c r="AA390" i="7"/>
  <c r="AA391" i="7"/>
  <c r="AA392" i="7"/>
  <c r="AA393" i="7"/>
  <c r="AA394" i="7"/>
  <c r="AA395" i="7"/>
  <c r="AA396" i="7"/>
  <c r="AA397" i="7"/>
  <c r="AA398" i="7"/>
  <c r="AA399" i="7"/>
  <c r="AA400" i="7"/>
  <c r="AA401" i="7"/>
  <c r="AA402" i="7"/>
  <c r="AA403" i="7"/>
  <c r="AA404" i="7"/>
  <c r="AA405" i="7"/>
  <c r="AA406" i="7"/>
  <c r="AA407" i="7"/>
  <c r="AA408" i="7"/>
  <c r="AA409" i="7"/>
  <c r="AA410" i="7"/>
  <c r="AA411" i="7"/>
  <c r="AA412" i="7"/>
  <c r="AA413" i="7"/>
  <c r="AA414" i="7"/>
  <c r="AA415" i="7"/>
  <c r="AA416" i="7"/>
  <c r="AA417" i="7"/>
  <c r="AA418" i="7"/>
  <c r="AA419" i="7"/>
  <c r="AA420" i="7"/>
  <c r="AA421" i="7"/>
  <c r="AA422" i="7"/>
  <c r="AA423" i="7"/>
  <c r="AA424" i="7"/>
  <c r="AA425" i="7"/>
  <c r="AA426" i="7"/>
  <c r="AA427" i="7"/>
  <c r="AA428" i="7"/>
  <c r="AA429" i="7"/>
  <c r="AA430" i="7"/>
  <c r="AA431" i="7"/>
  <c r="AA432" i="7"/>
  <c r="AA433" i="7"/>
  <c r="AA434" i="7"/>
  <c r="AA435" i="7"/>
  <c r="AA436" i="7"/>
  <c r="AA437" i="7"/>
  <c r="AA438" i="7"/>
  <c r="AA439" i="7"/>
  <c r="AA440" i="7"/>
  <c r="AA441" i="7"/>
  <c r="AA442" i="7"/>
  <c r="AA443" i="7"/>
  <c r="AA444" i="7"/>
  <c r="AA445" i="7"/>
  <c r="AA446" i="7"/>
  <c r="AA447" i="7"/>
  <c r="AA448" i="7"/>
  <c r="AA449" i="7"/>
  <c r="AA450" i="7"/>
  <c r="AA451" i="7"/>
  <c r="AA452" i="7"/>
  <c r="AA453" i="7"/>
  <c r="AA454" i="7"/>
  <c r="AA455" i="7"/>
  <c r="AA456" i="7"/>
  <c r="AA457" i="7"/>
  <c r="AA458" i="7"/>
  <c r="AA459" i="7"/>
  <c r="AA460" i="7"/>
  <c r="AA461" i="7"/>
  <c r="AA462" i="7"/>
  <c r="AA463" i="7"/>
  <c r="AA464" i="7"/>
  <c r="AA465" i="7"/>
  <c r="AA466" i="7"/>
  <c r="AA467" i="7"/>
  <c r="AA468" i="7"/>
  <c r="AA469" i="7"/>
  <c r="AA470" i="7"/>
  <c r="AA471" i="7"/>
  <c r="AA472" i="7"/>
  <c r="AA473" i="7"/>
  <c r="AA474" i="7"/>
  <c r="AA475" i="7"/>
  <c r="AA476" i="7"/>
  <c r="AA477" i="7"/>
  <c r="AA478" i="7"/>
  <c r="AA479" i="7"/>
  <c r="AA480" i="7"/>
  <c r="AA481" i="7"/>
  <c r="AA482" i="7"/>
  <c r="AA483" i="7"/>
  <c r="AA484" i="7"/>
  <c r="AA485" i="7"/>
  <c r="AA486" i="7"/>
  <c r="AA487" i="7"/>
  <c r="AA488" i="7"/>
  <c r="AA489" i="7"/>
  <c r="AA490" i="7"/>
  <c r="AA491" i="7"/>
  <c r="AA492" i="7"/>
  <c r="AA493" i="7"/>
  <c r="AA494" i="7"/>
  <c r="AA495" i="7"/>
  <c r="AA496" i="7"/>
  <c r="AA497" i="7"/>
  <c r="AA498" i="7"/>
  <c r="AA499" i="7"/>
  <c r="AA500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35" i="7"/>
  <c r="AB36" i="7"/>
  <c r="AB37" i="7"/>
  <c r="AB38" i="7"/>
  <c r="AB39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62" i="7"/>
  <c r="AB63" i="7"/>
  <c r="AB64" i="7"/>
  <c r="AB65" i="7"/>
  <c r="AB66" i="7"/>
  <c r="AB67" i="7"/>
  <c r="AB68" i="7"/>
  <c r="AB69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5" i="7"/>
  <c r="AB96" i="7"/>
  <c r="AB97" i="7"/>
  <c r="AB98" i="7"/>
  <c r="AB99" i="7"/>
  <c r="AB100" i="7"/>
  <c r="AB101" i="7"/>
  <c r="AB102" i="7"/>
  <c r="AB103" i="7"/>
  <c r="AB104" i="7"/>
  <c r="AB105" i="7"/>
  <c r="AB106" i="7"/>
  <c r="AB107" i="7"/>
  <c r="AB108" i="7"/>
  <c r="AB109" i="7"/>
  <c r="AB110" i="7"/>
  <c r="AB111" i="7"/>
  <c r="AB112" i="7"/>
  <c r="AB113" i="7"/>
  <c r="AB114" i="7"/>
  <c r="AB115" i="7"/>
  <c r="AB116" i="7"/>
  <c r="AB117" i="7"/>
  <c r="AB118" i="7"/>
  <c r="AB119" i="7"/>
  <c r="AB120" i="7"/>
  <c r="AB121" i="7"/>
  <c r="AB122" i="7"/>
  <c r="AB123" i="7"/>
  <c r="AB124" i="7"/>
  <c r="AB125" i="7"/>
  <c r="AB126" i="7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B169" i="7"/>
  <c r="AB170" i="7"/>
  <c r="AB171" i="7"/>
  <c r="AB172" i="7"/>
  <c r="AB173" i="7"/>
  <c r="AB174" i="7"/>
  <c r="AB175" i="7"/>
  <c r="AB176" i="7"/>
  <c r="AB177" i="7"/>
  <c r="AB178" i="7"/>
  <c r="AB179" i="7"/>
  <c r="AB180" i="7"/>
  <c r="AB181" i="7"/>
  <c r="AB182" i="7"/>
  <c r="AB183" i="7"/>
  <c r="AB184" i="7"/>
  <c r="AB185" i="7"/>
  <c r="AB186" i="7"/>
  <c r="AB187" i="7"/>
  <c r="AB188" i="7"/>
  <c r="AB189" i="7"/>
  <c r="AB190" i="7"/>
  <c r="AB191" i="7"/>
  <c r="AB192" i="7"/>
  <c r="AB193" i="7"/>
  <c r="AB194" i="7"/>
  <c r="AB195" i="7"/>
  <c r="AB196" i="7"/>
  <c r="AB197" i="7"/>
  <c r="AB198" i="7"/>
  <c r="AB199" i="7"/>
  <c r="AB200" i="7"/>
  <c r="AB201" i="7"/>
  <c r="AB202" i="7"/>
  <c r="AB203" i="7"/>
  <c r="AB204" i="7"/>
  <c r="AB205" i="7"/>
  <c r="AB206" i="7"/>
  <c r="AB207" i="7"/>
  <c r="AB208" i="7"/>
  <c r="AB209" i="7"/>
  <c r="AB210" i="7"/>
  <c r="AB211" i="7"/>
  <c r="AB212" i="7"/>
  <c r="AB213" i="7"/>
  <c r="AB214" i="7"/>
  <c r="AB215" i="7"/>
  <c r="AB216" i="7"/>
  <c r="AB217" i="7"/>
  <c r="AB218" i="7"/>
  <c r="AB219" i="7"/>
  <c r="AB220" i="7"/>
  <c r="AB221" i="7"/>
  <c r="AB222" i="7"/>
  <c r="AB223" i="7"/>
  <c r="AB224" i="7"/>
  <c r="AB225" i="7"/>
  <c r="AB226" i="7"/>
  <c r="AB227" i="7"/>
  <c r="AB228" i="7"/>
  <c r="AB229" i="7"/>
  <c r="AB230" i="7"/>
  <c r="AB231" i="7"/>
  <c r="AB232" i="7"/>
  <c r="AB233" i="7"/>
  <c r="AB234" i="7"/>
  <c r="AB235" i="7"/>
  <c r="AB236" i="7"/>
  <c r="AB237" i="7"/>
  <c r="AB238" i="7"/>
  <c r="AB239" i="7"/>
  <c r="AB240" i="7"/>
  <c r="AB241" i="7"/>
  <c r="AB242" i="7"/>
  <c r="AB243" i="7"/>
  <c r="AB244" i="7"/>
  <c r="AB245" i="7"/>
  <c r="AB246" i="7"/>
  <c r="AB247" i="7"/>
  <c r="AB248" i="7"/>
  <c r="AB249" i="7"/>
  <c r="AB250" i="7"/>
  <c r="AB251" i="7"/>
  <c r="AB252" i="7"/>
  <c r="AB253" i="7"/>
  <c r="AB254" i="7"/>
  <c r="AB255" i="7"/>
  <c r="AB256" i="7"/>
  <c r="AB257" i="7"/>
  <c r="AB258" i="7"/>
  <c r="AB259" i="7"/>
  <c r="AB260" i="7"/>
  <c r="AB261" i="7"/>
  <c r="AB262" i="7"/>
  <c r="AB263" i="7"/>
  <c r="AB264" i="7"/>
  <c r="AB265" i="7"/>
  <c r="AB266" i="7"/>
  <c r="AB267" i="7"/>
  <c r="AB268" i="7"/>
  <c r="AB269" i="7"/>
  <c r="AB270" i="7"/>
  <c r="AB271" i="7"/>
  <c r="AB272" i="7"/>
  <c r="AB273" i="7"/>
  <c r="AB274" i="7"/>
  <c r="AB275" i="7"/>
  <c r="AB276" i="7"/>
  <c r="AB277" i="7"/>
  <c r="AB278" i="7"/>
  <c r="AB279" i="7"/>
  <c r="AB280" i="7"/>
  <c r="AB281" i="7"/>
  <c r="AB282" i="7"/>
  <c r="AB283" i="7"/>
  <c r="AB284" i="7"/>
  <c r="AB285" i="7"/>
  <c r="AB286" i="7"/>
  <c r="AB287" i="7"/>
  <c r="AB288" i="7"/>
  <c r="AB289" i="7"/>
  <c r="AB290" i="7"/>
  <c r="AB291" i="7"/>
  <c r="AB292" i="7"/>
  <c r="AB293" i="7"/>
  <c r="AB294" i="7"/>
  <c r="AB295" i="7"/>
  <c r="AB296" i="7"/>
  <c r="AB297" i="7"/>
  <c r="AB298" i="7"/>
  <c r="AB299" i="7"/>
  <c r="AB300" i="7"/>
  <c r="AB301" i="7"/>
  <c r="AB302" i="7"/>
  <c r="AB303" i="7"/>
  <c r="AB304" i="7"/>
  <c r="AB305" i="7"/>
  <c r="AB306" i="7"/>
  <c r="AB307" i="7"/>
  <c r="AB308" i="7"/>
  <c r="AB309" i="7"/>
  <c r="AB310" i="7"/>
  <c r="AB311" i="7"/>
  <c r="AB312" i="7"/>
  <c r="AB313" i="7"/>
  <c r="AB314" i="7"/>
  <c r="AB315" i="7"/>
  <c r="AB316" i="7"/>
  <c r="AB317" i="7"/>
  <c r="AB318" i="7"/>
  <c r="AB319" i="7"/>
  <c r="AB320" i="7"/>
  <c r="AB321" i="7"/>
  <c r="AB322" i="7"/>
  <c r="AB323" i="7"/>
  <c r="AB324" i="7"/>
  <c r="AB325" i="7"/>
  <c r="AB326" i="7"/>
  <c r="AB327" i="7"/>
  <c r="AB328" i="7"/>
  <c r="AB329" i="7"/>
  <c r="AB330" i="7"/>
  <c r="AB331" i="7"/>
  <c r="AB332" i="7"/>
  <c r="AB333" i="7"/>
  <c r="AB334" i="7"/>
  <c r="AB335" i="7"/>
  <c r="AB336" i="7"/>
  <c r="AB337" i="7"/>
  <c r="AB338" i="7"/>
  <c r="AB339" i="7"/>
  <c r="AB340" i="7"/>
  <c r="AB341" i="7"/>
  <c r="AB342" i="7"/>
  <c r="AB343" i="7"/>
  <c r="AB344" i="7"/>
  <c r="AB345" i="7"/>
  <c r="AB346" i="7"/>
  <c r="AB347" i="7"/>
  <c r="AB348" i="7"/>
  <c r="AB349" i="7"/>
  <c r="AB350" i="7"/>
  <c r="AB351" i="7"/>
  <c r="AB352" i="7"/>
  <c r="AB353" i="7"/>
  <c r="AB354" i="7"/>
  <c r="AB355" i="7"/>
  <c r="AB356" i="7"/>
  <c r="AB357" i="7"/>
  <c r="AB358" i="7"/>
  <c r="AB359" i="7"/>
  <c r="AB360" i="7"/>
  <c r="AB361" i="7"/>
  <c r="AB362" i="7"/>
  <c r="AB363" i="7"/>
  <c r="AB364" i="7"/>
  <c r="AB365" i="7"/>
  <c r="AB366" i="7"/>
  <c r="AB367" i="7"/>
  <c r="AB368" i="7"/>
  <c r="AB369" i="7"/>
  <c r="AB370" i="7"/>
  <c r="AB371" i="7"/>
  <c r="AB372" i="7"/>
  <c r="AB373" i="7"/>
  <c r="AB374" i="7"/>
  <c r="AB375" i="7"/>
  <c r="AB376" i="7"/>
  <c r="AB377" i="7"/>
  <c r="AB378" i="7"/>
  <c r="AB379" i="7"/>
  <c r="AB380" i="7"/>
  <c r="AB381" i="7"/>
  <c r="AB382" i="7"/>
  <c r="AB383" i="7"/>
  <c r="AB384" i="7"/>
  <c r="AB385" i="7"/>
  <c r="AB386" i="7"/>
  <c r="AB387" i="7"/>
  <c r="AB388" i="7"/>
  <c r="AB389" i="7"/>
  <c r="AB390" i="7"/>
  <c r="AB391" i="7"/>
  <c r="AB392" i="7"/>
  <c r="AB393" i="7"/>
  <c r="AB394" i="7"/>
  <c r="AB395" i="7"/>
  <c r="AB396" i="7"/>
  <c r="AB397" i="7"/>
  <c r="AB398" i="7"/>
  <c r="AB399" i="7"/>
  <c r="AB400" i="7"/>
  <c r="AB401" i="7"/>
  <c r="AB402" i="7"/>
  <c r="AB403" i="7"/>
  <c r="AB404" i="7"/>
  <c r="AB405" i="7"/>
  <c r="AB406" i="7"/>
  <c r="AB407" i="7"/>
  <c r="AB408" i="7"/>
  <c r="AB409" i="7"/>
  <c r="AB410" i="7"/>
  <c r="AB411" i="7"/>
  <c r="AB412" i="7"/>
  <c r="AB413" i="7"/>
  <c r="AB414" i="7"/>
  <c r="AB415" i="7"/>
  <c r="AB416" i="7"/>
  <c r="AB417" i="7"/>
  <c r="AB418" i="7"/>
  <c r="AB419" i="7"/>
  <c r="AB420" i="7"/>
  <c r="AB421" i="7"/>
  <c r="AB422" i="7"/>
  <c r="AB423" i="7"/>
  <c r="AB424" i="7"/>
  <c r="AB425" i="7"/>
  <c r="AB426" i="7"/>
  <c r="AB427" i="7"/>
  <c r="AB428" i="7"/>
  <c r="AB429" i="7"/>
  <c r="AB430" i="7"/>
  <c r="AB431" i="7"/>
  <c r="AB432" i="7"/>
  <c r="AB433" i="7"/>
  <c r="AB434" i="7"/>
  <c r="AB435" i="7"/>
  <c r="AB436" i="7"/>
  <c r="AB437" i="7"/>
  <c r="AB438" i="7"/>
  <c r="AB439" i="7"/>
  <c r="AB440" i="7"/>
  <c r="AB441" i="7"/>
  <c r="AB442" i="7"/>
  <c r="AB443" i="7"/>
  <c r="AB444" i="7"/>
  <c r="AB445" i="7"/>
  <c r="AB446" i="7"/>
  <c r="AB447" i="7"/>
  <c r="AB448" i="7"/>
  <c r="AB449" i="7"/>
  <c r="AB450" i="7"/>
  <c r="AB451" i="7"/>
  <c r="AB452" i="7"/>
  <c r="AB453" i="7"/>
  <c r="AB454" i="7"/>
  <c r="AB455" i="7"/>
  <c r="AB456" i="7"/>
  <c r="AB457" i="7"/>
  <c r="AB458" i="7"/>
  <c r="AB459" i="7"/>
  <c r="AB460" i="7"/>
  <c r="AB461" i="7"/>
  <c r="AB462" i="7"/>
  <c r="AB463" i="7"/>
  <c r="AB464" i="7"/>
  <c r="AB465" i="7"/>
  <c r="AB466" i="7"/>
  <c r="AB467" i="7"/>
  <c r="AB468" i="7"/>
  <c r="AB469" i="7"/>
  <c r="AB470" i="7"/>
  <c r="AB471" i="7"/>
  <c r="AB472" i="7"/>
  <c r="AB473" i="7"/>
  <c r="AB474" i="7"/>
  <c r="AB475" i="7"/>
  <c r="AB476" i="7"/>
  <c r="AB477" i="7"/>
  <c r="AB478" i="7"/>
  <c r="AB479" i="7"/>
  <c r="AB480" i="7"/>
  <c r="AB481" i="7"/>
  <c r="AB482" i="7"/>
  <c r="AB483" i="7"/>
  <c r="AB484" i="7"/>
  <c r="AB485" i="7"/>
  <c r="AB486" i="7"/>
  <c r="AB487" i="7"/>
  <c r="AB488" i="7"/>
  <c r="AB489" i="7"/>
  <c r="AB490" i="7"/>
  <c r="AB491" i="7"/>
  <c r="AB492" i="7"/>
  <c r="AB493" i="7"/>
  <c r="AB494" i="7"/>
  <c r="AB495" i="7"/>
  <c r="AB496" i="7"/>
  <c r="AB497" i="7"/>
  <c r="AB498" i="7"/>
  <c r="AB499" i="7"/>
  <c r="AB500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C73" i="7"/>
  <c r="AC74" i="7"/>
  <c r="AC75" i="7"/>
  <c r="AC76" i="7"/>
  <c r="AC77" i="7"/>
  <c r="AC78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C117" i="7"/>
  <c r="AC118" i="7"/>
  <c r="AC119" i="7"/>
  <c r="AC120" i="7"/>
  <c r="AC121" i="7"/>
  <c r="AC122" i="7"/>
  <c r="AC123" i="7"/>
  <c r="AC124" i="7"/>
  <c r="AC125" i="7"/>
  <c r="AC126" i="7"/>
  <c r="AC127" i="7"/>
  <c r="AC128" i="7"/>
  <c r="AC129" i="7"/>
  <c r="AC130" i="7"/>
  <c r="AC131" i="7"/>
  <c r="AC132" i="7"/>
  <c r="AC133" i="7"/>
  <c r="AC134" i="7"/>
  <c r="AC135" i="7"/>
  <c r="AC136" i="7"/>
  <c r="AC137" i="7"/>
  <c r="AC138" i="7"/>
  <c r="AC139" i="7"/>
  <c r="AC140" i="7"/>
  <c r="AC141" i="7"/>
  <c r="AC142" i="7"/>
  <c r="AC143" i="7"/>
  <c r="AC144" i="7"/>
  <c r="AC145" i="7"/>
  <c r="AC146" i="7"/>
  <c r="AC147" i="7"/>
  <c r="AC148" i="7"/>
  <c r="AC149" i="7"/>
  <c r="AC150" i="7"/>
  <c r="AC151" i="7"/>
  <c r="AC152" i="7"/>
  <c r="AC153" i="7"/>
  <c r="AC154" i="7"/>
  <c r="AC155" i="7"/>
  <c r="AC156" i="7"/>
  <c r="AC157" i="7"/>
  <c r="AC158" i="7"/>
  <c r="AC159" i="7"/>
  <c r="AC160" i="7"/>
  <c r="AC161" i="7"/>
  <c r="AC162" i="7"/>
  <c r="AC163" i="7"/>
  <c r="AC164" i="7"/>
  <c r="AC165" i="7"/>
  <c r="AC166" i="7"/>
  <c r="AC167" i="7"/>
  <c r="AC168" i="7"/>
  <c r="AC169" i="7"/>
  <c r="AC170" i="7"/>
  <c r="AC171" i="7"/>
  <c r="AC172" i="7"/>
  <c r="AC173" i="7"/>
  <c r="AC174" i="7"/>
  <c r="AC175" i="7"/>
  <c r="AC176" i="7"/>
  <c r="AC177" i="7"/>
  <c r="AC178" i="7"/>
  <c r="AC179" i="7"/>
  <c r="AC180" i="7"/>
  <c r="AC181" i="7"/>
  <c r="AC182" i="7"/>
  <c r="AC183" i="7"/>
  <c r="AC184" i="7"/>
  <c r="AC185" i="7"/>
  <c r="AC186" i="7"/>
  <c r="AC187" i="7"/>
  <c r="AC188" i="7"/>
  <c r="AC189" i="7"/>
  <c r="AC190" i="7"/>
  <c r="AC191" i="7"/>
  <c r="AC192" i="7"/>
  <c r="AC193" i="7"/>
  <c r="AC194" i="7"/>
  <c r="AC195" i="7"/>
  <c r="AC196" i="7"/>
  <c r="AC197" i="7"/>
  <c r="AC198" i="7"/>
  <c r="AC199" i="7"/>
  <c r="AC200" i="7"/>
  <c r="AC201" i="7"/>
  <c r="AC202" i="7"/>
  <c r="AC203" i="7"/>
  <c r="AC204" i="7"/>
  <c r="AC205" i="7"/>
  <c r="AC206" i="7"/>
  <c r="AC207" i="7"/>
  <c r="AC208" i="7"/>
  <c r="AC209" i="7"/>
  <c r="AC210" i="7"/>
  <c r="AC211" i="7"/>
  <c r="AC212" i="7"/>
  <c r="AC213" i="7"/>
  <c r="AC214" i="7"/>
  <c r="AC215" i="7"/>
  <c r="AC216" i="7"/>
  <c r="AC217" i="7"/>
  <c r="AC218" i="7"/>
  <c r="AC219" i="7"/>
  <c r="AC220" i="7"/>
  <c r="AC221" i="7"/>
  <c r="AC222" i="7"/>
  <c r="AC223" i="7"/>
  <c r="AC224" i="7"/>
  <c r="AC225" i="7"/>
  <c r="AC226" i="7"/>
  <c r="AC227" i="7"/>
  <c r="AC228" i="7"/>
  <c r="AC229" i="7"/>
  <c r="AC230" i="7"/>
  <c r="AC231" i="7"/>
  <c r="AC232" i="7"/>
  <c r="AC233" i="7"/>
  <c r="AC234" i="7"/>
  <c r="AC235" i="7"/>
  <c r="AC236" i="7"/>
  <c r="AC237" i="7"/>
  <c r="AC238" i="7"/>
  <c r="AC239" i="7"/>
  <c r="AC240" i="7"/>
  <c r="AC241" i="7"/>
  <c r="AC242" i="7"/>
  <c r="AC243" i="7"/>
  <c r="AC244" i="7"/>
  <c r="AC245" i="7"/>
  <c r="AC246" i="7"/>
  <c r="AC247" i="7"/>
  <c r="AC248" i="7"/>
  <c r="AC249" i="7"/>
  <c r="AC250" i="7"/>
  <c r="AC251" i="7"/>
  <c r="AC252" i="7"/>
  <c r="AC253" i="7"/>
  <c r="AC254" i="7"/>
  <c r="AC255" i="7"/>
  <c r="AC256" i="7"/>
  <c r="AC257" i="7"/>
  <c r="AC258" i="7"/>
  <c r="AC259" i="7"/>
  <c r="AC260" i="7"/>
  <c r="AC261" i="7"/>
  <c r="AC262" i="7"/>
  <c r="AC263" i="7"/>
  <c r="AC264" i="7"/>
  <c r="AC265" i="7"/>
  <c r="AC266" i="7"/>
  <c r="AC267" i="7"/>
  <c r="AC268" i="7"/>
  <c r="AC269" i="7"/>
  <c r="AC270" i="7"/>
  <c r="AC271" i="7"/>
  <c r="AC272" i="7"/>
  <c r="AC273" i="7"/>
  <c r="AC274" i="7"/>
  <c r="AC275" i="7"/>
  <c r="AC276" i="7"/>
  <c r="AC277" i="7"/>
  <c r="AC278" i="7"/>
  <c r="AC279" i="7"/>
  <c r="AC280" i="7"/>
  <c r="AC281" i="7"/>
  <c r="AC282" i="7"/>
  <c r="AC283" i="7"/>
  <c r="AC284" i="7"/>
  <c r="AC285" i="7"/>
  <c r="AC286" i="7"/>
  <c r="AC287" i="7"/>
  <c r="AC288" i="7"/>
  <c r="AC289" i="7"/>
  <c r="AC290" i="7"/>
  <c r="AC291" i="7"/>
  <c r="AC292" i="7"/>
  <c r="AC293" i="7"/>
  <c r="AC294" i="7"/>
  <c r="AC295" i="7"/>
  <c r="AC296" i="7"/>
  <c r="AC297" i="7"/>
  <c r="AC298" i="7"/>
  <c r="AC299" i="7"/>
  <c r="AC300" i="7"/>
  <c r="AC301" i="7"/>
  <c r="AC302" i="7"/>
  <c r="AC303" i="7"/>
  <c r="AC304" i="7"/>
  <c r="AC305" i="7"/>
  <c r="AC306" i="7"/>
  <c r="AC307" i="7"/>
  <c r="AC308" i="7"/>
  <c r="AC309" i="7"/>
  <c r="AC310" i="7"/>
  <c r="AC311" i="7"/>
  <c r="AC312" i="7"/>
  <c r="AC313" i="7"/>
  <c r="AC314" i="7"/>
  <c r="AC315" i="7"/>
  <c r="AC316" i="7"/>
  <c r="AC317" i="7"/>
  <c r="AC318" i="7"/>
  <c r="AC319" i="7"/>
  <c r="AC320" i="7"/>
  <c r="AC321" i="7"/>
  <c r="AC322" i="7"/>
  <c r="AC323" i="7"/>
  <c r="AC324" i="7"/>
  <c r="AC325" i="7"/>
  <c r="AC326" i="7"/>
  <c r="AC327" i="7"/>
  <c r="AC328" i="7"/>
  <c r="AC329" i="7"/>
  <c r="AC330" i="7"/>
  <c r="AC331" i="7"/>
  <c r="AC332" i="7"/>
  <c r="AC333" i="7"/>
  <c r="AC334" i="7"/>
  <c r="AC335" i="7"/>
  <c r="AC336" i="7"/>
  <c r="AC337" i="7"/>
  <c r="AC338" i="7"/>
  <c r="AC339" i="7"/>
  <c r="AC340" i="7"/>
  <c r="AC341" i="7"/>
  <c r="AC342" i="7"/>
  <c r="AC343" i="7"/>
  <c r="AC344" i="7"/>
  <c r="AC345" i="7"/>
  <c r="AC346" i="7"/>
  <c r="AC347" i="7"/>
  <c r="AC348" i="7"/>
  <c r="AC349" i="7"/>
  <c r="AC350" i="7"/>
  <c r="AC351" i="7"/>
  <c r="AC352" i="7"/>
  <c r="AC353" i="7"/>
  <c r="AC354" i="7"/>
  <c r="AC355" i="7"/>
  <c r="AC356" i="7"/>
  <c r="AC357" i="7"/>
  <c r="AC358" i="7"/>
  <c r="AC359" i="7"/>
  <c r="AC360" i="7"/>
  <c r="AC361" i="7"/>
  <c r="AC362" i="7"/>
  <c r="AC363" i="7"/>
  <c r="AC364" i="7"/>
  <c r="AC365" i="7"/>
  <c r="AC366" i="7"/>
  <c r="AC367" i="7"/>
  <c r="AC368" i="7"/>
  <c r="AC369" i="7"/>
  <c r="AC370" i="7"/>
  <c r="AC371" i="7"/>
  <c r="AC372" i="7"/>
  <c r="AC373" i="7"/>
  <c r="AC374" i="7"/>
  <c r="AC375" i="7"/>
  <c r="AC376" i="7"/>
  <c r="AC377" i="7"/>
  <c r="AC378" i="7"/>
  <c r="AC379" i="7"/>
  <c r="AC380" i="7"/>
  <c r="AC381" i="7"/>
  <c r="AC382" i="7"/>
  <c r="AC383" i="7"/>
  <c r="AC384" i="7"/>
  <c r="AC385" i="7"/>
  <c r="AC386" i="7"/>
  <c r="AC387" i="7"/>
  <c r="AC388" i="7"/>
  <c r="AC389" i="7"/>
  <c r="AC390" i="7"/>
  <c r="AC391" i="7"/>
  <c r="AC392" i="7"/>
  <c r="AC393" i="7"/>
  <c r="AC394" i="7"/>
  <c r="AC395" i="7"/>
  <c r="AC396" i="7"/>
  <c r="AC397" i="7"/>
  <c r="AC398" i="7"/>
  <c r="AC399" i="7"/>
  <c r="AC400" i="7"/>
  <c r="AC401" i="7"/>
  <c r="AC402" i="7"/>
  <c r="AC403" i="7"/>
  <c r="AC404" i="7"/>
  <c r="AC405" i="7"/>
  <c r="AC406" i="7"/>
  <c r="AC407" i="7"/>
  <c r="AC408" i="7"/>
  <c r="AC409" i="7"/>
  <c r="AC410" i="7"/>
  <c r="AC411" i="7"/>
  <c r="AC412" i="7"/>
  <c r="AC413" i="7"/>
  <c r="AC414" i="7"/>
  <c r="AC415" i="7"/>
  <c r="AC416" i="7"/>
  <c r="AC417" i="7"/>
  <c r="AC418" i="7"/>
  <c r="AC419" i="7"/>
  <c r="AC420" i="7"/>
  <c r="AC421" i="7"/>
  <c r="AC422" i="7"/>
  <c r="AC423" i="7"/>
  <c r="AC424" i="7"/>
  <c r="AC425" i="7"/>
  <c r="AC426" i="7"/>
  <c r="AC427" i="7"/>
  <c r="AC428" i="7"/>
  <c r="AC429" i="7"/>
  <c r="AC430" i="7"/>
  <c r="AC431" i="7"/>
  <c r="AC432" i="7"/>
  <c r="AC433" i="7"/>
  <c r="AC434" i="7"/>
  <c r="AC435" i="7"/>
  <c r="AC436" i="7"/>
  <c r="AC437" i="7"/>
  <c r="AC438" i="7"/>
  <c r="AC439" i="7"/>
  <c r="AC440" i="7"/>
  <c r="AC441" i="7"/>
  <c r="AC442" i="7"/>
  <c r="AC443" i="7"/>
  <c r="AC444" i="7"/>
  <c r="AC445" i="7"/>
  <c r="AC446" i="7"/>
  <c r="AC447" i="7"/>
  <c r="AC448" i="7"/>
  <c r="AC449" i="7"/>
  <c r="AC450" i="7"/>
  <c r="AC451" i="7"/>
  <c r="AC452" i="7"/>
  <c r="AC453" i="7"/>
  <c r="AC454" i="7"/>
  <c r="AC455" i="7"/>
  <c r="AC456" i="7"/>
  <c r="AC457" i="7"/>
  <c r="AC458" i="7"/>
  <c r="AC459" i="7"/>
  <c r="AC460" i="7"/>
  <c r="AC461" i="7"/>
  <c r="AC462" i="7"/>
  <c r="AC463" i="7"/>
  <c r="AC464" i="7"/>
  <c r="AC465" i="7"/>
  <c r="AC466" i="7"/>
  <c r="AC467" i="7"/>
  <c r="AC468" i="7"/>
  <c r="AC469" i="7"/>
  <c r="AC470" i="7"/>
  <c r="AC471" i="7"/>
  <c r="AC472" i="7"/>
  <c r="AC473" i="7"/>
  <c r="AC474" i="7"/>
  <c r="AC475" i="7"/>
  <c r="AC476" i="7"/>
  <c r="AC477" i="7"/>
  <c r="AC478" i="7"/>
  <c r="AC479" i="7"/>
  <c r="AC480" i="7"/>
  <c r="AC481" i="7"/>
  <c r="AC482" i="7"/>
  <c r="AC483" i="7"/>
  <c r="AC484" i="7"/>
  <c r="AC485" i="7"/>
  <c r="AC486" i="7"/>
  <c r="AC487" i="7"/>
  <c r="AC488" i="7"/>
  <c r="AC489" i="7"/>
  <c r="AC490" i="7"/>
  <c r="AC491" i="7"/>
  <c r="AC492" i="7"/>
  <c r="AC493" i="7"/>
  <c r="AC494" i="7"/>
  <c r="AC495" i="7"/>
  <c r="AC496" i="7"/>
  <c r="AC497" i="7"/>
  <c r="AC498" i="7"/>
  <c r="AC499" i="7"/>
  <c r="AC500" i="7"/>
  <c r="AD10" i="7"/>
  <c r="AD11" i="7"/>
  <c r="AD12" i="7"/>
  <c r="AD13" i="7"/>
  <c r="AD14" i="7"/>
  <c r="AD15" i="7"/>
  <c r="AD16" i="7"/>
  <c r="AD17" i="7"/>
  <c r="AD18" i="7"/>
  <c r="AD19" i="7"/>
  <c r="AD20" i="7"/>
  <c r="AD21" i="7"/>
  <c r="AD22" i="7"/>
  <c r="AD23" i="7"/>
  <c r="AD24" i="7"/>
  <c r="AD25" i="7"/>
  <c r="AD26" i="7"/>
  <c r="AD27" i="7"/>
  <c r="AD28" i="7"/>
  <c r="AD29" i="7"/>
  <c r="AD30" i="7"/>
  <c r="AD31" i="7"/>
  <c r="AD32" i="7"/>
  <c r="AD33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47" i="7"/>
  <c r="AD48" i="7"/>
  <c r="AD49" i="7"/>
  <c r="AD50" i="7"/>
  <c r="AD51" i="7"/>
  <c r="AD52" i="7"/>
  <c r="AD53" i="7"/>
  <c r="AD54" i="7"/>
  <c r="AD55" i="7"/>
  <c r="AD56" i="7"/>
  <c r="AD57" i="7"/>
  <c r="AD58" i="7"/>
  <c r="AD59" i="7"/>
  <c r="AD60" i="7"/>
  <c r="AD61" i="7"/>
  <c r="AD62" i="7"/>
  <c r="AD63" i="7"/>
  <c r="AD64" i="7"/>
  <c r="AD65" i="7"/>
  <c r="AD66" i="7"/>
  <c r="AD67" i="7"/>
  <c r="AD68" i="7"/>
  <c r="AD69" i="7"/>
  <c r="AD70" i="7"/>
  <c r="AD71" i="7"/>
  <c r="AD72" i="7"/>
  <c r="AD73" i="7"/>
  <c r="AD74" i="7"/>
  <c r="AD75" i="7"/>
  <c r="AD76" i="7"/>
  <c r="AD77" i="7"/>
  <c r="AD78" i="7"/>
  <c r="AD79" i="7"/>
  <c r="AD80" i="7"/>
  <c r="AD81" i="7"/>
  <c r="AD82" i="7"/>
  <c r="AD83" i="7"/>
  <c r="AD84" i="7"/>
  <c r="AD85" i="7"/>
  <c r="AD86" i="7"/>
  <c r="AD87" i="7"/>
  <c r="AD88" i="7"/>
  <c r="AD89" i="7"/>
  <c r="AD90" i="7"/>
  <c r="AD91" i="7"/>
  <c r="AD92" i="7"/>
  <c r="AD93" i="7"/>
  <c r="AD94" i="7"/>
  <c r="AD95" i="7"/>
  <c r="AD96" i="7"/>
  <c r="AD97" i="7"/>
  <c r="AD98" i="7"/>
  <c r="AD99" i="7"/>
  <c r="AD100" i="7"/>
  <c r="AD101" i="7"/>
  <c r="AD102" i="7"/>
  <c r="AD103" i="7"/>
  <c r="AD104" i="7"/>
  <c r="AD105" i="7"/>
  <c r="AD106" i="7"/>
  <c r="AD107" i="7"/>
  <c r="AD108" i="7"/>
  <c r="AD109" i="7"/>
  <c r="AD110" i="7"/>
  <c r="AD111" i="7"/>
  <c r="AD112" i="7"/>
  <c r="AD113" i="7"/>
  <c r="AD114" i="7"/>
  <c r="AD115" i="7"/>
  <c r="AD116" i="7"/>
  <c r="AD117" i="7"/>
  <c r="AD118" i="7"/>
  <c r="AD119" i="7"/>
  <c r="AD120" i="7"/>
  <c r="AD121" i="7"/>
  <c r="AD122" i="7"/>
  <c r="AD123" i="7"/>
  <c r="AD124" i="7"/>
  <c r="AD125" i="7"/>
  <c r="AD126" i="7"/>
  <c r="AD127" i="7"/>
  <c r="AD128" i="7"/>
  <c r="AD129" i="7"/>
  <c r="AD130" i="7"/>
  <c r="AD131" i="7"/>
  <c r="AD132" i="7"/>
  <c r="AD133" i="7"/>
  <c r="AD134" i="7"/>
  <c r="AD135" i="7"/>
  <c r="AD136" i="7"/>
  <c r="AD137" i="7"/>
  <c r="AD138" i="7"/>
  <c r="AD139" i="7"/>
  <c r="AD140" i="7"/>
  <c r="AD141" i="7"/>
  <c r="AD142" i="7"/>
  <c r="AD143" i="7"/>
  <c r="AD144" i="7"/>
  <c r="AD145" i="7"/>
  <c r="AD146" i="7"/>
  <c r="AD147" i="7"/>
  <c r="AD148" i="7"/>
  <c r="AD149" i="7"/>
  <c r="AD150" i="7"/>
  <c r="AD151" i="7"/>
  <c r="AD152" i="7"/>
  <c r="AD153" i="7"/>
  <c r="AD154" i="7"/>
  <c r="AD155" i="7"/>
  <c r="AD156" i="7"/>
  <c r="AD157" i="7"/>
  <c r="AD158" i="7"/>
  <c r="AD159" i="7"/>
  <c r="AD160" i="7"/>
  <c r="AD161" i="7"/>
  <c r="AD162" i="7"/>
  <c r="AD163" i="7"/>
  <c r="AD164" i="7"/>
  <c r="AD165" i="7"/>
  <c r="AD166" i="7"/>
  <c r="AD167" i="7"/>
  <c r="AD168" i="7"/>
  <c r="AD169" i="7"/>
  <c r="AD170" i="7"/>
  <c r="AD171" i="7"/>
  <c r="AD172" i="7"/>
  <c r="AD173" i="7"/>
  <c r="AD174" i="7"/>
  <c r="AD175" i="7"/>
  <c r="AD176" i="7"/>
  <c r="AD177" i="7"/>
  <c r="AD178" i="7"/>
  <c r="AD179" i="7"/>
  <c r="AD180" i="7"/>
  <c r="AD181" i="7"/>
  <c r="AD182" i="7"/>
  <c r="AD183" i="7"/>
  <c r="AD184" i="7"/>
  <c r="AD185" i="7"/>
  <c r="AD186" i="7"/>
  <c r="AD187" i="7"/>
  <c r="AD188" i="7"/>
  <c r="AD189" i="7"/>
  <c r="AD190" i="7"/>
  <c r="AD191" i="7"/>
  <c r="AD192" i="7"/>
  <c r="AD193" i="7"/>
  <c r="AD194" i="7"/>
  <c r="AD195" i="7"/>
  <c r="AD196" i="7"/>
  <c r="AD197" i="7"/>
  <c r="AD198" i="7"/>
  <c r="AD199" i="7"/>
  <c r="AD200" i="7"/>
  <c r="AD201" i="7"/>
  <c r="AD202" i="7"/>
  <c r="AD203" i="7"/>
  <c r="AD204" i="7"/>
  <c r="AD205" i="7"/>
  <c r="AD206" i="7"/>
  <c r="AD207" i="7"/>
  <c r="AD208" i="7"/>
  <c r="AD209" i="7"/>
  <c r="AD210" i="7"/>
  <c r="AD211" i="7"/>
  <c r="AD212" i="7"/>
  <c r="AD213" i="7"/>
  <c r="AD214" i="7"/>
  <c r="AD215" i="7"/>
  <c r="AD216" i="7"/>
  <c r="AD217" i="7"/>
  <c r="AD218" i="7"/>
  <c r="AD219" i="7"/>
  <c r="AD220" i="7"/>
  <c r="AD221" i="7"/>
  <c r="AD222" i="7"/>
  <c r="AD223" i="7"/>
  <c r="AD224" i="7"/>
  <c r="AD225" i="7"/>
  <c r="AD226" i="7"/>
  <c r="AD227" i="7"/>
  <c r="AD228" i="7"/>
  <c r="AD229" i="7"/>
  <c r="AD230" i="7"/>
  <c r="AD231" i="7"/>
  <c r="AD232" i="7"/>
  <c r="AD233" i="7"/>
  <c r="AD234" i="7"/>
  <c r="AD235" i="7"/>
  <c r="AD236" i="7"/>
  <c r="AD237" i="7"/>
  <c r="AD238" i="7"/>
  <c r="AD239" i="7"/>
  <c r="AD240" i="7"/>
  <c r="AD241" i="7"/>
  <c r="AD242" i="7"/>
  <c r="AD243" i="7"/>
  <c r="AD244" i="7"/>
  <c r="AD245" i="7"/>
  <c r="AD246" i="7"/>
  <c r="AD247" i="7"/>
  <c r="AD248" i="7"/>
  <c r="AD249" i="7"/>
  <c r="AD250" i="7"/>
  <c r="AD251" i="7"/>
  <c r="AD252" i="7"/>
  <c r="AD253" i="7"/>
  <c r="AD254" i="7"/>
  <c r="AD255" i="7"/>
  <c r="AD256" i="7"/>
  <c r="AD257" i="7"/>
  <c r="AD258" i="7"/>
  <c r="AD259" i="7"/>
  <c r="AD260" i="7"/>
  <c r="AD261" i="7"/>
  <c r="AD262" i="7"/>
  <c r="AD263" i="7"/>
  <c r="AD264" i="7"/>
  <c r="AD265" i="7"/>
  <c r="AD266" i="7"/>
  <c r="AD267" i="7"/>
  <c r="AD268" i="7"/>
  <c r="AD269" i="7"/>
  <c r="AD270" i="7"/>
  <c r="AD271" i="7"/>
  <c r="AD272" i="7"/>
  <c r="AD273" i="7"/>
  <c r="AD274" i="7"/>
  <c r="AD275" i="7"/>
  <c r="AD276" i="7"/>
  <c r="AD277" i="7"/>
  <c r="AD278" i="7"/>
  <c r="AD279" i="7"/>
  <c r="AD280" i="7"/>
  <c r="AD281" i="7"/>
  <c r="AD282" i="7"/>
  <c r="AD283" i="7"/>
  <c r="AD284" i="7"/>
  <c r="AD285" i="7"/>
  <c r="AD286" i="7"/>
  <c r="AD287" i="7"/>
  <c r="AD288" i="7"/>
  <c r="AD289" i="7"/>
  <c r="AD290" i="7"/>
  <c r="AD291" i="7"/>
  <c r="AD292" i="7"/>
  <c r="AD293" i="7"/>
  <c r="AD294" i="7"/>
  <c r="AD295" i="7"/>
  <c r="AD296" i="7"/>
  <c r="AD297" i="7"/>
  <c r="AD298" i="7"/>
  <c r="AD299" i="7"/>
  <c r="AD300" i="7"/>
  <c r="AD301" i="7"/>
  <c r="AD302" i="7"/>
  <c r="AD303" i="7"/>
  <c r="AD304" i="7"/>
  <c r="AD305" i="7"/>
  <c r="AD306" i="7"/>
  <c r="AD307" i="7"/>
  <c r="AD308" i="7"/>
  <c r="AD309" i="7"/>
  <c r="AD310" i="7"/>
  <c r="AD311" i="7"/>
  <c r="AD312" i="7"/>
  <c r="AD313" i="7"/>
  <c r="AD314" i="7"/>
  <c r="AD315" i="7"/>
  <c r="AD316" i="7"/>
  <c r="AD317" i="7"/>
  <c r="AD318" i="7"/>
  <c r="AD319" i="7"/>
  <c r="AD320" i="7"/>
  <c r="AD321" i="7"/>
  <c r="AD322" i="7"/>
  <c r="AD323" i="7"/>
  <c r="AD324" i="7"/>
  <c r="AD325" i="7"/>
  <c r="AD326" i="7"/>
  <c r="AD327" i="7"/>
  <c r="AD328" i="7"/>
  <c r="AD329" i="7"/>
  <c r="AD330" i="7"/>
  <c r="AD331" i="7"/>
  <c r="AD332" i="7"/>
  <c r="AD333" i="7"/>
  <c r="AD334" i="7"/>
  <c r="AD335" i="7"/>
  <c r="AD336" i="7"/>
  <c r="AD337" i="7"/>
  <c r="AD338" i="7"/>
  <c r="AD339" i="7"/>
  <c r="AD340" i="7"/>
  <c r="AD341" i="7"/>
  <c r="AD342" i="7"/>
  <c r="AD343" i="7"/>
  <c r="AD344" i="7"/>
  <c r="AD345" i="7"/>
  <c r="AD346" i="7"/>
  <c r="AD347" i="7"/>
  <c r="AD348" i="7"/>
  <c r="AD349" i="7"/>
  <c r="AD350" i="7"/>
  <c r="AD351" i="7"/>
  <c r="AD352" i="7"/>
  <c r="AD353" i="7"/>
  <c r="AD354" i="7"/>
  <c r="AD355" i="7"/>
  <c r="AD356" i="7"/>
  <c r="AD357" i="7"/>
  <c r="AD358" i="7"/>
  <c r="AD359" i="7"/>
  <c r="AD360" i="7"/>
  <c r="AD361" i="7"/>
  <c r="AD362" i="7"/>
  <c r="AD363" i="7"/>
  <c r="AD364" i="7"/>
  <c r="AD365" i="7"/>
  <c r="AD366" i="7"/>
  <c r="AD367" i="7"/>
  <c r="AD368" i="7"/>
  <c r="AD369" i="7"/>
  <c r="AD370" i="7"/>
  <c r="AD371" i="7"/>
  <c r="AD372" i="7"/>
  <c r="AD373" i="7"/>
  <c r="AD374" i="7"/>
  <c r="AD375" i="7"/>
  <c r="AD376" i="7"/>
  <c r="AD377" i="7"/>
  <c r="AD378" i="7"/>
  <c r="AD379" i="7"/>
  <c r="AD380" i="7"/>
  <c r="AD381" i="7"/>
  <c r="AD382" i="7"/>
  <c r="AD383" i="7"/>
  <c r="AD384" i="7"/>
  <c r="AD385" i="7"/>
  <c r="AD386" i="7"/>
  <c r="AD387" i="7"/>
  <c r="AD388" i="7"/>
  <c r="AD389" i="7"/>
  <c r="AD390" i="7"/>
  <c r="AD391" i="7"/>
  <c r="AD392" i="7"/>
  <c r="AD393" i="7"/>
  <c r="AD394" i="7"/>
  <c r="AD395" i="7"/>
  <c r="AD396" i="7"/>
  <c r="AD397" i="7"/>
  <c r="AD398" i="7"/>
  <c r="AD399" i="7"/>
  <c r="AD400" i="7"/>
  <c r="AD401" i="7"/>
  <c r="AD402" i="7"/>
  <c r="AD403" i="7"/>
  <c r="AD404" i="7"/>
  <c r="AD405" i="7"/>
  <c r="AD406" i="7"/>
  <c r="AD407" i="7"/>
  <c r="AD408" i="7"/>
  <c r="AD409" i="7"/>
  <c r="AD410" i="7"/>
  <c r="AD411" i="7"/>
  <c r="AD412" i="7"/>
  <c r="AD413" i="7"/>
  <c r="AD414" i="7"/>
  <c r="AD415" i="7"/>
  <c r="AD416" i="7"/>
  <c r="AD417" i="7"/>
  <c r="AD418" i="7"/>
  <c r="AD419" i="7"/>
  <c r="AD420" i="7"/>
  <c r="AD421" i="7"/>
  <c r="AD422" i="7"/>
  <c r="AD423" i="7"/>
  <c r="AD424" i="7"/>
  <c r="AD425" i="7"/>
  <c r="AD426" i="7"/>
  <c r="AD427" i="7"/>
  <c r="AD428" i="7"/>
  <c r="AD429" i="7"/>
  <c r="AD430" i="7"/>
  <c r="AD431" i="7"/>
  <c r="AD432" i="7"/>
  <c r="AD433" i="7"/>
  <c r="AD434" i="7"/>
  <c r="AD435" i="7"/>
  <c r="AD436" i="7"/>
  <c r="AD437" i="7"/>
  <c r="AD438" i="7"/>
  <c r="AD439" i="7"/>
  <c r="AD440" i="7"/>
  <c r="AD441" i="7"/>
  <c r="AD442" i="7"/>
  <c r="AD443" i="7"/>
  <c r="AD444" i="7"/>
  <c r="AD445" i="7"/>
  <c r="AD446" i="7"/>
  <c r="AD447" i="7"/>
  <c r="AD448" i="7"/>
  <c r="AD449" i="7"/>
  <c r="AD450" i="7"/>
  <c r="AD451" i="7"/>
  <c r="AD452" i="7"/>
  <c r="AD453" i="7"/>
  <c r="AD454" i="7"/>
  <c r="AD455" i="7"/>
  <c r="AD456" i="7"/>
  <c r="AD457" i="7"/>
  <c r="AD458" i="7"/>
  <c r="AD459" i="7"/>
  <c r="AD460" i="7"/>
  <c r="AD461" i="7"/>
  <c r="AD462" i="7"/>
  <c r="AD463" i="7"/>
  <c r="AD464" i="7"/>
  <c r="AD465" i="7"/>
  <c r="AD466" i="7"/>
  <c r="AD467" i="7"/>
  <c r="AD468" i="7"/>
  <c r="AD469" i="7"/>
  <c r="AD470" i="7"/>
  <c r="AD471" i="7"/>
  <c r="AD472" i="7"/>
  <c r="AD473" i="7"/>
  <c r="AD474" i="7"/>
  <c r="AD475" i="7"/>
  <c r="AD476" i="7"/>
  <c r="AD477" i="7"/>
  <c r="AD478" i="7"/>
  <c r="AD479" i="7"/>
  <c r="AD480" i="7"/>
  <c r="AD481" i="7"/>
  <c r="AD482" i="7"/>
  <c r="AD483" i="7"/>
  <c r="AD484" i="7"/>
  <c r="AD485" i="7"/>
  <c r="AD486" i="7"/>
  <c r="AD487" i="7"/>
  <c r="AD488" i="7"/>
  <c r="AD489" i="7"/>
  <c r="AD490" i="7"/>
  <c r="AD491" i="7"/>
  <c r="AD492" i="7"/>
  <c r="AD493" i="7"/>
  <c r="AD494" i="7"/>
  <c r="AD495" i="7"/>
  <c r="AD496" i="7"/>
  <c r="AD497" i="7"/>
  <c r="AD498" i="7"/>
  <c r="AD499" i="7"/>
  <c r="AD500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69" i="7"/>
  <c r="AE70" i="7"/>
  <c r="AE71" i="7"/>
  <c r="AE72" i="7"/>
  <c r="AE73" i="7"/>
  <c r="AE74" i="7"/>
  <c r="AE75" i="7"/>
  <c r="AE76" i="7"/>
  <c r="AE77" i="7"/>
  <c r="AE78" i="7"/>
  <c r="AE79" i="7"/>
  <c r="AE80" i="7"/>
  <c r="AE81" i="7"/>
  <c r="AE82" i="7"/>
  <c r="AE83" i="7"/>
  <c r="AE84" i="7"/>
  <c r="AE85" i="7"/>
  <c r="AE86" i="7"/>
  <c r="AE87" i="7"/>
  <c r="AE88" i="7"/>
  <c r="AE89" i="7"/>
  <c r="AE90" i="7"/>
  <c r="AE91" i="7"/>
  <c r="AE92" i="7"/>
  <c r="AE93" i="7"/>
  <c r="AE94" i="7"/>
  <c r="AE95" i="7"/>
  <c r="AE96" i="7"/>
  <c r="AE97" i="7"/>
  <c r="AE98" i="7"/>
  <c r="AE99" i="7"/>
  <c r="AE100" i="7"/>
  <c r="AE101" i="7"/>
  <c r="AE102" i="7"/>
  <c r="AE103" i="7"/>
  <c r="AE104" i="7"/>
  <c r="AE105" i="7"/>
  <c r="AE106" i="7"/>
  <c r="AE107" i="7"/>
  <c r="AE108" i="7"/>
  <c r="AE109" i="7"/>
  <c r="AE110" i="7"/>
  <c r="AE111" i="7"/>
  <c r="AE112" i="7"/>
  <c r="AE113" i="7"/>
  <c r="AE114" i="7"/>
  <c r="AE115" i="7"/>
  <c r="AE116" i="7"/>
  <c r="AE117" i="7"/>
  <c r="AE118" i="7"/>
  <c r="AE119" i="7"/>
  <c r="AE120" i="7"/>
  <c r="AE121" i="7"/>
  <c r="AE122" i="7"/>
  <c r="AE123" i="7"/>
  <c r="AE124" i="7"/>
  <c r="AE125" i="7"/>
  <c r="AE126" i="7"/>
  <c r="AE127" i="7"/>
  <c r="AE128" i="7"/>
  <c r="AE129" i="7"/>
  <c r="AE130" i="7"/>
  <c r="AE131" i="7"/>
  <c r="AE132" i="7"/>
  <c r="AE133" i="7"/>
  <c r="AE134" i="7"/>
  <c r="AE135" i="7"/>
  <c r="AE136" i="7"/>
  <c r="AE137" i="7"/>
  <c r="AE138" i="7"/>
  <c r="AE139" i="7"/>
  <c r="AE140" i="7"/>
  <c r="AE141" i="7"/>
  <c r="AE142" i="7"/>
  <c r="AE143" i="7"/>
  <c r="AE144" i="7"/>
  <c r="AE145" i="7"/>
  <c r="AE146" i="7"/>
  <c r="AE147" i="7"/>
  <c r="AE148" i="7"/>
  <c r="AE149" i="7"/>
  <c r="AE150" i="7"/>
  <c r="AE151" i="7"/>
  <c r="AE152" i="7"/>
  <c r="AE153" i="7"/>
  <c r="AE154" i="7"/>
  <c r="AE155" i="7"/>
  <c r="AE156" i="7"/>
  <c r="AE157" i="7"/>
  <c r="AE158" i="7"/>
  <c r="AE159" i="7"/>
  <c r="AE160" i="7"/>
  <c r="AE161" i="7"/>
  <c r="AE162" i="7"/>
  <c r="AE163" i="7"/>
  <c r="AE164" i="7"/>
  <c r="AE165" i="7"/>
  <c r="AE166" i="7"/>
  <c r="AE167" i="7"/>
  <c r="AE168" i="7"/>
  <c r="AE169" i="7"/>
  <c r="AE170" i="7"/>
  <c r="AE171" i="7"/>
  <c r="AE172" i="7"/>
  <c r="AE173" i="7"/>
  <c r="AE174" i="7"/>
  <c r="AE175" i="7"/>
  <c r="AE176" i="7"/>
  <c r="AE177" i="7"/>
  <c r="AE178" i="7"/>
  <c r="AE179" i="7"/>
  <c r="AE180" i="7"/>
  <c r="AE181" i="7"/>
  <c r="AE182" i="7"/>
  <c r="AE183" i="7"/>
  <c r="AE184" i="7"/>
  <c r="AE185" i="7"/>
  <c r="AE186" i="7"/>
  <c r="AE187" i="7"/>
  <c r="AE188" i="7"/>
  <c r="AE189" i="7"/>
  <c r="AE190" i="7"/>
  <c r="AE191" i="7"/>
  <c r="AE192" i="7"/>
  <c r="AE193" i="7"/>
  <c r="AE194" i="7"/>
  <c r="AE195" i="7"/>
  <c r="AE196" i="7"/>
  <c r="AE197" i="7"/>
  <c r="AE198" i="7"/>
  <c r="AE199" i="7"/>
  <c r="AE200" i="7"/>
  <c r="AE201" i="7"/>
  <c r="AE202" i="7"/>
  <c r="AE203" i="7"/>
  <c r="AE204" i="7"/>
  <c r="AE205" i="7"/>
  <c r="AE206" i="7"/>
  <c r="AE207" i="7"/>
  <c r="AE208" i="7"/>
  <c r="AE209" i="7"/>
  <c r="AE210" i="7"/>
  <c r="AE211" i="7"/>
  <c r="AE212" i="7"/>
  <c r="AE213" i="7"/>
  <c r="AE214" i="7"/>
  <c r="AE215" i="7"/>
  <c r="AE216" i="7"/>
  <c r="AE217" i="7"/>
  <c r="AE218" i="7"/>
  <c r="AE219" i="7"/>
  <c r="AE220" i="7"/>
  <c r="AE221" i="7"/>
  <c r="AE222" i="7"/>
  <c r="AE223" i="7"/>
  <c r="AE224" i="7"/>
  <c r="AE225" i="7"/>
  <c r="AE226" i="7"/>
  <c r="AE227" i="7"/>
  <c r="AE228" i="7"/>
  <c r="AE229" i="7"/>
  <c r="AE230" i="7"/>
  <c r="AE231" i="7"/>
  <c r="AE232" i="7"/>
  <c r="AE233" i="7"/>
  <c r="AE234" i="7"/>
  <c r="AE235" i="7"/>
  <c r="AE236" i="7"/>
  <c r="AE237" i="7"/>
  <c r="AE238" i="7"/>
  <c r="AE239" i="7"/>
  <c r="AE240" i="7"/>
  <c r="AE241" i="7"/>
  <c r="AE242" i="7"/>
  <c r="AE243" i="7"/>
  <c r="AE244" i="7"/>
  <c r="AE245" i="7"/>
  <c r="AE246" i="7"/>
  <c r="AE247" i="7"/>
  <c r="AE248" i="7"/>
  <c r="AE249" i="7"/>
  <c r="AE250" i="7"/>
  <c r="AE251" i="7"/>
  <c r="AE252" i="7"/>
  <c r="AE253" i="7"/>
  <c r="AE254" i="7"/>
  <c r="AE255" i="7"/>
  <c r="AE256" i="7"/>
  <c r="AE257" i="7"/>
  <c r="AE258" i="7"/>
  <c r="AE259" i="7"/>
  <c r="AE260" i="7"/>
  <c r="AE261" i="7"/>
  <c r="AE262" i="7"/>
  <c r="AE263" i="7"/>
  <c r="AE264" i="7"/>
  <c r="AE265" i="7"/>
  <c r="AE266" i="7"/>
  <c r="AE267" i="7"/>
  <c r="AE268" i="7"/>
  <c r="AE269" i="7"/>
  <c r="AE270" i="7"/>
  <c r="AE271" i="7"/>
  <c r="AE272" i="7"/>
  <c r="AE273" i="7"/>
  <c r="AE274" i="7"/>
  <c r="AE275" i="7"/>
  <c r="AE276" i="7"/>
  <c r="AE277" i="7"/>
  <c r="AE278" i="7"/>
  <c r="AE279" i="7"/>
  <c r="AE280" i="7"/>
  <c r="AE281" i="7"/>
  <c r="AE282" i="7"/>
  <c r="AE283" i="7"/>
  <c r="AE284" i="7"/>
  <c r="AE285" i="7"/>
  <c r="AE286" i="7"/>
  <c r="AE287" i="7"/>
  <c r="AE288" i="7"/>
  <c r="AE289" i="7"/>
  <c r="AE290" i="7"/>
  <c r="AE291" i="7"/>
  <c r="AE292" i="7"/>
  <c r="AE293" i="7"/>
  <c r="AE294" i="7"/>
  <c r="AE295" i="7"/>
  <c r="AE296" i="7"/>
  <c r="AE297" i="7"/>
  <c r="AE298" i="7"/>
  <c r="AE299" i="7"/>
  <c r="AE300" i="7"/>
  <c r="AE301" i="7"/>
  <c r="AE302" i="7"/>
  <c r="AE303" i="7"/>
  <c r="AE304" i="7"/>
  <c r="AE305" i="7"/>
  <c r="AE306" i="7"/>
  <c r="AE307" i="7"/>
  <c r="AE308" i="7"/>
  <c r="AE309" i="7"/>
  <c r="AE310" i="7"/>
  <c r="AE311" i="7"/>
  <c r="AE312" i="7"/>
  <c r="AE313" i="7"/>
  <c r="AE314" i="7"/>
  <c r="AE315" i="7"/>
  <c r="AE316" i="7"/>
  <c r="AE317" i="7"/>
  <c r="AE318" i="7"/>
  <c r="AE319" i="7"/>
  <c r="AE320" i="7"/>
  <c r="AE321" i="7"/>
  <c r="AE322" i="7"/>
  <c r="AE323" i="7"/>
  <c r="AE324" i="7"/>
  <c r="AE325" i="7"/>
  <c r="AE326" i="7"/>
  <c r="AE327" i="7"/>
  <c r="AE328" i="7"/>
  <c r="AE329" i="7"/>
  <c r="AE330" i="7"/>
  <c r="AE331" i="7"/>
  <c r="AE332" i="7"/>
  <c r="AE333" i="7"/>
  <c r="AE334" i="7"/>
  <c r="AE335" i="7"/>
  <c r="AE336" i="7"/>
  <c r="AE337" i="7"/>
  <c r="AE338" i="7"/>
  <c r="AE339" i="7"/>
  <c r="AE340" i="7"/>
  <c r="AE341" i="7"/>
  <c r="AE342" i="7"/>
  <c r="AE343" i="7"/>
  <c r="AE344" i="7"/>
  <c r="AE345" i="7"/>
  <c r="AE346" i="7"/>
  <c r="AE347" i="7"/>
  <c r="AE348" i="7"/>
  <c r="AE349" i="7"/>
  <c r="AE350" i="7"/>
  <c r="AE351" i="7"/>
  <c r="AE352" i="7"/>
  <c r="AE353" i="7"/>
  <c r="AE354" i="7"/>
  <c r="AE355" i="7"/>
  <c r="AE356" i="7"/>
  <c r="AE357" i="7"/>
  <c r="AE358" i="7"/>
  <c r="AE359" i="7"/>
  <c r="AE360" i="7"/>
  <c r="AE361" i="7"/>
  <c r="AE362" i="7"/>
  <c r="AE363" i="7"/>
  <c r="AE364" i="7"/>
  <c r="AE365" i="7"/>
  <c r="AE366" i="7"/>
  <c r="AE367" i="7"/>
  <c r="AE368" i="7"/>
  <c r="AE369" i="7"/>
  <c r="AE370" i="7"/>
  <c r="AE371" i="7"/>
  <c r="AE372" i="7"/>
  <c r="AE373" i="7"/>
  <c r="AE374" i="7"/>
  <c r="AE375" i="7"/>
  <c r="AE376" i="7"/>
  <c r="AE377" i="7"/>
  <c r="AE378" i="7"/>
  <c r="AE379" i="7"/>
  <c r="AE380" i="7"/>
  <c r="AE381" i="7"/>
  <c r="AE382" i="7"/>
  <c r="AE383" i="7"/>
  <c r="AE384" i="7"/>
  <c r="AE385" i="7"/>
  <c r="AE386" i="7"/>
  <c r="AE387" i="7"/>
  <c r="AE388" i="7"/>
  <c r="AE389" i="7"/>
  <c r="AE390" i="7"/>
  <c r="AE391" i="7"/>
  <c r="AE392" i="7"/>
  <c r="AE393" i="7"/>
  <c r="AE394" i="7"/>
  <c r="AE395" i="7"/>
  <c r="AE396" i="7"/>
  <c r="AE397" i="7"/>
  <c r="AE398" i="7"/>
  <c r="AE399" i="7"/>
  <c r="AE400" i="7"/>
  <c r="AE401" i="7"/>
  <c r="AE402" i="7"/>
  <c r="AE403" i="7"/>
  <c r="AE404" i="7"/>
  <c r="AE405" i="7"/>
  <c r="AE406" i="7"/>
  <c r="AE407" i="7"/>
  <c r="AE408" i="7"/>
  <c r="AE409" i="7"/>
  <c r="AE410" i="7"/>
  <c r="AE411" i="7"/>
  <c r="AE412" i="7"/>
  <c r="AE413" i="7"/>
  <c r="AE414" i="7"/>
  <c r="AE415" i="7"/>
  <c r="AE416" i="7"/>
  <c r="AE417" i="7"/>
  <c r="AE418" i="7"/>
  <c r="AE419" i="7"/>
  <c r="AE420" i="7"/>
  <c r="AE421" i="7"/>
  <c r="AE422" i="7"/>
  <c r="AE423" i="7"/>
  <c r="AE424" i="7"/>
  <c r="AE425" i="7"/>
  <c r="AE426" i="7"/>
  <c r="AE427" i="7"/>
  <c r="AE428" i="7"/>
  <c r="AE429" i="7"/>
  <c r="AE430" i="7"/>
  <c r="AE431" i="7"/>
  <c r="AE432" i="7"/>
  <c r="AE433" i="7"/>
  <c r="AE434" i="7"/>
  <c r="AE435" i="7"/>
  <c r="AE436" i="7"/>
  <c r="AE437" i="7"/>
  <c r="AE438" i="7"/>
  <c r="AE439" i="7"/>
  <c r="AE440" i="7"/>
  <c r="AE441" i="7"/>
  <c r="AE442" i="7"/>
  <c r="AE443" i="7"/>
  <c r="AE444" i="7"/>
  <c r="AE445" i="7"/>
  <c r="AE446" i="7"/>
  <c r="AE447" i="7"/>
  <c r="AE448" i="7"/>
  <c r="AE449" i="7"/>
  <c r="AE450" i="7"/>
  <c r="AE451" i="7"/>
  <c r="AE452" i="7"/>
  <c r="AE453" i="7"/>
  <c r="AE454" i="7"/>
  <c r="AE455" i="7"/>
  <c r="AE456" i="7"/>
  <c r="AE457" i="7"/>
  <c r="AE458" i="7"/>
  <c r="AE459" i="7"/>
  <c r="AE460" i="7"/>
  <c r="AE461" i="7"/>
  <c r="AE462" i="7"/>
  <c r="AE463" i="7"/>
  <c r="AE464" i="7"/>
  <c r="AE465" i="7"/>
  <c r="AE466" i="7"/>
  <c r="AE467" i="7"/>
  <c r="AE468" i="7"/>
  <c r="AE469" i="7"/>
  <c r="AE470" i="7"/>
  <c r="AE471" i="7"/>
  <c r="AE472" i="7"/>
  <c r="AE473" i="7"/>
  <c r="AE474" i="7"/>
  <c r="AE475" i="7"/>
  <c r="AE476" i="7"/>
  <c r="AE477" i="7"/>
  <c r="AE478" i="7"/>
  <c r="AE479" i="7"/>
  <c r="AE480" i="7"/>
  <c r="AE481" i="7"/>
  <c r="AE482" i="7"/>
  <c r="AE483" i="7"/>
  <c r="AE484" i="7"/>
  <c r="AE485" i="7"/>
  <c r="AE486" i="7"/>
  <c r="AE487" i="7"/>
  <c r="AE488" i="7"/>
  <c r="AE489" i="7"/>
  <c r="AE490" i="7"/>
  <c r="AE491" i="7"/>
  <c r="AE492" i="7"/>
  <c r="AE493" i="7"/>
  <c r="AE494" i="7"/>
  <c r="AE495" i="7"/>
  <c r="AE496" i="7"/>
  <c r="AE497" i="7"/>
  <c r="AE498" i="7"/>
  <c r="AE499" i="7"/>
  <c r="AE500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29" i="7"/>
  <c r="AF30" i="7"/>
  <c r="AF31" i="7"/>
  <c r="AF32" i="7"/>
  <c r="AF33" i="7"/>
  <c r="AF34" i="7"/>
  <c r="AF35" i="7"/>
  <c r="AF36" i="7"/>
  <c r="AF37" i="7"/>
  <c r="AF38" i="7"/>
  <c r="AF39" i="7"/>
  <c r="AF40" i="7"/>
  <c r="AF41" i="7"/>
  <c r="AF42" i="7"/>
  <c r="AF43" i="7"/>
  <c r="AF44" i="7"/>
  <c r="AF45" i="7"/>
  <c r="AF46" i="7"/>
  <c r="AF47" i="7"/>
  <c r="AF48" i="7"/>
  <c r="AF49" i="7"/>
  <c r="AF50" i="7"/>
  <c r="AF51" i="7"/>
  <c r="AF52" i="7"/>
  <c r="AF53" i="7"/>
  <c r="AF54" i="7"/>
  <c r="AF55" i="7"/>
  <c r="AF56" i="7"/>
  <c r="AF57" i="7"/>
  <c r="AF58" i="7"/>
  <c r="AF59" i="7"/>
  <c r="AF60" i="7"/>
  <c r="AF61" i="7"/>
  <c r="AF62" i="7"/>
  <c r="AF63" i="7"/>
  <c r="AF64" i="7"/>
  <c r="AF65" i="7"/>
  <c r="AF66" i="7"/>
  <c r="AF67" i="7"/>
  <c r="AF68" i="7"/>
  <c r="AF69" i="7"/>
  <c r="AF70" i="7"/>
  <c r="AF71" i="7"/>
  <c r="AF72" i="7"/>
  <c r="AF73" i="7"/>
  <c r="AF74" i="7"/>
  <c r="AF75" i="7"/>
  <c r="AF76" i="7"/>
  <c r="AF77" i="7"/>
  <c r="AF78" i="7"/>
  <c r="AF79" i="7"/>
  <c r="AF80" i="7"/>
  <c r="AF81" i="7"/>
  <c r="AF82" i="7"/>
  <c r="AF83" i="7"/>
  <c r="AF84" i="7"/>
  <c r="AF85" i="7"/>
  <c r="AF86" i="7"/>
  <c r="AF87" i="7"/>
  <c r="AF88" i="7"/>
  <c r="AF89" i="7"/>
  <c r="AF90" i="7"/>
  <c r="AF91" i="7"/>
  <c r="AF92" i="7"/>
  <c r="AF93" i="7"/>
  <c r="AF94" i="7"/>
  <c r="AF95" i="7"/>
  <c r="AF96" i="7"/>
  <c r="AF97" i="7"/>
  <c r="AF98" i="7"/>
  <c r="AF99" i="7"/>
  <c r="AF100" i="7"/>
  <c r="AF101" i="7"/>
  <c r="AF102" i="7"/>
  <c r="AF103" i="7"/>
  <c r="AF104" i="7"/>
  <c r="AF105" i="7"/>
  <c r="AF106" i="7"/>
  <c r="AF107" i="7"/>
  <c r="AF108" i="7"/>
  <c r="AF109" i="7"/>
  <c r="AF110" i="7"/>
  <c r="AF111" i="7"/>
  <c r="AF112" i="7"/>
  <c r="AF113" i="7"/>
  <c r="AF114" i="7"/>
  <c r="AF115" i="7"/>
  <c r="AF116" i="7"/>
  <c r="AF117" i="7"/>
  <c r="AF118" i="7"/>
  <c r="AF119" i="7"/>
  <c r="AF120" i="7"/>
  <c r="AF121" i="7"/>
  <c r="AF122" i="7"/>
  <c r="AF123" i="7"/>
  <c r="AF124" i="7"/>
  <c r="AF125" i="7"/>
  <c r="AF126" i="7"/>
  <c r="AF127" i="7"/>
  <c r="AF128" i="7"/>
  <c r="AF129" i="7"/>
  <c r="AF130" i="7"/>
  <c r="AF131" i="7"/>
  <c r="AF132" i="7"/>
  <c r="AF133" i="7"/>
  <c r="AF134" i="7"/>
  <c r="AF135" i="7"/>
  <c r="AF136" i="7"/>
  <c r="AF137" i="7"/>
  <c r="AF138" i="7"/>
  <c r="AF139" i="7"/>
  <c r="AF140" i="7"/>
  <c r="AF141" i="7"/>
  <c r="AF142" i="7"/>
  <c r="AF143" i="7"/>
  <c r="AF144" i="7"/>
  <c r="AF145" i="7"/>
  <c r="AF146" i="7"/>
  <c r="AF147" i="7"/>
  <c r="AF148" i="7"/>
  <c r="AF149" i="7"/>
  <c r="AF150" i="7"/>
  <c r="AF151" i="7"/>
  <c r="AF152" i="7"/>
  <c r="AF153" i="7"/>
  <c r="AF154" i="7"/>
  <c r="AF155" i="7"/>
  <c r="AF156" i="7"/>
  <c r="AF157" i="7"/>
  <c r="AF158" i="7"/>
  <c r="AF159" i="7"/>
  <c r="AF160" i="7"/>
  <c r="AF161" i="7"/>
  <c r="AF162" i="7"/>
  <c r="AF163" i="7"/>
  <c r="AF164" i="7"/>
  <c r="AF165" i="7"/>
  <c r="AF166" i="7"/>
  <c r="AF167" i="7"/>
  <c r="AF168" i="7"/>
  <c r="AF169" i="7"/>
  <c r="AF170" i="7"/>
  <c r="AF171" i="7"/>
  <c r="AF172" i="7"/>
  <c r="AF173" i="7"/>
  <c r="AF174" i="7"/>
  <c r="AF175" i="7"/>
  <c r="AF176" i="7"/>
  <c r="AF177" i="7"/>
  <c r="AF178" i="7"/>
  <c r="AF179" i="7"/>
  <c r="AF180" i="7"/>
  <c r="AF181" i="7"/>
  <c r="AF182" i="7"/>
  <c r="AF183" i="7"/>
  <c r="AF184" i="7"/>
  <c r="AF185" i="7"/>
  <c r="AF186" i="7"/>
  <c r="AF187" i="7"/>
  <c r="AF188" i="7"/>
  <c r="AF189" i="7"/>
  <c r="AF190" i="7"/>
  <c r="AF191" i="7"/>
  <c r="AF192" i="7"/>
  <c r="AF193" i="7"/>
  <c r="AF194" i="7"/>
  <c r="AF195" i="7"/>
  <c r="AF196" i="7"/>
  <c r="AF197" i="7"/>
  <c r="AF198" i="7"/>
  <c r="AF199" i="7"/>
  <c r="AF200" i="7"/>
  <c r="AF201" i="7"/>
  <c r="AF202" i="7"/>
  <c r="AF203" i="7"/>
  <c r="AF204" i="7"/>
  <c r="AF205" i="7"/>
  <c r="AF206" i="7"/>
  <c r="AF207" i="7"/>
  <c r="AF208" i="7"/>
  <c r="AF209" i="7"/>
  <c r="AF210" i="7"/>
  <c r="AF211" i="7"/>
  <c r="AF212" i="7"/>
  <c r="AF213" i="7"/>
  <c r="AF214" i="7"/>
  <c r="AF215" i="7"/>
  <c r="AF216" i="7"/>
  <c r="AF217" i="7"/>
  <c r="AF218" i="7"/>
  <c r="AF219" i="7"/>
  <c r="AF220" i="7"/>
  <c r="AF221" i="7"/>
  <c r="AF222" i="7"/>
  <c r="AF223" i="7"/>
  <c r="AF224" i="7"/>
  <c r="AF225" i="7"/>
  <c r="AF226" i="7"/>
  <c r="AF227" i="7"/>
  <c r="AF228" i="7"/>
  <c r="AF229" i="7"/>
  <c r="AF230" i="7"/>
  <c r="AF231" i="7"/>
  <c r="AF232" i="7"/>
  <c r="AF233" i="7"/>
  <c r="AF234" i="7"/>
  <c r="AF235" i="7"/>
  <c r="AF236" i="7"/>
  <c r="AF237" i="7"/>
  <c r="AF238" i="7"/>
  <c r="AF239" i="7"/>
  <c r="AF240" i="7"/>
  <c r="AF241" i="7"/>
  <c r="AF242" i="7"/>
  <c r="AF243" i="7"/>
  <c r="AF244" i="7"/>
  <c r="AF245" i="7"/>
  <c r="AF246" i="7"/>
  <c r="AF247" i="7"/>
  <c r="AF248" i="7"/>
  <c r="AF249" i="7"/>
  <c r="AF250" i="7"/>
  <c r="AF251" i="7"/>
  <c r="AF252" i="7"/>
  <c r="AF253" i="7"/>
  <c r="AF254" i="7"/>
  <c r="AF255" i="7"/>
  <c r="AF256" i="7"/>
  <c r="AF257" i="7"/>
  <c r="AF258" i="7"/>
  <c r="AF259" i="7"/>
  <c r="AF260" i="7"/>
  <c r="AF261" i="7"/>
  <c r="AF262" i="7"/>
  <c r="AF263" i="7"/>
  <c r="AF264" i="7"/>
  <c r="AF265" i="7"/>
  <c r="AF266" i="7"/>
  <c r="AF267" i="7"/>
  <c r="AF268" i="7"/>
  <c r="AF269" i="7"/>
  <c r="AF270" i="7"/>
  <c r="AF271" i="7"/>
  <c r="AF272" i="7"/>
  <c r="AF273" i="7"/>
  <c r="AF274" i="7"/>
  <c r="AF275" i="7"/>
  <c r="AF276" i="7"/>
  <c r="AF277" i="7"/>
  <c r="AF278" i="7"/>
  <c r="AF279" i="7"/>
  <c r="AF280" i="7"/>
  <c r="AF281" i="7"/>
  <c r="AF282" i="7"/>
  <c r="AF283" i="7"/>
  <c r="AF284" i="7"/>
  <c r="AF285" i="7"/>
  <c r="AF286" i="7"/>
  <c r="AF287" i="7"/>
  <c r="AF288" i="7"/>
  <c r="AF289" i="7"/>
  <c r="AF290" i="7"/>
  <c r="AF291" i="7"/>
  <c r="AF292" i="7"/>
  <c r="AF293" i="7"/>
  <c r="AF294" i="7"/>
  <c r="AF295" i="7"/>
  <c r="AF296" i="7"/>
  <c r="AF297" i="7"/>
  <c r="AF298" i="7"/>
  <c r="AF299" i="7"/>
  <c r="AF300" i="7"/>
  <c r="AF301" i="7"/>
  <c r="AF302" i="7"/>
  <c r="AF303" i="7"/>
  <c r="AF304" i="7"/>
  <c r="AF305" i="7"/>
  <c r="AF306" i="7"/>
  <c r="AF307" i="7"/>
  <c r="AF308" i="7"/>
  <c r="AF309" i="7"/>
  <c r="AF310" i="7"/>
  <c r="AF311" i="7"/>
  <c r="AF312" i="7"/>
  <c r="AF313" i="7"/>
  <c r="AF314" i="7"/>
  <c r="AF315" i="7"/>
  <c r="AF316" i="7"/>
  <c r="AF317" i="7"/>
  <c r="AF318" i="7"/>
  <c r="AF319" i="7"/>
  <c r="AF320" i="7"/>
  <c r="AF321" i="7"/>
  <c r="AF322" i="7"/>
  <c r="AF323" i="7"/>
  <c r="AF324" i="7"/>
  <c r="AF325" i="7"/>
  <c r="AF326" i="7"/>
  <c r="AF327" i="7"/>
  <c r="AF328" i="7"/>
  <c r="AF329" i="7"/>
  <c r="AF330" i="7"/>
  <c r="AF331" i="7"/>
  <c r="AF332" i="7"/>
  <c r="AF333" i="7"/>
  <c r="AF334" i="7"/>
  <c r="AF335" i="7"/>
  <c r="AF336" i="7"/>
  <c r="AF337" i="7"/>
  <c r="AF338" i="7"/>
  <c r="AF339" i="7"/>
  <c r="AF340" i="7"/>
  <c r="AF341" i="7"/>
  <c r="AF342" i="7"/>
  <c r="AF343" i="7"/>
  <c r="AF344" i="7"/>
  <c r="AF345" i="7"/>
  <c r="AF346" i="7"/>
  <c r="AF347" i="7"/>
  <c r="AF348" i="7"/>
  <c r="AF349" i="7"/>
  <c r="AF350" i="7"/>
  <c r="AF351" i="7"/>
  <c r="AF352" i="7"/>
  <c r="AF353" i="7"/>
  <c r="AF354" i="7"/>
  <c r="AF355" i="7"/>
  <c r="AF356" i="7"/>
  <c r="AF357" i="7"/>
  <c r="AF358" i="7"/>
  <c r="AF359" i="7"/>
  <c r="AF360" i="7"/>
  <c r="AF361" i="7"/>
  <c r="AF362" i="7"/>
  <c r="AF363" i="7"/>
  <c r="AF364" i="7"/>
  <c r="AF365" i="7"/>
  <c r="AF366" i="7"/>
  <c r="AF367" i="7"/>
  <c r="AF368" i="7"/>
  <c r="AF369" i="7"/>
  <c r="AF370" i="7"/>
  <c r="AF371" i="7"/>
  <c r="AF372" i="7"/>
  <c r="AF373" i="7"/>
  <c r="AF374" i="7"/>
  <c r="AF375" i="7"/>
  <c r="AF376" i="7"/>
  <c r="AF377" i="7"/>
  <c r="AF378" i="7"/>
  <c r="AF379" i="7"/>
  <c r="AF380" i="7"/>
  <c r="AF381" i="7"/>
  <c r="AF382" i="7"/>
  <c r="AF383" i="7"/>
  <c r="AF384" i="7"/>
  <c r="AF385" i="7"/>
  <c r="AF386" i="7"/>
  <c r="AF387" i="7"/>
  <c r="AF388" i="7"/>
  <c r="AF389" i="7"/>
  <c r="AF390" i="7"/>
  <c r="AF391" i="7"/>
  <c r="AF392" i="7"/>
  <c r="AF393" i="7"/>
  <c r="AF394" i="7"/>
  <c r="AF395" i="7"/>
  <c r="AF396" i="7"/>
  <c r="AF397" i="7"/>
  <c r="AF398" i="7"/>
  <c r="AF399" i="7"/>
  <c r="AF400" i="7"/>
  <c r="AF401" i="7"/>
  <c r="AF402" i="7"/>
  <c r="AF403" i="7"/>
  <c r="AF404" i="7"/>
  <c r="AF405" i="7"/>
  <c r="AF406" i="7"/>
  <c r="AF407" i="7"/>
  <c r="AF408" i="7"/>
  <c r="AF409" i="7"/>
  <c r="AF410" i="7"/>
  <c r="AF411" i="7"/>
  <c r="AF412" i="7"/>
  <c r="AF413" i="7"/>
  <c r="AF414" i="7"/>
  <c r="AF415" i="7"/>
  <c r="AF416" i="7"/>
  <c r="AF417" i="7"/>
  <c r="AF418" i="7"/>
  <c r="AF419" i="7"/>
  <c r="AF420" i="7"/>
  <c r="AF421" i="7"/>
  <c r="AF422" i="7"/>
  <c r="AF423" i="7"/>
  <c r="AF424" i="7"/>
  <c r="AF425" i="7"/>
  <c r="AF426" i="7"/>
  <c r="AF427" i="7"/>
  <c r="AF428" i="7"/>
  <c r="AF429" i="7"/>
  <c r="AF430" i="7"/>
  <c r="AF431" i="7"/>
  <c r="AF432" i="7"/>
  <c r="AF433" i="7"/>
  <c r="AF434" i="7"/>
  <c r="AF435" i="7"/>
  <c r="AF436" i="7"/>
  <c r="AF437" i="7"/>
  <c r="AF438" i="7"/>
  <c r="AF439" i="7"/>
  <c r="AF440" i="7"/>
  <c r="AF441" i="7"/>
  <c r="AF442" i="7"/>
  <c r="AF443" i="7"/>
  <c r="AF444" i="7"/>
  <c r="AF445" i="7"/>
  <c r="AF446" i="7"/>
  <c r="AF447" i="7"/>
  <c r="AF448" i="7"/>
  <c r="AF449" i="7"/>
  <c r="AF450" i="7"/>
  <c r="AF451" i="7"/>
  <c r="AF452" i="7"/>
  <c r="AF453" i="7"/>
  <c r="AF454" i="7"/>
  <c r="AF455" i="7"/>
  <c r="AF456" i="7"/>
  <c r="AF457" i="7"/>
  <c r="AF458" i="7"/>
  <c r="AF459" i="7"/>
  <c r="AF460" i="7"/>
  <c r="AF461" i="7"/>
  <c r="AF462" i="7"/>
  <c r="AF463" i="7"/>
  <c r="AF464" i="7"/>
  <c r="AF465" i="7"/>
  <c r="AF466" i="7"/>
  <c r="AF467" i="7"/>
  <c r="AF468" i="7"/>
  <c r="AF469" i="7"/>
  <c r="AF470" i="7"/>
  <c r="AF471" i="7"/>
  <c r="AF472" i="7"/>
  <c r="AF473" i="7"/>
  <c r="AF474" i="7"/>
  <c r="AF475" i="7"/>
  <c r="AF476" i="7"/>
  <c r="AF477" i="7"/>
  <c r="AF478" i="7"/>
  <c r="AF479" i="7"/>
  <c r="AF480" i="7"/>
  <c r="AF481" i="7"/>
  <c r="AF482" i="7"/>
  <c r="AF483" i="7"/>
  <c r="AF484" i="7"/>
  <c r="AF485" i="7"/>
  <c r="AF486" i="7"/>
  <c r="AF487" i="7"/>
  <c r="AF488" i="7"/>
  <c r="AF489" i="7"/>
  <c r="AF490" i="7"/>
  <c r="AF491" i="7"/>
  <c r="AF492" i="7"/>
  <c r="AF493" i="7"/>
  <c r="AF494" i="7"/>
  <c r="AF495" i="7"/>
  <c r="AF496" i="7"/>
  <c r="AF497" i="7"/>
  <c r="AF498" i="7"/>
  <c r="AF499" i="7"/>
  <c r="AF500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33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71" i="7"/>
  <c r="AG72" i="7"/>
  <c r="AG73" i="7"/>
  <c r="AG74" i="7"/>
  <c r="AG75" i="7"/>
  <c r="AG76" i="7"/>
  <c r="AG77" i="7"/>
  <c r="AG78" i="7"/>
  <c r="AG79" i="7"/>
  <c r="AG80" i="7"/>
  <c r="AG81" i="7"/>
  <c r="AG82" i="7"/>
  <c r="AG83" i="7"/>
  <c r="AG84" i="7"/>
  <c r="AG85" i="7"/>
  <c r="AG86" i="7"/>
  <c r="AG87" i="7"/>
  <c r="AG88" i="7"/>
  <c r="AG89" i="7"/>
  <c r="AG90" i="7"/>
  <c r="AG91" i="7"/>
  <c r="AG92" i="7"/>
  <c r="AG93" i="7"/>
  <c r="AG94" i="7"/>
  <c r="AG95" i="7"/>
  <c r="AG96" i="7"/>
  <c r="AG97" i="7"/>
  <c r="AG98" i="7"/>
  <c r="AG99" i="7"/>
  <c r="AG100" i="7"/>
  <c r="AG101" i="7"/>
  <c r="AG102" i="7"/>
  <c r="AG103" i="7"/>
  <c r="AG104" i="7"/>
  <c r="AG105" i="7"/>
  <c r="AG106" i="7"/>
  <c r="AG107" i="7"/>
  <c r="AG108" i="7"/>
  <c r="AG109" i="7"/>
  <c r="AG110" i="7"/>
  <c r="AG111" i="7"/>
  <c r="AG112" i="7"/>
  <c r="AG113" i="7"/>
  <c r="AG114" i="7"/>
  <c r="AG115" i="7"/>
  <c r="AG116" i="7"/>
  <c r="AG117" i="7"/>
  <c r="AG118" i="7"/>
  <c r="AG119" i="7"/>
  <c r="AG120" i="7"/>
  <c r="AG121" i="7"/>
  <c r="AG122" i="7"/>
  <c r="AG123" i="7"/>
  <c r="AG124" i="7"/>
  <c r="AG125" i="7"/>
  <c r="AG126" i="7"/>
  <c r="AG127" i="7"/>
  <c r="AG128" i="7"/>
  <c r="AG129" i="7"/>
  <c r="AG130" i="7"/>
  <c r="AG131" i="7"/>
  <c r="AG132" i="7"/>
  <c r="AG133" i="7"/>
  <c r="AG134" i="7"/>
  <c r="AG135" i="7"/>
  <c r="AG136" i="7"/>
  <c r="AG137" i="7"/>
  <c r="AG138" i="7"/>
  <c r="AG139" i="7"/>
  <c r="AG140" i="7"/>
  <c r="AG141" i="7"/>
  <c r="AG142" i="7"/>
  <c r="AG143" i="7"/>
  <c r="AG144" i="7"/>
  <c r="AG145" i="7"/>
  <c r="AG146" i="7"/>
  <c r="AG147" i="7"/>
  <c r="AG148" i="7"/>
  <c r="AG149" i="7"/>
  <c r="AG150" i="7"/>
  <c r="AG151" i="7"/>
  <c r="AG152" i="7"/>
  <c r="AG153" i="7"/>
  <c r="AG154" i="7"/>
  <c r="AG155" i="7"/>
  <c r="AG156" i="7"/>
  <c r="AG157" i="7"/>
  <c r="AG158" i="7"/>
  <c r="AG159" i="7"/>
  <c r="AG160" i="7"/>
  <c r="AG161" i="7"/>
  <c r="AG162" i="7"/>
  <c r="AG163" i="7"/>
  <c r="AG164" i="7"/>
  <c r="AG165" i="7"/>
  <c r="AG166" i="7"/>
  <c r="AG167" i="7"/>
  <c r="AG168" i="7"/>
  <c r="AG169" i="7"/>
  <c r="AG170" i="7"/>
  <c r="AG171" i="7"/>
  <c r="AG172" i="7"/>
  <c r="AG173" i="7"/>
  <c r="AG174" i="7"/>
  <c r="AG175" i="7"/>
  <c r="AG176" i="7"/>
  <c r="AG177" i="7"/>
  <c r="AG178" i="7"/>
  <c r="AG179" i="7"/>
  <c r="AG180" i="7"/>
  <c r="AG181" i="7"/>
  <c r="AG182" i="7"/>
  <c r="AG183" i="7"/>
  <c r="AG184" i="7"/>
  <c r="AG185" i="7"/>
  <c r="AG186" i="7"/>
  <c r="AG187" i="7"/>
  <c r="AG188" i="7"/>
  <c r="AG189" i="7"/>
  <c r="AG190" i="7"/>
  <c r="AG191" i="7"/>
  <c r="AG192" i="7"/>
  <c r="AG193" i="7"/>
  <c r="AG194" i="7"/>
  <c r="AG195" i="7"/>
  <c r="AG196" i="7"/>
  <c r="AG197" i="7"/>
  <c r="AG198" i="7"/>
  <c r="AG199" i="7"/>
  <c r="AG200" i="7"/>
  <c r="AG201" i="7"/>
  <c r="AG202" i="7"/>
  <c r="AG203" i="7"/>
  <c r="AG204" i="7"/>
  <c r="AG205" i="7"/>
  <c r="AG206" i="7"/>
  <c r="AG207" i="7"/>
  <c r="AG208" i="7"/>
  <c r="AG209" i="7"/>
  <c r="AG210" i="7"/>
  <c r="AG211" i="7"/>
  <c r="AG212" i="7"/>
  <c r="AG213" i="7"/>
  <c r="AG214" i="7"/>
  <c r="AG215" i="7"/>
  <c r="AG216" i="7"/>
  <c r="AG217" i="7"/>
  <c r="AG218" i="7"/>
  <c r="AG219" i="7"/>
  <c r="AG220" i="7"/>
  <c r="AG221" i="7"/>
  <c r="AG222" i="7"/>
  <c r="AG223" i="7"/>
  <c r="AG224" i="7"/>
  <c r="AG225" i="7"/>
  <c r="AG226" i="7"/>
  <c r="AG227" i="7"/>
  <c r="AG228" i="7"/>
  <c r="AG229" i="7"/>
  <c r="AG230" i="7"/>
  <c r="AG231" i="7"/>
  <c r="AG232" i="7"/>
  <c r="AG233" i="7"/>
  <c r="AG234" i="7"/>
  <c r="AG235" i="7"/>
  <c r="AG236" i="7"/>
  <c r="AG237" i="7"/>
  <c r="AG238" i="7"/>
  <c r="AG239" i="7"/>
  <c r="AG240" i="7"/>
  <c r="AG241" i="7"/>
  <c r="AG242" i="7"/>
  <c r="AG243" i="7"/>
  <c r="AG244" i="7"/>
  <c r="AG245" i="7"/>
  <c r="AG246" i="7"/>
  <c r="AG247" i="7"/>
  <c r="AG248" i="7"/>
  <c r="AG249" i="7"/>
  <c r="AG250" i="7"/>
  <c r="AG251" i="7"/>
  <c r="AG252" i="7"/>
  <c r="AG253" i="7"/>
  <c r="AG254" i="7"/>
  <c r="AG255" i="7"/>
  <c r="AG256" i="7"/>
  <c r="AG257" i="7"/>
  <c r="AG258" i="7"/>
  <c r="AG259" i="7"/>
  <c r="AG260" i="7"/>
  <c r="AG261" i="7"/>
  <c r="AG262" i="7"/>
  <c r="AG263" i="7"/>
  <c r="AG264" i="7"/>
  <c r="AG265" i="7"/>
  <c r="AG266" i="7"/>
  <c r="AG267" i="7"/>
  <c r="AG268" i="7"/>
  <c r="AG269" i="7"/>
  <c r="AG270" i="7"/>
  <c r="AG271" i="7"/>
  <c r="AG272" i="7"/>
  <c r="AG273" i="7"/>
  <c r="AG274" i="7"/>
  <c r="AG275" i="7"/>
  <c r="AG276" i="7"/>
  <c r="AG277" i="7"/>
  <c r="AG278" i="7"/>
  <c r="AG279" i="7"/>
  <c r="AG280" i="7"/>
  <c r="AG281" i="7"/>
  <c r="AG282" i="7"/>
  <c r="AG283" i="7"/>
  <c r="AG284" i="7"/>
  <c r="AG285" i="7"/>
  <c r="AG286" i="7"/>
  <c r="AG287" i="7"/>
  <c r="AG288" i="7"/>
  <c r="AG289" i="7"/>
  <c r="AG290" i="7"/>
  <c r="AG291" i="7"/>
  <c r="AG292" i="7"/>
  <c r="AG293" i="7"/>
  <c r="AG294" i="7"/>
  <c r="AG295" i="7"/>
  <c r="AG296" i="7"/>
  <c r="AG297" i="7"/>
  <c r="AG298" i="7"/>
  <c r="AG299" i="7"/>
  <c r="AG300" i="7"/>
  <c r="AG301" i="7"/>
  <c r="AG302" i="7"/>
  <c r="AG303" i="7"/>
  <c r="AG304" i="7"/>
  <c r="AG305" i="7"/>
  <c r="AG306" i="7"/>
  <c r="AG307" i="7"/>
  <c r="AG308" i="7"/>
  <c r="AG309" i="7"/>
  <c r="AG310" i="7"/>
  <c r="AG311" i="7"/>
  <c r="AG312" i="7"/>
  <c r="AG313" i="7"/>
  <c r="AG314" i="7"/>
  <c r="AG315" i="7"/>
  <c r="AG316" i="7"/>
  <c r="AG317" i="7"/>
  <c r="AG318" i="7"/>
  <c r="AG319" i="7"/>
  <c r="AG320" i="7"/>
  <c r="AG321" i="7"/>
  <c r="AG322" i="7"/>
  <c r="AG323" i="7"/>
  <c r="AG324" i="7"/>
  <c r="AG325" i="7"/>
  <c r="AG326" i="7"/>
  <c r="AG327" i="7"/>
  <c r="AG328" i="7"/>
  <c r="AG329" i="7"/>
  <c r="AG330" i="7"/>
  <c r="AG331" i="7"/>
  <c r="AG332" i="7"/>
  <c r="AG333" i="7"/>
  <c r="AG334" i="7"/>
  <c r="AG335" i="7"/>
  <c r="AG336" i="7"/>
  <c r="AG337" i="7"/>
  <c r="AG338" i="7"/>
  <c r="AG339" i="7"/>
  <c r="AG340" i="7"/>
  <c r="AG341" i="7"/>
  <c r="AG342" i="7"/>
  <c r="AG343" i="7"/>
  <c r="AG344" i="7"/>
  <c r="AG345" i="7"/>
  <c r="AG346" i="7"/>
  <c r="AG347" i="7"/>
  <c r="AG348" i="7"/>
  <c r="AG349" i="7"/>
  <c r="AG350" i="7"/>
  <c r="AG351" i="7"/>
  <c r="AG352" i="7"/>
  <c r="AG353" i="7"/>
  <c r="AG354" i="7"/>
  <c r="AG355" i="7"/>
  <c r="AG356" i="7"/>
  <c r="AG357" i="7"/>
  <c r="AG358" i="7"/>
  <c r="AG359" i="7"/>
  <c r="AG360" i="7"/>
  <c r="AG361" i="7"/>
  <c r="AG362" i="7"/>
  <c r="AG363" i="7"/>
  <c r="AG364" i="7"/>
  <c r="AG365" i="7"/>
  <c r="AG366" i="7"/>
  <c r="AG367" i="7"/>
  <c r="AG368" i="7"/>
  <c r="AG369" i="7"/>
  <c r="AG370" i="7"/>
  <c r="AG371" i="7"/>
  <c r="AG372" i="7"/>
  <c r="AG373" i="7"/>
  <c r="AG374" i="7"/>
  <c r="AG375" i="7"/>
  <c r="AG376" i="7"/>
  <c r="AG377" i="7"/>
  <c r="AG378" i="7"/>
  <c r="AG379" i="7"/>
  <c r="AG380" i="7"/>
  <c r="AG381" i="7"/>
  <c r="AG382" i="7"/>
  <c r="AG383" i="7"/>
  <c r="AG384" i="7"/>
  <c r="AG385" i="7"/>
  <c r="AG386" i="7"/>
  <c r="AG387" i="7"/>
  <c r="AG388" i="7"/>
  <c r="AG389" i="7"/>
  <c r="AG390" i="7"/>
  <c r="AG391" i="7"/>
  <c r="AG392" i="7"/>
  <c r="AG393" i="7"/>
  <c r="AG394" i="7"/>
  <c r="AG395" i="7"/>
  <c r="AG396" i="7"/>
  <c r="AG397" i="7"/>
  <c r="AG398" i="7"/>
  <c r="AG399" i="7"/>
  <c r="AG400" i="7"/>
  <c r="AG401" i="7"/>
  <c r="AG402" i="7"/>
  <c r="AG403" i="7"/>
  <c r="AG404" i="7"/>
  <c r="AG405" i="7"/>
  <c r="AG406" i="7"/>
  <c r="AG407" i="7"/>
  <c r="AG408" i="7"/>
  <c r="AG409" i="7"/>
  <c r="AG410" i="7"/>
  <c r="AG411" i="7"/>
  <c r="AG412" i="7"/>
  <c r="AG413" i="7"/>
  <c r="AG414" i="7"/>
  <c r="AG415" i="7"/>
  <c r="AG416" i="7"/>
  <c r="AG417" i="7"/>
  <c r="AG418" i="7"/>
  <c r="AG419" i="7"/>
  <c r="AG420" i="7"/>
  <c r="AG421" i="7"/>
  <c r="AG422" i="7"/>
  <c r="AG423" i="7"/>
  <c r="AG424" i="7"/>
  <c r="AG425" i="7"/>
  <c r="AG426" i="7"/>
  <c r="AG427" i="7"/>
  <c r="AG428" i="7"/>
  <c r="AG429" i="7"/>
  <c r="AG430" i="7"/>
  <c r="AG431" i="7"/>
  <c r="AG432" i="7"/>
  <c r="AG433" i="7"/>
  <c r="AG434" i="7"/>
  <c r="AG435" i="7"/>
  <c r="AG436" i="7"/>
  <c r="AG437" i="7"/>
  <c r="AG438" i="7"/>
  <c r="AG439" i="7"/>
  <c r="AG440" i="7"/>
  <c r="AG441" i="7"/>
  <c r="AG442" i="7"/>
  <c r="AG443" i="7"/>
  <c r="AG444" i="7"/>
  <c r="AG445" i="7"/>
  <c r="AG446" i="7"/>
  <c r="AG447" i="7"/>
  <c r="AG448" i="7"/>
  <c r="AG449" i="7"/>
  <c r="AG450" i="7"/>
  <c r="AG451" i="7"/>
  <c r="AG452" i="7"/>
  <c r="AG453" i="7"/>
  <c r="AG454" i="7"/>
  <c r="AG455" i="7"/>
  <c r="AG456" i="7"/>
  <c r="AG457" i="7"/>
  <c r="AG458" i="7"/>
  <c r="AG459" i="7"/>
  <c r="AG460" i="7"/>
  <c r="AG461" i="7"/>
  <c r="AG462" i="7"/>
  <c r="AG463" i="7"/>
  <c r="AG464" i="7"/>
  <c r="AG465" i="7"/>
  <c r="AG466" i="7"/>
  <c r="AG467" i="7"/>
  <c r="AG468" i="7"/>
  <c r="AG469" i="7"/>
  <c r="AG470" i="7"/>
  <c r="AG471" i="7"/>
  <c r="AG472" i="7"/>
  <c r="AG473" i="7"/>
  <c r="AG474" i="7"/>
  <c r="AG475" i="7"/>
  <c r="AG476" i="7"/>
  <c r="AG477" i="7"/>
  <c r="AG478" i="7"/>
  <c r="AG479" i="7"/>
  <c r="AG480" i="7"/>
  <c r="AG481" i="7"/>
  <c r="AG482" i="7"/>
  <c r="AG483" i="7"/>
  <c r="AG484" i="7"/>
  <c r="AG485" i="7"/>
  <c r="AG486" i="7"/>
  <c r="AG487" i="7"/>
  <c r="AG488" i="7"/>
  <c r="AG489" i="7"/>
  <c r="AG490" i="7"/>
  <c r="AG491" i="7"/>
  <c r="AG492" i="7"/>
  <c r="AG493" i="7"/>
  <c r="AG494" i="7"/>
  <c r="AG495" i="7"/>
  <c r="AG496" i="7"/>
  <c r="AG497" i="7"/>
  <c r="AG498" i="7"/>
  <c r="AG499" i="7"/>
  <c r="AG500" i="7"/>
  <c r="AH10" i="7"/>
  <c r="AH11" i="7"/>
  <c r="AH12" i="7"/>
  <c r="AH13" i="7"/>
  <c r="AH14" i="7"/>
  <c r="AH15" i="7"/>
  <c r="AH16" i="7"/>
  <c r="AH17" i="7"/>
  <c r="AH18" i="7"/>
  <c r="AH19" i="7"/>
  <c r="AH20" i="7"/>
  <c r="AH21" i="7"/>
  <c r="AH22" i="7"/>
  <c r="AH23" i="7"/>
  <c r="AH24" i="7"/>
  <c r="AH25" i="7"/>
  <c r="AH26" i="7"/>
  <c r="AH27" i="7"/>
  <c r="AH28" i="7"/>
  <c r="AH29" i="7"/>
  <c r="AH30" i="7"/>
  <c r="AH31" i="7"/>
  <c r="AH32" i="7"/>
  <c r="AH33" i="7"/>
  <c r="AH34" i="7"/>
  <c r="AH35" i="7"/>
  <c r="AH36" i="7"/>
  <c r="AH37" i="7"/>
  <c r="AH38" i="7"/>
  <c r="AH39" i="7"/>
  <c r="AH40" i="7"/>
  <c r="AH41" i="7"/>
  <c r="AH42" i="7"/>
  <c r="AH43" i="7"/>
  <c r="AH44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H57" i="7"/>
  <c r="AH58" i="7"/>
  <c r="AH59" i="7"/>
  <c r="AH60" i="7"/>
  <c r="AH61" i="7"/>
  <c r="AH62" i="7"/>
  <c r="AH63" i="7"/>
  <c r="AH64" i="7"/>
  <c r="AH65" i="7"/>
  <c r="AH66" i="7"/>
  <c r="AH67" i="7"/>
  <c r="AH68" i="7"/>
  <c r="AH69" i="7"/>
  <c r="AH70" i="7"/>
  <c r="AH71" i="7"/>
  <c r="AH72" i="7"/>
  <c r="AH73" i="7"/>
  <c r="AH74" i="7"/>
  <c r="AH75" i="7"/>
  <c r="AH76" i="7"/>
  <c r="AH77" i="7"/>
  <c r="AH78" i="7"/>
  <c r="AH79" i="7"/>
  <c r="AH80" i="7"/>
  <c r="AH81" i="7"/>
  <c r="AH82" i="7"/>
  <c r="AH83" i="7"/>
  <c r="AH84" i="7"/>
  <c r="AH85" i="7"/>
  <c r="AH86" i="7"/>
  <c r="AH87" i="7"/>
  <c r="AH88" i="7"/>
  <c r="AH89" i="7"/>
  <c r="AH90" i="7"/>
  <c r="AH91" i="7"/>
  <c r="AH92" i="7"/>
  <c r="AH93" i="7"/>
  <c r="AH94" i="7"/>
  <c r="AH95" i="7"/>
  <c r="AH96" i="7"/>
  <c r="AH97" i="7"/>
  <c r="AH98" i="7"/>
  <c r="AH99" i="7"/>
  <c r="AH100" i="7"/>
  <c r="AH101" i="7"/>
  <c r="AH102" i="7"/>
  <c r="AH103" i="7"/>
  <c r="AH104" i="7"/>
  <c r="AH105" i="7"/>
  <c r="AH106" i="7"/>
  <c r="AH107" i="7"/>
  <c r="AH108" i="7"/>
  <c r="AH109" i="7"/>
  <c r="AH110" i="7"/>
  <c r="AH111" i="7"/>
  <c r="AH112" i="7"/>
  <c r="AH113" i="7"/>
  <c r="AH114" i="7"/>
  <c r="AH115" i="7"/>
  <c r="AH116" i="7"/>
  <c r="AH117" i="7"/>
  <c r="AH118" i="7"/>
  <c r="AH119" i="7"/>
  <c r="AH120" i="7"/>
  <c r="AH121" i="7"/>
  <c r="AH122" i="7"/>
  <c r="AH123" i="7"/>
  <c r="AH124" i="7"/>
  <c r="AH125" i="7"/>
  <c r="AH126" i="7"/>
  <c r="AH127" i="7"/>
  <c r="AH128" i="7"/>
  <c r="AH129" i="7"/>
  <c r="AH130" i="7"/>
  <c r="AH131" i="7"/>
  <c r="AH132" i="7"/>
  <c r="AH133" i="7"/>
  <c r="AH134" i="7"/>
  <c r="AH135" i="7"/>
  <c r="AH136" i="7"/>
  <c r="AH137" i="7"/>
  <c r="AH138" i="7"/>
  <c r="AH139" i="7"/>
  <c r="AH140" i="7"/>
  <c r="AH141" i="7"/>
  <c r="AH142" i="7"/>
  <c r="AH143" i="7"/>
  <c r="AH144" i="7"/>
  <c r="AH145" i="7"/>
  <c r="AH146" i="7"/>
  <c r="AH147" i="7"/>
  <c r="AH148" i="7"/>
  <c r="AH149" i="7"/>
  <c r="AH150" i="7"/>
  <c r="AH151" i="7"/>
  <c r="AH152" i="7"/>
  <c r="AH153" i="7"/>
  <c r="AH154" i="7"/>
  <c r="AH155" i="7"/>
  <c r="AH156" i="7"/>
  <c r="AH157" i="7"/>
  <c r="AH158" i="7"/>
  <c r="AH159" i="7"/>
  <c r="AH160" i="7"/>
  <c r="AH161" i="7"/>
  <c r="AH162" i="7"/>
  <c r="AH163" i="7"/>
  <c r="AH164" i="7"/>
  <c r="AH165" i="7"/>
  <c r="AH166" i="7"/>
  <c r="AH167" i="7"/>
  <c r="AH168" i="7"/>
  <c r="AH169" i="7"/>
  <c r="AH170" i="7"/>
  <c r="AH171" i="7"/>
  <c r="AH172" i="7"/>
  <c r="AH173" i="7"/>
  <c r="AH174" i="7"/>
  <c r="AH175" i="7"/>
  <c r="AH176" i="7"/>
  <c r="AH177" i="7"/>
  <c r="AH178" i="7"/>
  <c r="AH179" i="7"/>
  <c r="AH180" i="7"/>
  <c r="AH181" i="7"/>
  <c r="AH182" i="7"/>
  <c r="AH183" i="7"/>
  <c r="AH184" i="7"/>
  <c r="AH185" i="7"/>
  <c r="AH186" i="7"/>
  <c r="AH187" i="7"/>
  <c r="AH188" i="7"/>
  <c r="AH189" i="7"/>
  <c r="AH190" i="7"/>
  <c r="AH191" i="7"/>
  <c r="AH192" i="7"/>
  <c r="AH193" i="7"/>
  <c r="AH194" i="7"/>
  <c r="AH195" i="7"/>
  <c r="AH196" i="7"/>
  <c r="AH197" i="7"/>
  <c r="AH198" i="7"/>
  <c r="AH199" i="7"/>
  <c r="AH200" i="7"/>
  <c r="AH201" i="7"/>
  <c r="AH202" i="7"/>
  <c r="AH203" i="7"/>
  <c r="AH204" i="7"/>
  <c r="AH205" i="7"/>
  <c r="AH206" i="7"/>
  <c r="AH207" i="7"/>
  <c r="AH208" i="7"/>
  <c r="AH209" i="7"/>
  <c r="AH210" i="7"/>
  <c r="AH211" i="7"/>
  <c r="AH212" i="7"/>
  <c r="AH213" i="7"/>
  <c r="AH214" i="7"/>
  <c r="AH215" i="7"/>
  <c r="AH216" i="7"/>
  <c r="AH217" i="7"/>
  <c r="AH218" i="7"/>
  <c r="AH219" i="7"/>
  <c r="AH220" i="7"/>
  <c r="AH221" i="7"/>
  <c r="AH222" i="7"/>
  <c r="AH223" i="7"/>
  <c r="AH224" i="7"/>
  <c r="AH225" i="7"/>
  <c r="AH226" i="7"/>
  <c r="AH227" i="7"/>
  <c r="AH228" i="7"/>
  <c r="AH229" i="7"/>
  <c r="AH230" i="7"/>
  <c r="AH231" i="7"/>
  <c r="AH232" i="7"/>
  <c r="AH233" i="7"/>
  <c r="AH234" i="7"/>
  <c r="AH235" i="7"/>
  <c r="AH236" i="7"/>
  <c r="AH237" i="7"/>
  <c r="AH238" i="7"/>
  <c r="AH239" i="7"/>
  <c r="AH240" i="7"/>
  <c r="AH241" i="7"/>
  <c r="AH242" i="7"/>
  <c r="AH243" i="7"/>
  <c r="AH244" i="7"/>
  <c r="AH245" i="7"/>
  <c r="AH246" i="7"/>
  <c r="AH247" i="7"/>
  <c r="AH248" i="7"/>
  <c r="AH249" i="7"/>
  <c r="AH250" i="7"/>
  <c r="AH251" i="7"/>
  <c r="AH252" i="7"/>
  <c r="AH253" i="7"/>
  <c r="AH254" i="7"/>
  <c r="AH255" i="7"/>
  <c r="AH256" i="7"/>
  <c r="AH257" i="7"/>
  <c r="AH258" i="7"/>
  <c r="AH259" i="7"/>
  <c r="AH260" i="7"/>
  <c r="AH261" i="7"/>
  <c r="AH262" i="7"/>
  <c r="AH263" i="7"/>
  <c r="AH264" i="7"/>
  <c r="AH265" i="7"/>
  <c r="AH266" i="7"/>
  <c r="AH267" i="7"/>
  <c r="AH268" i="7"/>
  <c r="AH269" i="7"/>
  <c r="AH270" i="7"/>
  <c r="AH271" i="7"/>
  <c r="AH272" i="7"/>
  <c r="AH273" i="7"/>
  <c r="AH274" i="7"/>
  <c r="AH275" i="7"/>
  <c r="AH276" i="7"/>
  <c r="AH277" i="7"/>
  <c r="AH278" i="7"/>
  <c r="AH279" i="7"/>
  <c r="AH280" i="7"/>
  <c r="AH281" i="7"/>
  <c r="AH282" i="7"/>
  <c r="AH283" i="7"/>
  <c r="AH284" i="7"/>
  <c r="AH285" i="7"/>
  <c r="AH286" i="7"/>
  <c r="AH287" i="7"/>
  <c r="AH288" i="7"/>
  <c r="AH289" i="7"/>
  <c r="AH290" i="7"/>
  <c r="AH291" i="7"/>
  <c r="AH292" i="7"/>
  <c r="AH293" i="7"/>
  <c r="AH294" i="7"/>
  <c r="AH295" i="7"/>
  <c r="AH296" i="7"/>
  <c r="AH297" i="7"/>
  <c r="AH298" i="7"/>
  <c r="AH299" i="7"/>
  <c r="AH300" i="7"/>
  <c r="AH301" i="7"/>
  <c r="AH302" i="7"/>
  <c r="AH303" i="7"/>
  <c r="AH304" i="7"/>
  <c r="AH305" i="7"/>
  <c r="AH306" i="7"/>
  <c r="AH307" i="7"/>
  <c r="AH308" i="7"/>
  <c r="AH309" i="7"/>
  <c r="AH310" i="7"/>
  <c r="AH311" i="7"/>
  <c r="AH312" i="7"/>
  <c r="AH313" i="7"/>
  <c r="AH314" i="7"/>
  <c r="AH315" i="7"/>
  <c r="AH316" i="7"/>
  <c r="AH317" i="7"/>
  <c r="AH318" i="7"/>
  <c r="AH319" i="7"/>
  <c r="AH320" i="7"/>
  <c r="AH321" i="7"/>
  <c r="AH322" i="7"/>
  <c r="AH323" i="7"/>
  <c r="AH324" i="7"/>
  <c r="AH325" i="7"/>
  <c r="AH326" i="7"/>
  <c r="AH327" i="7"/>
  <c r="AH328" i="7"/>
  <c r="AH329" i="7"/>
  <c r="AH330" i="7"/>
  <c r="AH331" i="7"/>
  <c r="AH332" i="7"/>
  <c r="AH333" i="7"/>
  <c r="AH334" i="7"/>
  <c r="AH335" i="7"/>
  <c r="AH336" i="7"/>
  <c r="AH337" i="7"/>
  <c r="AH338" i="7"/>
  <c r="AH339" i="7"/>
  <c r="AH340" i="7"/>
  <c r="AH341" i="7"/>
  <c r="AH342" i="7"/>
  <c r="AH343" i="7"/>
  <c r="AH344" i="7"/>
  <c r="AH345" i="7"/>
  <c r="AH346" i="7"/>
  <c r="AH347" i="7"/>
  <c r="AH348" i="7"/>
  <c r="AH349" i="7"/>
  <c r="AH350" i="7"/>
  <c r="AH351" i="7"/>
  <c r="AH352" i="7"/>
  <c r="AH353" i="7"/>
  <c r="AH354" i="7"/>
  <c r="AH355" i="7"/>
  <c r="AH356" i="7"/>
  <c r="AH357" i="7"/>
  <c r="AH358" i="7"/>
  <c r="AH359" i="7"/>
  <c r="AH360" i="7"/>
  <c r="AH361" i="7"/>
  <c r="AH362" i="7"/>
  <c r="AH363" i="7"/>
  <c r="AH364" i="7"/>
  <c r="AH365" i="7"/>
  <c r="AH366" i="7"/>
  <c r="AH367" i="7"/>
  <c r="AH368" i="7"/>
  <c r="AH369" i="7"/>
  <c r="AH370" i="7"/>
  <c r="AH371" i="7"/>
  <c r="AH372" i="7"/>
  <c r="AH373" i="7"/>
  <c r="AH374" i="7"/>
  <c r="AH375" i="7"/>
  <c r="AH376" i="7"/>
  <c r="AH377" i="7"/>
  <c r="AH378" i="7"/>
  <c r="AH379" i="7"/>
  <c r="AH380" i="7"/>
  <c r="AH381" i="7"/>
  <c r="AH382" i="7"/>
  <c r="AH383" i="7"/>
  <c r="AH384" i="7"/>
  <c r="AH385" i="7"/>
  <c r="AH386" i="7"/>
  <c r="AH387" i="7"/>
  <c r="AH388" i="7"/>
  <c r="AH389" i="7"/>
  <c r="AH390" i="7"/>
  <c r="AH391" i="7"/>
  <c r="AH392" i="7"/>
  <c r="AH393" i="7"/>
  <c r="AH394" i="7"/>
  <c r="AH395" i="7"/>
  <c r="AH396" i="7"/>
  <c r="AH397" i="7"/>
  <c r="AH398" i="7"/>
  <c r="AH399" i="7"/>
  <c r="AH400" i="7"/>
  <c r="AH401" i="7"/>
  <c r="AH402" i="7"/>
  <c r="AH403" i="7"/>
  <c r="AH404" i="7"/>
  <c r="AH405" i="7"/>
  <c r="AH406" i="7"/>
  <c r="AH407" i="7"/>
  <c r="AH408" i="7"/>
  <c r="AH409" i="7"/>
  <c r="AH410" i="7"/>
  <c r="AH411" i="7"/>
  <c r="AH412" i="7"/>
  <c r="AH413" i="7"/>
  <c r="AH414" i="7"/>
  <c r="AH415" i="7"/>
  <c r="AH416" i="7"/>
  <c r="AH417" i="7"/>
  <c r="AH418" i="7"/>
  <c r="AH419" i="7"/>
  <c r="AH420" i="7"/>
  <c r="AH421" i="7"/>
  <c r="AH422" i="7"/>
  <c r="AH423" i="7"/>
  <c r="AH424" i="7"/>
  <c r="AH425" i="7"/>
  <c r="AH426" i="7"/>
  <c r="AH427" i="7"/>
  <c r="AH428" i="7"/>
  <c r="AH429" i="7"/>
  <c r="AH430" i="7"/>
  <c r="AH431" i="7"/>
  <c r="AH432" i="7"/>
  <c r="AH433" i="7"/>
  <c r="AH434" i="7"/>
  <c r="AH435" i="7"/>
  <c r="AH436" i="7"/>
  <c r="AH437" i="7"/>
  <c r="AH438" i="7"/>
  <c r="AH439" i="7"/>
  <c r="AH440" i="7"/>
  <c r="AH441" i="7"/>
  <c r="AH442" i="7"/>
  <c r="AH443" i="7"/>
  <c r="AH444" i="7"/>
  <c r="AH445" i="7"/>
  <c r="AH446" i="7"/>
  <c r="AH447" i="7"/>
  <c r="AH448" i="7"/>
  <c r="AH449" i="7"/>
  <c r="AH450" i="7"/>
  <c r="AH451" i="7"/>
  <c r="AH452" i="7"/>
  <c r="AH453" i="7"/>
  <c r="AH454" i="7"/>
  <c r="AH455" i="7"/>
  <c r="AH456" i="7"/>
  <c r="AH457" i="7"/>
  <c r="AH458" i="7"/>
  <c r="AH459" i="7"/>
  <c r="AH460" i="7"/>
  <c r="AH461" i="7"/>
  <c r="AH462" i="7"/>
  <c r="AH463" i="7"/>
  <c r="AH464" i="7"/>
  <c r="AH465" i="7"/>
  <c r="AH466" i="7"/>
  <c r="AH467" i="7"/>
  <c r="AH468" i="7"/>
  <c r="AH469" i="7"/>
  <c r="AH470" i="7"/>
  <c r="AH471" i="7"/>
  <c r="AH472" i="7"/>
  <c r="AH473" i="7"/>
  <c r="AH474" i="7"/>
  <c r="AH475" i="7"/>
  <c r="AH476" i="7"/>
  <c r="AH477" i="7"/>
  <c r="AH478" i="7"/>
  <c r="AH479" i="7"/>
  <c r="AH480" i="7"/>
  <c r="AH481" i="7"/>
  <c r="AH482" i="7"/>
  <c r="AH483" i="7"/>
  <c r="AH484" i="7"/>
  <c r="AH485" i="7"/>
  <c r="AH486" i="7"/>
  <c r="AH487" i="7"/>
  <c r="AH488" i="7"/>
  <c r="AH489" i="7"/>
  <c r="AH490" i="7"/>
  <c r="AH491" i="7"/>
  <c r="AH492" i="7"/>
  <c r="AH493" i="7"/>
  <c r="AH494" i="7"/>
  <c r="AH495" i="7"/>
  <c r="AH496" i="7"/>
  <c r="AH497" i="7"/>
  <c r="AH498" i="7"/>
  <c r="AH499" i="7"/>
  <c r="AH500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6" i="7"/>
  <c r="AI57" i="7"/>
  <c r="AI58" i="7"/>
  <c r="AI59" i="7"/>
  <c r="AI60" i="7"/>
  <c r="AI61" i="7"/>
  <c r="AI62" i="7"/>
  <c r="AI63" i="7"/>
  <c r="AI64" i="7"/>
  <c r="AI65" i="7"/>
  <c r="AI66" i="7"/>
  <c r="AI67" i="7"/>
  <c r="AI68" i="7"/>
  <c r="AI69" i="7"/>
  <c r="AI70" i="7"/>
  <c r="AI71" i="7"/>
  <c r="AI72" i="7"/>
  <c r="AI73" i="7"/>
  <c r="AI74" i="7"/>
  <c r="AI75" i="7"/>
  <c r="AI76" i="7"/>
  <c r="AI77" i="7"/>
  <c r="AI78" i="7"/>
  <c r="AI79" i="7"/>
  <c r="AI80" i="7"/>
  <c r="AI81" i="7"/>
  <c r="AI82" i="7"/>
  <c r="AI83" i="7"/>
  <c r="AI84" i="7"/>
  <c r="AI85" i="7"/>
  <c r="AI86" i="7"/>
  <c r="AI87" i="7"/>
  <c r="AI88" i="7"/>
  <c r="AI89" i="7"/>
  <c r="AI90" i="7"/>
  <c r="AI91" i="7"/>
  <c r="AI92" i="7"/>
  <c r="AI93" i="7"/>
  <c r="AI94" i="7"/>
  <c r="AI95" i="7"/>
  <c r="AI96" i="7"/>
  <c r="AI97" i="7"/>
  <c r="AI98" i="7"/>
  <c r="AI99" i="7"/>
  <c r="AI100" i="7"/>
  <c r="AI101" i="7"/>
  <c r="AI102" i="7"/>
  <c r="AI103" i="7"/>
  <c r="AI104" i="7"/>
  <c r="AI105" i="7"/>
  <c r="AI106" i="7"/>
  <c r="AI107" i="7"/>
  <c r="AI108" i="7"/>
  <c r="AI109" i="7"/>
  <c r="AI110" i="7"/>
  <c r="AI111" i="7"/>
  <c r="AI112" i="7"/>
  <c r="AI113" i="7"/>
  <c r="AI114" i="7"/>
  <c r="AI115" i="7"/>
  <c r="AI116" i="7"/>
  <c r="AI117" i="7"/>
  <c r="AI118" i="7"/>
  <c r="AI119" i="7"/>
  <c r="AI120" i="7"/>
  <c r="AI121" i="7"/>
  <c r="AI122" i="7"/>
  <c r="AI123" i="7"/>
  <c r="AI124" i="7"/>
  <c r="AI125" i="7"/>
  <c r="AI126" i="7"/>
  <c r="AI127" i="7"/>
  <c r="AI128" i="7"/>
  <c r="AI129" i="7"/>
  <c r="AI130" i="7"/>
  <c r="AI131" i="7"/>
  <c r="AI132" i="7"/>
  <c r="AI133" i="7"/>
  <c r="AI134" i="7"/>
  <c r="AI135" i="7"/>
  <c r="AI136" i="7"/>
  <c r="AI137" i="7"/>
  <c r="AI138" i="7"/>
  <c r="AI139" i="7"/>
  <c r="AI140" i="7"/>
  <c r="AI141" i="7"/>
  <c r="AI142" i="7"/>
  <c r="AI143" i="7"/>
  <c r="AI144" i="7"/>
  <c r="AI145" i="7"/>
  <c r="AI146" i="7"/>
  <c r="AI147" i="7"/>
  <c r="AI148" i="7"/>
  <c r="AI149" i="7"/>
  <c r="AI150" i="7"/>
  <c r="AI151" i="7"/>
  <c r="AI152" i="7"/>
  <c r="AI153" i="7"/>
  <c r="AI154" i="7"/>
  <c r="AI155" i="7"/>
  <c r="AI156" i="7"/>
  <c r="AI157" i="7"/>
  <c r="AI158" i="7"/>
  <c r="AI159" i="7"/>
  <c r="AI160" i="7"/>
  <c r="AI161" i="7"/>
  <c r="AI162" i="7"/>
  <c r="AI163" i="7"/>
  <c r="AI164" i="7"/>
  <c r="AI165" i="7"/>
  <c r="AI166" i="7"/>
  <c r="AI167" i="7"/>
  <c r="AI168" i="7"/>
  <c r="AI169" i="7"/>
  <c r="AI170" i="7"/>
  <c r="AI171" i="7"/>
  <c r="AI172" i="7"/>
  <c r="AI173" i="7"/>
  <c r="AI174" i="7"/>
  <c r="AI175" i="7"/>
  <c r="AI176" i="7"/>
  <c r="AI177" i="7"/>
  <c r="AI178" i="7"/>
  <c r="AI179" i="7"/>
  <c r="AI180" i="7"/>
  <c r="AI181" i="7"/>
  <c r="AI182" i="7"/>
  <c r="AI183" i="7"/>
  <c r="AI184" i="7"/>
  <c r="AI185" i="7"/>
  <c r="AI186" i="7"/>
  <c r="AI187" i="7"/>
  <c r="AI188" i="7"/>
  <c r="AI189" i="7"/>
  <c r="AI190" i="7"/>
  <c r="AI191" i="7"/>
  <c r="AI192" i="7"/>
  <c r="AI193" i="7"/>
  <c r="AI194" i="7"/>
  <c r="AI195" i="7"/>
  <c r="AI196" i="7"/>
  <c r="AI197" i="7"/>
  <c r="AI198" i="7"/>
  <c r="AI199" i="7"/>
  <c r="AI200" i="7"/>
  <c r="AI201" i="7"/>
  <c r="AI202" i="7"/>
  <c r="AI203" i="7"/>
  <c r="AI204" i="7"/>
  <c r="AI205" i="7"/>
  <c r="AI206" i="7"/>
  <c r="AI207" i="7"/>
  <c r="AI208" i="7"/>
  <c r="AI209" i="7"/>
  <c r="AI210" i="7"/>
  <c r="AI211" i="7"/>
  <c r="AI212" i="7"/>
  <c r="AI213" i="7"/>
  <c r="AI214" i="7"/>
  <c r="AI215" i="7"/>
  <c r="AI216" i="7"/>
  <c r="AI217" i="7"/>
  <c r="AI218" i="7"/>
  <c r="AI219" i="7"/>
  <c r="AI220" i="7"/>
  <c r="AI221" i="7"/>
  <c r="AI222" i="7"/>
  <c r="AI223" i="7"/>
  <c r="AI224" i="7"/>
  <c r="AI225" i="7"/>
  <c r="AI226" i="7"/>
  <c r="AI227" i="7"/>
  <c r="AI228" i="7"/>
  <c r="AI229" i="7"/>
  <c r="AI230" i="7"/>
  <c r="AI231" i="7"/>
  <c r="AI232" i="7"/>
  <c r="AI233" i="7"/>
  <c r="AI234" i="7"/>
  <c r="AI235" i="7"/>
  <c r="AI236" i="7"/>
  <c r="AI237" i="7"/>
  <c r="AI238" i="7"/>
  <c r="AI239" i="7"/>
  <c r="AI240" i="7"/>
  <c r="AI241" i="7"/>
  <c r="AI242" i="7"/>
  <c r="AI243" i="7"/>
  <c r="AI244" i="7"/>
  <c r="AI245" i="7"/>
  <c r="AI246" i="7"/>
  <c r="AI247" i="7"/>
  <c r="AI248" i="7"/>
  <c r="AI249" i="7"/>
  <c r="AI250" i="7"/>
  <c r="AI251" i="7"/>
  <c r="AI252" i="7"/>
  <c r="AI253" i="7"/>
  <c r="AI254" i="7"/>
  <c r="AI255" i="7"/>
  <c r="AI256" i="7"/>
  <c r="AI257" i="7"/>
  <c r="AI258" i="7"/>
  <c r="AI259" i="7"/>
  <c r="AI260" i="7"/>
  <c r="AI261" i="7"/>
  <c r="AI262" i="7"/>
  <c r="AI263" i="7"/>
  <c r="AI264" i="7"/>
  <c r="AI265" i="7"/>
  <c r="AI266" i="7"/>
  <c r="AI267" i="7"/>
  <c r="AI268" i="7"/>
  <c r="AI269" i="7"/>
  <c r="AI270" i="7"/>
  <c r="AI271" i="7"/>
  <c r="AI272" i="7"/>
  <c r="AI273" i="7"/>
  <c r="AI274" i="7"/>
  <c r="AI275" i="7"/>
  <c r="AI276" i="7"/>
  <c r="AI277" i="7"/>
  <c r="AI278" i="7"/>
  <c r="AI279" i="7"/>
  <c r="AI280" i="7"/>
  <c r="AI281" i="7"/>
  <c r="AI282" i="7"/>
  <c r="AI283" i="7"/>
  <c r="AI284" i="7"/>
  <c r="AI285" i="7"/>
  <c r="AI286" i="7"/>
  <c r="AI287" i="7"/>
  <c r="AI288" i="7"/>
  <c r="AI289" i="7"/>
  <c r="AI290" i="7"/>
  <c r="AI291" i="7"/>
  <c r="AI292" i="7"/>
  <c r="AI293" i="7"/>
  <c r="AI294" i="7"/>
  <c r="AI295" i="7"/>
  <c r="AI296" i="7"/>
  <c r="AI297" i="7"/>
  <c r="AI298" i="7"/>
  <c r="AI299" i="7"/>
  <c r="AI300" i="7"/>
  <c r="AI301" i="7"/>
  <c r="AI302" i="7"/>
  <c r="AI303" i="7"/>
  <c r="AI304" i="7"/>
  <c r="AI305" i="7"/>
  <c r="AI306" i="7"/>
  <c r="AI307" i="7"/>
  <c r="AI308" i="7"/>
  <c r="AI309" i="7"/>
  <c r="AI310" i="7"/>
  <c r="AI311" i="7"/>
  <c r="AI312" i="7"/>
  <c r="AI313" i="7"/>
  <c r="AI314" i="7"/>
  <c r="AI315" i="7"/>
  <c r="AI316" i="7"/>
  <c r="AI317" i="7"/>
  <c r="AI318" i="7"/>
  <c r="AI319" i="7"/>
  <c r="AI320" i="7"/>
  <c r="AI321" i="7"/>
  <c r="AI322" i="7"/>
  <c r="AI323" i="7"/>
  <c r="AI324" i="7"/>
  <c r="AI325" i="7"/>
  <c r="AI326" i="7"/>
  <c r="AI327" i="7"/>
  <c r="AI328" i="7"/>
  <c r="AI329" i="7"/>
  <c r="AI330" i="7"/>
  <c r="AI331" i="7"/>
  <c r="AI332" i="7"/>
  <c r="AI333" i="7"/>
  <c r="AI334" i="7"/>
  <c r="AI335" i="7"/>
  <c r="AI336" i="7"/>
  <c r="AI337" i="7"/>
  <c r="AI338" i="7"/>
  <c r="AI339" i="7"/>
  <c r="AI340" i="7"/>
  <c r="AI341" i="7"/>
  <c r="AI342" i="7"/>
  <c r="AI343" i="7"/>
  <c r="AI344" i="7"/>
  <c r="AI345" i="7"/>
  <c r="AI346" i="7"/>
  <c r="AI347" i="7"/>
  <c r="AI348" i="7"/>
  <c r="AI349" i="7"/>
  <c r="AI350" i="7"/>
  <c r="AI351" i="7"/>
  <c r="AI352" i="7"/>
  <c r="AI353" i="7"/>
  <c r="AI354" i="7"/>
  <c r="AI355" i="7"/>
  <c r="AI356" i="7"/>
  <c r="AI357" i="7"/>
  <c r="AI358" i="7"/>
  <c r="AI359" i="7"/>
  <c r="AI360" i="7"/>
  <c r="AI361" i="7"/>
  <c r="AI362" i="7"/>
  <c r="AI363" i="7"/>
  <c r="AI364" i="7"/>
  <c r="AI365" i="7"/>
  <c r="AI366" i="7"/>
  <c r="AI367" i="7"/>
  <c r="AI368" i="7"/>
  <c r="AI369" i="7"/>
  <c r="AI370" i="7"/>
  <c r="AI371" i="7"/>
  <c r="AI372" i="7"/>
  <c r="AI373" i="7"/>
  <c r="AI374" i="7"/>
  <c r="AI375" i="7"/>
  <c r="AI376" i="7"/>
  <c r="AI377" i="7"/>
  <c r="AI378" i="7"/>
  <c r="AI379" i="7"/>
  <c r="AI380" i="7"/>
  <c r="AI381" i="7"/>
  <c r="AI382" i="7"/>
  <c r="AI383" i="7"/>
  <c r="AI384" i="7"/>
  <c r="AI385" i="7"/>
  <c r="AI386" i="7"/>
  <c r="AI387" i="7"/>
  <c r="AI388" i="7"/>
  <c r="AI389" i="7"/>
  <c r="AI390" i="7"/>
  <c r="AI391" i="7"/>
  <c r="AI392" i="7"/>
  <c r="AI393" i="7"/>
  <c r="AI394" i="7"/>
  <c r="AI395" i="7"/>
  <c r="AI396" i="7"/>
  <c r="AI397" i="7"/>
  <c r="AI398" i="7"/>
  <c r="AI399" i="7"/>
  <c r="AI400" i="7"/>
  <c r="AI401" i="7"/>
  <c r="AI402" i="7"/>
  <c r="AI403" i="7"/>
  <c r="AI404" i="7"/>
  <c r="AI405" i="7"/>
  <c r="AI406" i="7"/>
  <c r="AI407" i="7"/>
  <c r="AI408" i="7"/>
  <c r="AI409" i="7"/>
  <c r="AI410" i="7"/>
  <c r="AI411" i="7"/>
  <c r="AI412" i="7"/>
  <c r="AI413" i="7"/>
  <c r="AI414" i="7"/>
  <c r="AI415" i="7"/>
  <c r="AI416" i="7"/>
  <c r="AI417" i="7"/>
  <c r="AI418" i="7"/>
  <c r="AI419" i="7"/>
  <c r="AI420" i="7"/>
  <c r="AI421" i="7"/>
  <c r="AI422" i="7"/>
  <c r="AI423" i="7"/>
  <c r="AI424" i="7"/>
  <c r="AI425" i="7"/>
  <c r="AI426" i="7"/>
  <c r="AI427" i="7"/>
  <c r="AI428" i="7"/>
  <c r="AI429" i="7"/>
  <c r="AI430" i="7"/>
  <c r="AI431" i="7"/>
  <c r="AI432" i="7"/>
  <c r="AI433" i="7"/>
  <c r="AI434" i="7"/>
  <c r="AI435" i="7"/>
  <c r="AI436" i="7"/>
  <c r="AI437" i="7"/>
  <c r="AI438" i="7"/>
  <c r="AI439" i="7"/>
  <c r="AI440" i="7"/>
  <c r="AI441" i="7"/>
  <c r="AI442" i="7"/>
  <c r="AI443" i="7"/>
  <c r="AI444" i="7"/>
  <c r="AI445" i="7"/>
  <c r="AI446" i="7"/>
  <c r="AI447" i="7"/>
  <c r="AI448" i="7"/>
  <c r="AI449" i="7"/>
  <c r="AI450" i="7"/>
  <c r="AI451" i="7"/>
  <c r="AI452" i="7"/>
  <c r="AI453" i="7"/>
  <c r="AI454" i="7"/>
  <c r="AI455" i="7"/>
  <c r="AI456" i="7"/>
  <c r="AI457" i="7"/>
  <c r="AI458" i="7"/>
  <c r="AI459" i="7"/>
  <c r="AI460" i="7"/>
  <c r="AI461" i="7"/>
  <c r="AI462" i="7"/>
  <c r="AI463" i="7"/>
  <c r="AI464" i="7"/>
  <c r="AI465" i="7"/>
  <c r="AI466" i="7"/>
  <c r="AI467" i="7"/>
  <c r="AI468" i="7"/>
  <c r="AI469" i="7"/>
  <c r="AI470" i="7"/>
  <c r="AI471" i="7"/>
  <c r="AI472" i="7"/>
  <c r="AI473" i="7"/>
  <c r="AI474" i="7"/>
  <c r="AI475" i="7"/>
  <c r="AI476" i="7"/>
  <c r="AI477" i="7"/>
  <c r="AI478" i="7"/>
  <c r="AI479" i="7"/>
  <c r="AI480" i="7"/>
  <c r="AI481" i="7"/>
  <c r="AI482" i="7"/>
  <c r="AI483" i="7"/>
  <c r="AI484" i="7"/>
  <c r="AI485" i="7"/>
  <c r="AI486" i="7"/>
  <c r="AI487" i="7"/>
  <c r="AI488" i="7"/>
  <c r="AI489" i="7"/>
  <c r="AI490" i="7"/>
  <c r="AI491" i="7"/>
  <c r="AI492" i="7"/>
  <c r="AI493" i="7"/>
  <c r="AI494" i="7"/>
  <c r="AI495" i="7"/>
  <c r="AI496" i="7"/>
  <c r="AI497" i="7"/>
  <c r="AI498" i="7"/>
  <c r="AI499" i="7"/>
  <c r="AI500" i="7"/>
  <c r="AJ10" i="7"/>
  <c r="AJ11" i="7"/>
  <c r="AJ12" i="7"/>
  <c r="AJ13" i="7"/>
  <c r="AJ14" i="7"/>
  <c r="AJ15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46" i="7"/>
  <c r="AJ47" i="7"/>
  <c r="AJ48" i="7"/>
  <c r="AJ49" i="7"/>
  <c r="AJ50" i="7"/>
  <c r="AJ51" i="7"/>
  <c r="AJ52" i="7"/>
  <c r="AJ53" i="7"/>
  <c r="AJ54" i="7"/>
  <c r="AJ55" i="7"/>
  <c r="AJ56" i="7"/>
  <c r="AJ57" i="7"/>
  <c r="AJ58" i="7"/>
  <c r="AJ59" i="7"/>
  <c r="AJ60" i="7"/>
  <c r="AJ61" i="7"/>
  <c r="AJ62" i="7"/>
  <c r="AJ63" i="7"/>
  <c r="AJ64" i="7"/>
  <c r="AJ65" i="7"/>
  <c r="AJ66" i="7"/>
  <c r="AJ67" i="7"/>
  <c r="AJ68" i="7"/>
  <c r="AJ69" i="7"/>
  <c r="AJ70" i="7"/>
  <c r="AJ71" i="7"/>
  <c r="AJ72" i="7"/>
  <c r="AJ73" i="7"/>
  <c r="AJ74" i="7"/>
  <c r="AJ75" i="7"/>
  <c r="AJ76" i="7"/>
  <c r="AJ77" i="7"/>
  <c r="AJ78" i="7"/>
  <c r="AJ79" i="7"/>
  <c r="AJ80" i="7"/>
  <c r="AJ81" i="7"/>
  <c r="AJ82" i="7"/>
  <c r="AJ83" i="7"/>
  <c r="AJ84" i="7"/>
  <c r="AJ85" i="7"/>
  <c r="AJ86" i="7"/>
  <c r="AJ87" i="7"/>
  <c r="AJ88" i="7"/>
  <c r="AJ89" i="7"/>
  <c r="AJ90" i="7"/>
  <c r="AJ91" i="7"/>
  <c r="AJ92" i="7"/>
  <c r="AJ93" i="7"/>
  <c r="AJ94" i="7"/>
  <c r="AJ95" i="7"/>
  <c r="AJ96" i="7"/>
  <c r="AJ97" i="7"/>
  <c r="AJ98" i="7"/>
  <c r="AJ99" i="7"/>
  <c r="AJ100" i="7"/>
  <c r="AJ101" i="7"/>
  <c r="AJ102" i="7"/>
  <c r="AJ103" i="7"/>
  <c r="AJ104" i="7"/>
  <c r="AJ105" i="7"/>
  <c r="AJ106" i="7"/>
  <c r="AJ107" i="7"/>
  <c r="AJ108" i="7"/>
  <c r="AJ109" i="7"/>
  <c r="AJ110" i="7"/>
  <c r="AJ111" i="7"/>
  <c r="AJ112" i="7"/>
  <c r="AJ113" i="7"/>
  <c r="AJ114" i="7"/>
  <c r="AJ115" i="7"/>
  <c r="AJ116" i="7"/>
  <c r="AJ117" i="7"/>
  <c r="AJ118" i="7"/>
  <c r="AJ119" i="7"/>
  <c r="AJ120" i="7"/>
  <c r="AJ121" i="7"/>
  <c r="AJ122" i="7"/>
  <c r="AJ123" i="7"/>
  <c r="AJ124" i="7"/>
  <c r="AJ125" i="7"/>
  <c r="AJ126" i="7"/>
  <c r="AJ127" i="7"/>
  <c r="AJ128" i="7"/>
  <c r="AJ129" i="7"/>
  <c r="AJ130" i="7"/>
  <c r="AJ131" i="7"/>
  <c r="AJ132" i="7"/>
  <c r="AJ133" i="7"/>
  <c r="AJ134" i="7"/>
  <c r="AJ135" i="7"/>
  <c r="AJ136" i="7"/>
  <c r="AJ137" i="7"/>
  <c r="AJ138" i="7"/>
  <c r="AJ139" i="7"/>
  <c r="AJ140" i="7"/>
  <c r="AJ141" i="7"/>
  <c r="AJ142" i="7"/>
  <c r="AJ143" i="7"/>
  <c r="AJ144" i="7"/>
  <c r="AJ145" i="7"/>
  <c r="AJ146" i="7"/>
  <c r="AJ147" i="7"/>
  <c r="AJ148" i="7"/>
  <c r="AJ149" i="7"/>
  <c r="AJ150" i="7"/>
  <c r="AJ151" i="7"/>
  <c r="AJ152" i="7"/>
  <c r="AJ153" i="7"/>
  <c r="AJ154" i="7"/>
  <c r="AJ155" i="7"/>
  <c r="AJ156" i="7"/>
  <c r="AJ157" i="7"/>
  <c r="AJ158" i="7"/>
  <c r="AJ159" i="7"/>
  <c r="AJ160" i="7"/>
  <c r="AJ161" i="7"/>
  <c r="AJ162" i="7"/>
  <c r="AJ163" i="7"/>
  <c r="AJ164" i="7"/>
  <c r="AJ165" i="7"/>
  <c r="AJ166" i="7"/>
  <c r="AJ167" i="7"/>
  <c r="AJ168" i="7"/>
  <c r="AJ169" i="7"/>
  <c r="AJ170" i="7"/>
  <c r="AJ171" i="7"/>
  <c r="AJ172" i="7"/>
  <c r="AJ173" i="7"/>
  <c r="AJ174" i="7"/>
  <c r="AJ175" i="7"/>
  <c r="AJ176" i="7"/>
  <c r="AJ177" i="7"/>
  <c r="AJ178" i="7"/>
  <c r="AJ179" i="7"/>
  <c r="AJ180" i="7"/>
  <c r="AJ181" i="7"/>
  <c r="AJ182" i="7"/>
  <c r="AJ183" i="7"/>
  <c r="AJ184" i="7"/>
  <c r="AJ185" i="7"/>
  <c r="AJ186" i="7"/>
  <c r="AJ187" i="7"/>
  <c r="AJ188" i="7"/>
  <c r="AJ189" i="7"/>
  <c r="AJ190" i="7"/>
  <c r="AJ191" i="7"/>
  <c r="AJ192" i="7"/>
  <c r="AJ193" i="7"/>
  <c r="AJ194" i="7"/>
  <c r="AJ195" i="7"/>
  <c r="AJ196" i="7"/>
  <c r="AJ197" i="7"/>
  <c r="AJ198" i="7"/>
  <c r="AJ199" i="7"/>
  <c r="AJ200" i="7"/>
  <c r="AJ201" i="7"/>
  <c r="AJ202" i="7"/>
  <c r="AJ203" i="7"/>
  <c r="AJ204" i="7"/>
  <c r="AJ205" i="7"/>
  <c r="AJ206" i="7"/>
  <c r="AJ207" i="7"/>
  <c r="AJ208" i="7"/>
  <c r="AJ209" i="7"/>
  <c r="AJ210" i="7"/>
  <c r="AJ211" i="7"/>
  <c r="AJ212" i="7"/>
  <c r="AJ213" i="7"/>
  <c r="AJ214" i="7"/>
  <c r="AJ215" i="7"/>
  <c r="AJ216" i="7"/>
  <c r="AJ217" i="7"/>
  <c r="AJ218" i="7"/>
  <c r="AJ219" i="7"/>
  <c r="AJ220" i="7"/>
  <c r="AJ221" i="7"/>
  <c r="AJ222" i="7"/>
  <c r="AJ223" i="7"/>
  <c r="AJ224" i="7"/>
  <c r="AJ225" i="7"/>
  <c r="AJ226" i="7"/>
  <c r="AJ227" i="7"/>
  <c r="AJ228" i="7"/>
  <c r="AJ229" i="7"/>
  <c r="AJ230" i="7"/>
  <c r="AJ231" i="7"/>
  <c r="AJ232" i="7"/>
  <c r="AJ233" i="7"/>
  <c r="AJ234" i="7"/>
  <c r="AJ235" i="7"/>
  <c r="AJ236" i="7"/>
  <c r="AJ237" i="7"/>
  <c r="AJ238" i="7"/>
  <c r="AJ239" i="7"/>
  <c r="AJ240" i="7"/>
  <c r="AJ241" i="7"/>
  <c r="AJ242" i="7"/>
  <c r="AJ243" i="7"/>
  <c r="AJ244" i="7"/>
  <c r="AJ245" i="7"/>
  <c r="AJ246" i="7"/>
  <c r="AJ247" i="7"/>
  <c r="AJ248" i="7"/>
  <c r="AJ249" i="7"/>
  <c r="AJ250" i="7"/>
  <c r="AJ251" i="7"/>
  <c r="AJ252" i="7"/>
  <c r="AJ253" i="7"/>
  <c r="AJ254" i="7"/>
  <c r="AJ255" i="7"/>
  <c r="AJ256" i="7"/>
  <c r="AJ257" i="7"/>
  <c r="AJ258" i="7"/>
  <c r="AJ259" i="7"/>
  <c r="AJ260" i="7"/>
  <c r="AJ261" i="7"/>
  <c r="AJ262" i="7"/>
  <c r="AJ263" i="7"/>
  <c r="AJ264" i="7"/>
  <c r="AJ265" i="7"/>
  <c r="AJ266" i="7"/>
  <c r="AJ267" i="7"/>
  <c r="AJ268" i="7"/>
  <c r="AJ269" i="7"/>
  <c r="AJ270" i="7"/>
  <c r="AJ271" i="7"/>
  <c r="AJ272" i="7"/>
  <c r="AJ273" i="7"/>
  <c r="AJ274" i="7"/>
  <c r="AJ275" i="7"/>
  <c r="AJ276" i="7"/>
  <c r="AJ277" i="7"/>
  <c r="AJ278" i="7"/>
  <c r="AJ279" i="7"/>
  <c r="AJ280" i="7"/>
  <c r="AJ281" i="7"/>
  <c r="AJ282" i="7"/>
  <c r="AJ283" i="7"/>
  <c r="AJ284" i="7"/>
  <c r="AJ285" i="7"/>
  <c r="AJ286" i="7"/>
  <c r="AJ287" i="7"/>
  <c r="AJ288" i="7"/>
  <c r="AJ289" i="7"/>
  <c r="AJ290" i="7"/>
  <c r="AJ291" i="7"/>
  <c r="AJ292" i="7"/>
  <c r="AJ293" i="7"/>
  <c r="AJ294" i="7"/>
  <c r="AJ295" i="7"/>
  <c r="AJ296" i="7"/>
  <c r="AJ297" i="7"/>
  <c r="AJ298" i="7"/>
  <c r="AJ299" i="7"/>
  <c r="AJ300" i="7"/>
  <c r="AJ301" i="7"/>
  <c r="AJ302" i="7"/>
  <c r="AJ303" i="7"/>
  <c r="AJ304" i="7"/>
  <c r="AJ305" i="7"/>
  <c r="AJ306" i="7"/>
  <c r="AJ307" i="7"/>
  <c r="AJ308" i="7"/>
  <c r="AJ309" i="7"/>
  <c r="AJ310" i="7"/>
  <c r="AJ311" i="7"/>
  <c r="AJ312" i="7"/>
  <c r="AJ313" i="7"/>
  <c r="AJ314" i="7"/>
  <c r="AJ315" i="7"/>
  <c r="AJ316" i="7"/>
  <c r="AJ317" i="7"/>
  <c r="AJ318" i="7"/>
  <c r="AJ319" i="7"/>
  <c r="AJ320" i="7"/>
  <c r="AJ321" i="7"/>
  <c r="AJ322" i="7"/>
  <c r="AJ323" i="7"/>
  <c r="AJ324" i="7"/>
  <c r="AJ325" i="7"/>
  <c r="AJ326" i="7"/>
  <c r="AJ327" i="7"/>
  <c r="AJ328" i="7"/>
  <c r="AJ329" i="7"/>
  <c r="AJ330" i="7"/>
  <c r="AJ331" i="7"/>
  <c r="AJ332" i="7"/>
  <c r="AJ333" i="7"/>
  <c r="AJ334" i="7"/>
  <c r="AJ335" i="7"/>
  <c r="AJ336" i="7"/>
  <c r="AJ337" i="7"/>
  <c r="AJ338" i="7"/>
  <c r="AJ339" i="7"/>
  <c r="AJ340" i="7"/>
  <c r="AJ341" i="7"/>
  <c r="AJ342" i="7"/>
  <c r="AJ343" i="7"/>
  <c r="AJ344" i="7"/>
  <c r="AJ345" i="7"/>
  <c r="AJ346" i="7"/>
  <c r="AJ347" i="7"/>
  <c r="AJ348" i="7"/>
  <c r="AJ349" i="7"/>
  <c r="AJ350" i="7"/>
  <c r="AJ351" i="7"/>
  <c r="AJ352" i="7"/>
  <c r="AJ353" i="7"/>
  <c r="AJ354" i="7"/>
  <c r="AJ355" i="7"/>
  <c r="AJ356" i="7"/>
  <c r="AJ357" i="7"/>
  <c r="AJ358" i="7"/>
  <c r="AJ359" i="7"/>
  <c r="AJ360" i="7"/>
  <c r="AJ361" i="7"/>
  <c r="AJ362" i="7"/>
  <c r="AJ363" i="7"/>
  <c r="AJ364" i="7"/>
  <c r="AJ365" i="7"/>
  <c r="AJ366" i="7"/>
  <c r="AJ367" i="7"/>
  <c r="AJ368" i="7"/>
  <c r="AJ369" i="7"/>
  <c r="AJ370" i="7"/>
  <c r="AJ371" i="7"/>
  <c r="AJ372" i="7"/>
  <c r="AJ373" i="7"/>
  <c r="AJ374" i="7"/>
  <c r="AJ375" i="7"/>
  <c r="AJ376" i="7"/>
  <c r="AJ377" i="7"/>
  <c r="AJ378" i="7"/>
  <c r="AJ379" i="7"/>
  <c r="AJ380" i="7"/>
  <c r="AJ381" i="7"/>
  <c r="AJ382" i="7"/>
  <c r="AJ383" i="7"/>
  <c r="AJ384" i="7"/>
  <c r="AJ385" i="7"/>
  <c r="AJ386" i="7"/>
  <c r="AJ387" i="7"/>
  <c r="AJ388" i="7"/>
  <c r="AJ389" i="7"/>
  <c r="AJ390" i="7"/>
  <c r="AJ391" i="7"/>
  <c r="AJ392" i="7"/>
  <c r="AJ393" i="7"/>
  <c r="AJ394" i="7"/>
  <c r="AJ395" i="7"/>
  <c r="AJ396" i="7"/>
  <c r="AJ397" i="7"/>
  <c r="AJ398" i="7"/>
  <c r="AJ399" i="7"/>
  <c r="AJ400" i="7"/>
  <c r="AJ401" i="7"/>
  <c r="AJ402" i="7"/>
  <c r="AJ403" i="7"/>
  <c r="AJ404" i="7"/>
  <c r="AJ405" i="7"/>
  <c r="AJ406" i="7"/>
  <c r="AJ407" i="7"/>
  <c r="AJ408" i="7"/>
  <c r="AJ409" i="7"/>
  <c r="AJ410" i="7"/>
  <c r="AJ411" i="7"/>
  <c r="AJ412" i="7"/>
  <c r="AJ413" i="7"/>
  <c r="AJ414" i="7"/>
  <c r="AJ415" i="7"/>
  <c r="AJ416" i="7"/>
  <c r="AJ417" i="7"/>
  <c r="AJ418" i="7"/>
  <c r="AJ419" i="7"/>
  <c r="AJ420" i="7"/>
  <c r="AJ421" i="7"/>
  <c r="AJ422" i="7"/>
  <c r="AJ423" i="7"/>
  <c r="AJ424" i="7"/>
  <c r="AJ425" i="7"/>
  <c r="AJ426" i="7"/>
  <c r="AJ427" i="7"/>
  <c r="AJ428" i="7"/>
  <c r="AJ429" i="7"/>
  <c r="AJ430" i="7"/>
  <c r="AJ431" i="7"/>
  <c r="AJ432" i="7"/>
  <c r="AJ433" i="7"/>
  <c r="AJ434" i="7"/>
  <c r="AJ435" i="7"/>
  <c r="AJ436" i="7"/>
  <c r="AJ437" i="7"/>
  <c r="AJ438" i="7"/>
  <c r="AJ439" i="7"/>
  <c r="AJ440" i="7"/>
  <c r="AJ441" i="7"/>
  <c r="AJ442" i="7"/>
  <c r="AJ443" i="7"/>
  <c r="AJ444" i="7"/>
  <c r="AJ445" i="7"/>
  <c r="AJ446" i="7"/>
  <c r="AJ447" i="7"/>
  <c r="AJ448" i="7"/>
  <c r="AJ449" i="7"/>
  <c r="AJ450" i="7"/>
  <c r="AJ451" i="7"/>
  <c r="AJ452" i="7"/>
  <c r="AJ453" i="7"/>
  <c r="AJ454" i="7"/>
  <c r="AJ455" i="7"/>
  <c r="AJ456" i="7"/>
  <c r="AJ457" i="7"/>
  <c r="AJ458" i="7"/>
  <c r="AJ459" i="7"/>
  <c r="AJ460" i="7"/>
  <c r="AJ461" i="7"/>
  <c r="AJ462" i="7"/>
  <c r="AJ463" i="7"/>
  <c r="AJ464" i="7"/>
  <c r="AJ465" i="7"/>
  <c r="AJ466" i="7"/>
  <c r="AJ467" i="7"/>
  <c r="AJ468" i="7"/>
  <c r="AJ469" i="7"/>
  <c r="AJ470" i="7"/>
  <c r="AJ471" i="7"/>
  <c r="AJ472" i="7"/>
  <c r="AJ473" i="7"/>
  <c r="AJ474" i="7"/>
  <c r="AJ475" i="7"/>
  <c r="AJ476" i="7"/>
  <c r="AJ477" i="7"/>
  <c r="AJ478" i="7"/>
  <c r="AJ479" i="7"/>
  <c r="AJ480" i="7"/>
  <c r="AJ481" i="7"/>
  <c r="AJ482" i="7"/>
  <c r="AJ483" i="7"/>
  <c r="AJ484" i="7"/>
  <c r="AJ485" i="7"/>
  <c r="AJ486" i="7"/>
  <c r="AJ487" i="7"/>
  <c r="AJ488" i="7"/>
  <c r="AJ489" i="7"/>
  <c r="AJ490" i="7"/>
  <c r="AJ491" i="7"/>
  <c r="AJ492" i="7"/>
  <c r="AJ493" i="7"/>
  <c r="AJ494" i="7"/>
  <c r="AJ495" i="7"/>
  <c r="AJ496" i="7"/>
  <c r="AJ497" i="7"/>
  <c r="AJ498" i="7"/>
  <c r="AJ499" i="7"/>
  <c r="AJ500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51" i="7"/>
  <c r="AK52" i="7"/>
  <c r="AK53" i="7"/>
  <c r="AK54" i="7"/>
  <c r="AK55" i="7"/>
  <c r="AK56" i="7"/>
  <c r="AK57" i="7"/>
  <c r="AK58" i="7"/>
  <c r="AK59" i="7"/>
  <c r="AK60" i="7"/>
  <c r="AK61" i="7"/>
  <c r="AK62" i="7"/>
  <c r="AK63" i="7"/>
  <c r="AK64" i="7"/>
  <c r="AK65" i="7"/>
  <c r="AK66" i="7"/>
  <c r="AK67" i="7"/>
  <c r="AK68" i="7"/>
  <c r="AK69" i="7"/>
  <c r="AK70" i="7"/>
  <c r="AK71" i="7"/>
  <c r="AK72" i="7"/>
  <c r="AK73" i="7"/>
  <c r="AK74" i="7"/>
  <c r="AK75" i="7"/>
  <c r="AK76" i="7"/>
  <c r="AK77" i="7"/>
  <c r="AK78" i="7"/>
  <c r="AK79" i="7"/>
  <c r="AK80" i="7"/>
  <c r="AK81" i="7"/>
  <c r="AK82" i="7"/>
  <c r="AK83" i="7"/>
  <c r="AK84" i="7"/>
  <c r="AK85" i="7"/>
  <c r="AK86" i="7"/>
  <c r="AK87" i="7"/>
  <c r="AK88" i="7"/>
  <c r="AK89" i="7"/>
  <c r="AK90" i="7"/>
  <c r="AK91" i="7"/>
  <c r="AK92" i="7"/>
  <c r="AK93" i="7"/>
  <c r="AK94" i="7"/>
  <c r="AK95" i="7"/>
  <c r="AK96" i="7"/>
  <c r="AK97" i="7"/>
  <c r="AK98" i="7"/>
  <c r="AK99" i="7"/>
  <c r="AK100" i="7"/>
  <c r="AK101" i="7"/>
  <c r="AK102" i="7"/>
  <c r="AK103" i="7"/>
  <c r="AK104" i="7"/>
  <c r="AK105" i="7"/>
  <c r="AK106" i="7"/>
  <c r="AK107" i="7"/>
  <c r="AK108" i="7"/>
  <c r="AK109" i="7"/>
  <c r="AK110" i="7"/>
  <c r="AK111" i="7"/>
  <c r="AK112" i="7"/>
  <c r="AK113" i="7"/>
  <c r="AK114" i="7"/>
  <c r="AK115" i="7"/>
  <c r="AK116" i="7"/>
  <c r="AK117" i="7"/>
  <c r="AK118" i="7"/>
  <c r="AK119" i="7"/>
  <c r="AK120" i="7"/>
  <c r="AK121" i="7"/>
  <c r="AK122" i="7"/>
  <c r="AK123" i="7"/>
  <c r="AK124" i="7"/>
  <c r="AK125" i="7"/>
  <c r="AK126" i="7"/>
  <c r="AK127" i="7"/>
  <c r="AK128" i="7"/>
  <c r="AK129" i="7"/>
  <c r="AK130" i="7"/>
  <c r="AK131" i="7"/>
  <c r="AK132" i="7"/>
  <c r="AK133" i="7"/>
  <c r="AK134" i="7"/>
  <c r="AK135" i="7"/>
  <c r="AK136" i="7"/>
  <c r="AK137" i="7"/>
  <c r="AK138" i="7"/>
  <c r="AK139" i="7"/>
  <c r="AK140" i="7"/>
  <c r="AK141" i="7"/>
  <c r="AK142" i="7"/>
  <c r="AK143" i="7"/>
  <c r="AK144" i="7"/>
  <c r="AK145" i="7"/>
  <c r="AK146" i="7"/>
  <c r="AK147" i="7"/>
  <c r="AK148" i="7"/>
  <c r="AK149" i="7"/>
  <c r="AK150" i="7"/>
  <c r="AK151" i="7"/>
  <c r="AK152" i="7"/>
  <c r="AK153" i="7"/>
  <c r="AK154" i="7"/>
  <c r="AK155" i="7"/>
  <c r="AK156" i="7"/>
  <c r="AK157" i="7"/>
  <c r="AK158" i="7"/>
  <c r="AK159" i="7"/>
  <c r="AK160" i="7"/>
  <c r="AK161" i="7"/>
  <c r="AK162" i="7"/>
  <c r="AK163" i="7"/>
  <c r="AK164" i="7"/>
  <c r="AK165" i="7"/>
  <c r="AK166" i="7"/>
  <c r="AK167" i="7"/>
  <c r="AK168" i="7"/>
  <c r="AK169" i="7"/>
  <c r="AK170" i="7"/>
  <c r="AK171" i="7"/>
  <c r="AK172" i="7"/>
  <c r="AK173" i="7"/>
  <c r="AK174" i="7"/>
  <c r="AK175" i="7"/>
  <c r="AK176" i="7"/>
  <c r="AK177" i="7"/>
  <c r="AK178" i="7"/>
  <c r="AK179" i="7"/>
  <c r="AK180" i="7"/>
  <c r="AK181" i="7"/>
  <c r="AK182" i="7"/>
  <c r="AK183" i="7"/>
  <c r="AK184" i="7"/>
  <c r="AK185" i="7"/>
  <c r="AK186" i="7"/>
  <c r="AK187" i="7"/>
  <c r="AK188" i="7"/>
  <c r="AK189" i="7"/>
  <c r="AK190" i="7"/>
  <c r="AK191" i="7"/>
  <c r="AK192" i="7"/>
  <c r="AK193" i="7"/>
  <c r="AK194" i="7"/>
  <c r="AK195" i="7"/>
  <c r="AK196" i="7"/>
  <c r="AK197" i="7"/>
  <c r="AK198" i="7"/>
  <c r="AK199" i="7"/>
  <c r="AK200" i="7"/>
  <c r="AK201" i="7"/>
  <c r="AK202" i="7"/>
  <c r="AK203" i="7"/>
  <c r="AK204" i="7"/>
  <c r="AK205" i="7"/>
  <c r="AK206" i="7"/>
  <c r="AK207" i="7"/>
  <c r="AK208" i="7"/>
  <c r="AK209" i="7"/>
  <c r="AK210" i="7"/>
  <c r="AK211" i="7"/>
  <c r="AK212" i="7"/>
  <c r="AK213" i="7"/>
  <c r="AK214" i="7"/>
  <c r="AK215" i="7"/>
  <c r="AK216" i="7"/>
  <c r="AK217" i="7"/>
  <c r="AK218" i="7"/>
  <c r="AK219" i="7"/>
  <c r="AK220" i="7"/>
  <c r="AK221" i="7"/>
  <c r="AK222" i="7"/>
  <c r="AK223" i="7"/>
  <c r="AK224" i="7"/>
  <c r="AK225" i="7"/>
  <c r="AK226" i="7"/>
  <c r="AK227" i="7"/>
  <c r="AK228" i="7"/>
  <c r="AK229" i="7"/>
  <c r="AK230" i="7"/>
  <c r="AK231" i="7"/>
  <c r="AK232" i="7"/>
  <c r="AK233" i="7"/>
  <c r="AK234" i="7"/>
  <c r="AK235" i="7"/>
  <c r="AK236" i="7"/>
  <c r="AK237" i="7"/>
  <c r="AK238" i="7"/>
  <c r="AK239" i="7"/>
  <c r="AK240" i="7"/>
  <c r="AK241" i="7"/>
  <c r="AK242" i="7"/>
  <c r="AK243" i="7"/>
  <c r="AK244" i="7"/>
  <c r="AK245" i="7"/>
  <c r="AK246" i="7"/>
  <c r="AK247" i="7"/>
  <c r="AK248" i="7"/>
  <c r="AK249" i="7"/>
  <c r="AK250" i="7"/>
  <c r="AK251" i="7"/>
  <c r="AK252" i="7"/>
  <c r="AK253" i="7"/>
  <c r="AK254" i="7"/>
  <c r="AK255" i="7"/>
  <c r="AK256" i="7"/>
  <c r="AK257" i="7"/>
  <c r="AK258" i="7"/>
  <c r="AK259" i="7"/>
  <c r="AK260" i="7"/>
  <c r="AK261" i="7"/>
  <c r="AK262" i="7"/>
  <c r="AK263" i="7"/>
  <c r="AK264" i="7"/>
  <c r="AK265" i="7"/>
  <c r="AK266" i="7"/>
  <c r="AK267" i="7"/>
  <c r="AK268" i="7"/>
  <c r="AK269" i="7"/>
  <c r="AK270" i="7"/>
  <c r="AK271" i="7"/>
  <c r="AK272" i="7"/>
  <c r="AK273" i="7"/>
  <c r="AK274" i="7"/>
  <c r="AK275" i="7"/>
  <c r="AK276" i="7"/>
  <c r="AK277" i="7"/>
  <c r="AK278" i="7"/>
  <c r="AK279" i="7"/>
  <c r="AK280" i="7"/>
  <c r="AK281" i="7"/>
  <c r="AK282" i="7"/>
  <c r="AK283" i="7"/>
  <c r="AK284" i="7"/>
  <c r="AK285" i="7"/>
  <c r="AK286" i="7"/>
  <c r="AK287" i="7"/>
  <c r="AK288" i="7"/>
  <c r="AK289" i="7"/>
  <c r="AK290" i="7"/>
  <c r="AK291" i="7"/>
  <c r="AK292" i="7"/>
  <c r="AK293" i="7"/>
  <c r="AK294" i="7"/>
  <c r="AK295" i="7"/>
  <c r="AK296" i="7"/>
  <c r="AK297" i="7"/>
  <c r="AK298" i="7"/>
  <c r="AK299" i="7"/>
  <c r="AK300" i="7"/>
  <c r="AK301" i="7"/>
  <c r="AK302" i="7"/>
  <c r="AK303" i="7"/>
  <c r="AK304" i="7"/>
  <c r="AK305" i="7"/>
  <c r="AK306" i="7"/>
  <c r="AK307" i="7"/>
  <c r="AK308" i="7"/>
  <c r="AK309" i="7"/>
  <c r="AK310" i="7"/>
  <c r="AK311" i="7"/>
  <c r="AK312" i="7"/>
  <c r="AK313" i="7"/>
  <c r="AK314" i="7"/>
  <c r="AK315" i="7"/>
  <c r="AK316" i="7"/>
  <c r="AK317" i="7"/>
  <c r="AK318" i="7"/>
  <c r="AK319" i="7"/>
  <c r="AK320" i="7"/>
  <c r="AK321" i="7"/>
  <c r="AK322" i="7"/>
  <c r="AK323" i="7"/>
  <c r="AK324" i="7"/>
  <c r="AK325" i="7"/>
  <c r="AK326" i="7"/>
  <c r="AK327" i="7"/>
  <c r="AK328" i="7"/>
  <c r="AK329" i="7"/>
  <c r="AK330" i="7"/>
  <c r="AK331" i="7"/>
  <c r="AK332" i="7"/>
  <c r="AK333" i="7"/>
  <c r="AK334" i="7"/>
  <c r="AK335" i="7"/>
  <c r="AK336" i="7"/>
  <c r="AK337" i="7"/>
  <c r="AK338" i="7"/>
  <c r="AK339" i="7"/>
  <c r="AK340" i="7"/>
  <c r="AK341" i="7"/>
  <c r="AK342" i="7"/>
  <c r="AK343" i="7"/>
  <c r="AK344" i="7"/>
  <c r="AK345" i="7"/>
  <c r="AK346" i="7"/>
  <c r="AK347" i="7"/>
  <c r="AK348" i="7"/>
  <c r="AK349" i="7"/>
  <c r="AK350" i="7"/>
  <c r="AK351" i="7"/>
  <c r="AK352" i="7"/>
  <c r="AK353" i="7"/>
  <c r="AK354" i="7"/>
  <c r="AK355" i="7"/>
  <c r="AK356" i="7"/>
  <c r="AK357" i="7"/>
  <c r="AK358" i="7"/>
  <c r="AK359" i="7"/>
  <c r="AK360" i="7"/>
  <c r="AK361" i="7"/>
  <c r="AK362" i="7"/>
  <c r="AK363" i="7"/>
  <c r="AK364" i="7"/>
  <c r="AK365" i="7"/>
  <c r="AK366" i="7"/>
  <c r="AK367" i="7"/>
  <c r="AK368" i="7"/>
  <c r="AK369" i="7"/>
  <c r="AK370" i="7"/>
  <c r="AK371" i="7"/>
  <c r="AK372" i="7"/>
  <c r="AK373" i="7"/>
  <c r="AK374" i="7"/>
  <c r="AK375" i="7"/>
  <c r="AK376" i="7"/>
  <c r="AK377" i="7"/>
  <c r="AK378" i="7"/>
  <c r="AK379" i="7"/>
  <c r="AK380" i="7"/>
  <c r="AK381" i="7"/>
  <c r="AK382" i="7"/>
  <c r="AK383" i="7"/>
  <c r="AK384" i="7"/>
  <c r="AK385" i="7"/>
  <c r="AK386" i="7"/>
  <c r="AK387" i="7"/>
  <c r="AK388" i="7"/>
  <c r="AK389" i="7"/>
  <c r="AK390" i="7"/>
  <c r="AK391" i="7"/>
  <c r="AK392" i="7"/>
  <c r="AK393" i="7"/>
  <c r="AK394" i="7"/>
  <c r="AK395" i="7"/>
  <c r="AK396" i="7"/>
  <c r="AK397" i="7"/>
  <c r="AK398" i="7"/>
  <c r="AK399" i="7"/>
  <c r="AK400" i="7"/>
  <c r="AK401" i="7"/>
  <c r="AK402" i="7"/>
  <c r="AK403" i="7"/>
  <c r="AK404" i="7"/>
  <c r="AK405" i="7"/>
  <c r="AK406" i="7"/>
  <c r="AK407" i="7"/>
  <c r="AK408" i="7"/>
  <c r="AK409" i="7"/>
  <c r="AK410" i="7"/>
  <c r="AK411" i="7"/>
  <c r="AK412" i="7"/>
  <c r="AK413" i="7"/>
  <c r="AK414" i="7"/>
  <c r="AK415" i="7"/>
  <c r="AK416" i="7"/>
  <c r="AK417" i="7"/>
  <c r="AK418" i="7"/>
  <c r="AK419" i="7"/>
  <c r="AK420" i="7"/>
  <c r="AK421" i="7"/>
  <c r="AK422" i="7"/>
  <c r="AK423" i="7"/>
  <c r="AK424" i="7"/>
  <c r="AK425" i="7"/>
  <c r="AK426" i="7"/>
  <c r="AK427" i="7"/>
  <c r="AK428" i="7"/>
  <c r="AK429" i="7"/>
  <c r="AK430" i="7"/>
  <c r="AK431" i="7"/>
  <c r="AK432" i="7"/>
  <c r="AK433" i="7"/>
  <c r="AK434" i="7"/>
  <c r="AK435" i="7"/>
  <c r="AK436" i="7"/>
  <c r="AK437" i="7"/>
  <c r="AK438" i="7"/>
  <c r="AK439" i="7"/>
  <c r="AK440" i="7"/>
  <c r="AK441" i="7"/>
  <c r="AK442" i="7"/>
  <c r="AK443" i="7"/>
  <c r="AK444" i="7"/>
  <c r="AK445" i="7"/>
  <c r="AK446" i="7"/>
  <c r="AK447" i="7"/>
  <c r="AK448" i="7"/>
  <c r="AK449" i="7"/>
  <c r="AK450" i="7"/>
  <c r="AK451" i="7"/>
  <c r="AK452" i="7"/>
  <c r="AK453" i="7"/>
  <c r="AK454" i="7"/>
  <c r="AK455" i="7"/>
  <c r="AK456" i="7"/>
  <c r="AK457" i="7"/>
  <c r="AK458" i="7"/>
  <c r="AK459" i="7"/>
  <c r="AK460" i="7"/>
  <c r="AK461" i="7"/>
  <c r="AK462" i="7"/>
  <c r="AK463" i="7"/>
  <c r="AK464" i="7"/>
  <c r="AK465" i="7"/>
  <c r="AK466" i="7"/>
  <c r="AK467" i="7"/>
  <c r="AK468" i="7"/>
  <c r="AK469" i="7"/>
  <c r="AK470" i="7"/>
  <c r="AK471" i="7"/>
  <c r="AK472" i="7"/>
  <c r="AK473" i="7"/>
  <c r="AK474" i="7"/>
  <c r="AK475" i="7"/>
  <c r="AK476" i="7"/>
  <c r="AK477" i="7"/>
  <c r="AK478" i="7"/>
  <c r="AK479" i="7"/>
  <c r="AK480" i="7"/>
  <c r="AK481" i="7"/>
  <c r="AK482" i="7"/>
  <c r="AK483" i="7"/>
  <c r="AK484" i="7"/>
  <c r="AK485" i="7"/>
  <c r="AK486" i="7"/>
  <c r="AK487" i="7"/>
  <c r="AK488" i="7"/>
  <c r="AK489" i="7"/>
  <c r="AK490" i="7"/>
  <c r="AK491" i="7"/>
  <c r="AK492" i="7"/>
  <c r="AK493" i="7"/>
  <c r="AK494" i="7"/>
  <c r="AK495" i="7"/>
  <c r="AK496" i="7"/>
  <c r="AK497" i="7"/>
  <c r="AK498" i="7"/>
  <c r="AK499" i="7"/>
  <c r="AK500" i="7"/>
  <c r="AL10" i="7"/>
  <c r="AL11" i="7"/>
  <c r="AL12" i="7"/>
  <c r="AL13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56" i="7"/>
  <c r="AL57" i="7"/>
  <c r="AL58" i="7"/>
  <c r="AL59" i="7"/>
  <c r="AL60" i="7"/>
  <c r="AL61" i="7"/>
  <c r="AL62" i="7"/>
  <c r="AL63" i="7"/>
  <c r="AL64" i="7"/>
  <c r="AL65" i="7"/>
  <c r="AL66" i="7"/>
  <c r="AL67" i="7"/>
  <c r="AL68" i="7"/>
  <c r="AL69" i="7"/>
  <c r="AL70" i="7"/>
  <c r="AL71" i="7"/>
  <c r="AL72" i="7"/>
  <c r="AL73" i="7"/>
  <c r="AL74" i="7"/>
  <c r="AL75" i="7"/>
  <c r="AL76" i="7"/>
  <c r="AL77" i="7"/>
  <c r="AL78" i="7"/>
  <c r="AL79" i="7"/>
  <c r="AL80" i="7"/>
  <c r="AL81" i="7"/>
  <c r="AL82" i="7"/>
  <c r="AL83" i="7"/>
  <c r="AL84" i="7"/>
  <c r="AL85" i="7"/>
  <c r="AL86" i="7"/>
  <c r="AL87" i="7"/>
  <c r="AL88" i="7"/>
  <c r="AL89" i="7"/>
  <c r="AL90" i="7"/>
  <c r="AL91" i="7"/>
  <c r="AL92" i="7"/>
  <c r="AL93" i="7"/>
  <c r="AL94" i="7"/>
  <c r="AL95" i="7"/>
  <c r="AL96" i="7"/>
  <c r="AL97" i="7"/>
  <c r="AL98" i="7"/>
  <c r="AL99" i="7"/>
  <c r="AL100" i="7"/>
  <c r="AL101" i="7"/>
  <c r="AL102" i="7"/>
  <c r="AL103" i="7"/>
  <c r="AL104" i="7"/>
  <c r="AL105" i="7"/>
  <c r="AL106" i="7"/>
  <c r="AL107" i="7"/>
  <c r="AL108" i="7"/>
  <c r="AL109" i="7"/>
  <c r="AL110" i="7"/>
  <c r="AL111" i="7"/>
  <c r="AL112" i="7"/>
  <c r="AL113" i="7"/>
  <c r="AL114" i="7"/>
  <c r="AL115" i="7"/>
  <c r="AL116" i="7"/>
  <c r="AL117" i="7"/>
  <c r="AL118" i="7"/>
  <c r="AL119" i="7"/>
  <c r="AL120" i="7"/>
  <c r="AL121" i="7"/>
  <c r="AL122" i="7"/>
  <c r="AL123" i="7"/>
  <c r="AL124" i="7"/>
  <c r="AL125" i="7"/>
  <c r="AL126" i="7"/>
  <c r="AL127" i="7"/>
  <c r="AL128" i="7"/>
  <c r="AL129" i="7"/>
  <c r="AL130" i="7"/>
  <c r="AL131" i="7"/>
  <c r="AL132" i="7"/>
  <c r="AL133" i="7"/>
  <c r="AL134" i="7"/>
  <c r="AL135" i="7"/>
  <c r="AL136" i="7"/>
  <c r="AL137" i="7"/>
  <c r="AL138" i="7"/>
  <c r="AL139" i="7"/>
  <c r="AL140" i="7"/>
  <c r="AL141" i="7"/>
  <c r="AL142" i="7"/>
  <c r="AL143" i="7"/>
  <c r="AL144" i="7"/>
  <c r="AL145" i="7"/>
  <c r="AL146" i="7"/>
  <c r="AL147" i="7"/>
  <c r="AL148" i="7"/>
  <c r="AL149" i="7"/>
  <c r="AL150" i="7"/>
  <c r="AL151" i="7"/>
  <c r="AL152" i="7"/>
  <c r="AL153" i="7"/>
  <c r="AL154" i="7"/>
  <c r="AL155" i="7"/>
  <c r="AL156" i="7"/>
  <c r="AL157" i="7"/>
  <c r="AL158" i="7"/>
  <c r="AL159" i="7"/>
  <c r="AL160" i="7"/>
  <c r="AL161" i="7"/>
  <c r="AL162" i="7"/>
  <c r="AL163" i="7"/>
  <c r="AL164" i="7"/>
  <c r="AL165" i="7"/>
  <c r="AL166" i="7"/>
  <c r="AL167" i="7"/>
  <c r="AL168" i="7"/>
  <c r="AL169" i="7"/>
  <c r="AL170" i="7"/>
  <c r="AL171" i="7"/>
  <c r="AL172" i="7"/>
  <c r="AL173" i="7"/>
  <c r="AL174" i="7"/>
  <c r="AL175" i="7"/>
  <c r="AL176" i="7"/>
  <c r="AL177" i="7"/>
  <c r="AL178" i="7"/>
  <c r="AL179" i="7"/>
  <c r="AL180" i="7"/>
  <c r="AL181" i="7"/>
  <c r="AL182" i="7"/>
  <c r="AL183" i="7"/>
  <c r="AL184" i="7"/>
  <c r="AL185" i="7"/>
  <c r="AL186" i="7"/>
  <c r="AL187" i="7"/>
  <c r="AL188" i="7"/>
  <c r="AL189" i="7"/>
  <c r="AL190" i="7"/>
  <c r="AL191" i="7"/>
  <c r="AL192" i="7"/>
  <c r="AL193" i="7"/>
  <c r="AL194" i="7"/>
  <c r="AL195" i="7"/>
  <c r="AL196" i="7"/>
  <c r="AL197" i="7"/>
  <c r="AL198" i="7"/>
  <c r="AL199" i="7"/>
  <c r="AL200" i="7"/>
  <c r="AL201" i="7"/>
  <c r="AL202" i="7"/>
  <c r="AL203" i="7"/>
  <c r="AL204" i="7"/>
  <c r="AL205" i="7"/>
  <c r="AL206" i="7"/>
  <c r="AL207" i="7"/>
  <c r="AL208" i="7"/>
  <c r="AL209" i="7"/>
  <c r="AL210" i="7"/>
  <c r="AL211" i="7"/>
  <c r="AL212" i="7"/>
  <c r="AL213" i="7"/>
  <c r="AL214" i="7"/>
  <c r="AL215" i="7"/>
  <c r="AL216" i="7"/>
  <c r="AL217" i="7"/>
  <c r="AL218" i="7"/>
  <c r="AL219" i="7"/>
  <c r="AL220" i="7"/>
  <c r="AL221" i="7"/>
  <c r="AL222" i="7"/>
  <c r="AL223" i="7"/>
  <c r="AL224" i="7"/>
  <c r="AL225" i="7"/>
  <c r="AL226" i="7"/>
  <c r="AL227" i="7"/>
  <c r="AL228" i="7"/>
  <c r="AL229" i="7"/>
  <c r="AL230" i="7"/>
  <c r="AL231" i="7"/>
  <c r="AL232" i="7"/>
  <c r="AL233" i="7"/>
  <c r="AL234" i="7"/>
  <c r="AL235" i="7"/>
  <c r="AL236" i="7"/>
  <c r="AL237" i="7"/>
  <c r="AL238" i="7"/>
  <c r="AL239" i="7"/>
  <c r="AL240" i="7"/>
  <c r="AL241" i="7"/>
  <c r="AL242" i="7"/>
  <c r="AL243" i="7"/>
  <c r="AL244" i="7"/>
  <c r="AL245" i="7"/>
  <c r="AL246" i="7"/>
  <c r="AL247" i="7"/>
  <c r="AL248" i="7"/>
  <c r="AL249" i="7"/>
  <c r="AL250" i="7"/>
  <c r="AL251" i="7"/>
  <c r="AL252" i="7"/>
  <c r="AL253" i="7"/>
  <c r="AL254" i="7"/>
  <c r="AL255" i="7"/>
  <c r="AL256" i="7"/>
  <c r="AL257" i="7"/>
  <c r="AL258" i="7"/>
  <c r="AL259" i="7"/>
  <c r="AL260" i="7"/>
  <c r="AL261" i="7"/>
  <c r="AL262" i="7"/>
  <c r="AL263" i="7"/>
  <c r="AL264" i="7"/>
  <c r="AL265" i="7"/>
  <c r="AL266" i="7"/>
  <c r="AL267" i="7"/>
  <c r="AL268" i="7"/>
  <c r="AL269" i="7"/>
  <c r="AL270" i="7"/>
  <c r="AL271" i="7"/>
  <c r="AL272" i="7"/>
  <c r="AL273" i="7"/>
  <c r="AL274" i="7"/>
  <c r="AL275" i="7"/>
  <c r="AL276" i="7"/>
  <c r="AL277" i="7"/>
  <c r="AL278" i="7"/>
  <c r="AL279" i="7"/>
  <c r="AL280" i="7"/>
  <c r="AL281" i="7"/>
  <c r="AL282" i="7"/>
  <c r="AL283" i="7"/>
  <c r="AL284" i="7"/>
  <c r="AL285" i="7"/>
  <c r="AL286" i="7"/>
  <c r="AL287" i="7"/>
  <c r="AL288" i="7"/>
  <c r="AL289" i="7"/>
  <c r="AL290" i="7"/>
  <c r="AL291" i="7"/>
  <c r="AL292" i="7"/>
  <c r="AL293" i="7"/>
  <c r="AL294" i="7"/>
  <c r="AL295" i="7"/>
  <c r="AL296" i="7"/>
  <c r="AL297" i="7"/>
  <c r="AL298" i="7"/>
  <c r="AL299" i="7"/>
  <c r="AL300" i="7"/>
  <c r="AL301" i="7"/>
  <c r="AL302" i="7"/>
  <c r="AL303" i="7"/>
  <c r="AL304" i="7"/>
  <c r="AL305" i="7"/>
  <c r="AL306" i="7"/>
  <c r="AL307" i="7"/>
  <c r="AL308" i="7"/>
  <c r="AL309" i="7"/>
  <c r="AL310" i="7"/>
  <c r="AL311" i="7"/>
  <c r="AL312" i="7"/>
  <c r="AL313" i="7"/>
  <c r="AL314" i="7"/>
  <c r="AL315" i="7"/>
  <c r="AL316" i="7"/>
  <c r="AL317" i="7"/>
  <c r="AL318" i="7"/>
  <c r="AL319" i="7"/>
  <c r="AL320" i="7"/>
  <c r="AL321" i="7"/>
  <c r="AL322" i="7"/>
  <c r="AL323" i="7"/>
  <c r="AL324" i="7"/>
  <c r="AL325" i="7"/>
  <c r="AL326" i="7"/>
  <c r="AL327" i="7"/>
  <c r="AL328" i="7"/>
  <c r="AL329" i="7"/>
  <c r="AL330" i="7"/>
  <c r="AL331" i="7"/>
  <c r="AL332" i="7"/>
  <c r="AL333" i="7"/>
  <c r="AL334" i="7"/>
  <c r="AL335" i="7"/>
  <c r="AL336" i="7"/>
  <c r="AL337" i="7"/>
  <c r="AL338" i="7"/>
  <c r="AL339" i="7"/>
  <c r="AL340" i="7"/>
  <c r="AL341" i="7"/>
  <c r="AL342" i="7"/>
  <c r="AL343" i="7"/>
  <c r="AL344" i="7"/>
  <c r="AL345" i="7"/>
  <c r="AL346" i="7"/>
  <c r="AL347" i="7"/>
  <c r="AL348" i="7"/>
  <c r="AL349" i="7"/>
  <c r="AL350" i="7"/>
  <c r="AL351" i="7"/>
  <c r="AL352" i="7"/>
  <c r="AL353" i="7"/>
  <c r="AL354" i="7"/>
  <c r="AL355" i="7"/>
  <c r="AL356" i="7"/>
  <c r="AL357" i="7"/>
  <c r="AL358" i="7"/>
  <c r="AL359" i="7"/>
  <c r="AL360" i="7"/>
  <c r="AL361" i="7"/>
  <c r="AL362" i="7"/>
  <c r="AL363" i="7"/>
  <c r="AL364" i="7"/>
  <c r="AL365" i="7"/>
  <c r="AL366" i="7"/>
  <c r="AL367" i="7"/>
  <c r="AL368" i="7"/>
  <c r="AL369" i="7"/>
  <c r="AL370" i="7"/>
  <c r="AL371" i="7"/>
  <c r="AL372" i="7"/>
  <c r="AL373" i="7"/>
  <c r="AL374" i="7"/>
  <c r="AL375" i="7"/>
  <c r="AL376" i="7"/>
  <c r="AL377" i="7"/>
  <c r="AL378" i="7"/>
  <c r="AL379" i="7"/>
  <c r="AL380" i="7"/>
  <c r="AL381" i="7"/>
  <c r="AL382" i="7"/>
  <c r="AL383" i="7"/>
  <c r="AL384" i="7"/>
  <c r="AL385" i="7"/>
  <c r="AL386" i="7"/>
  <c r="AL387" i="7"/>
  <c r="AL388" i="7"/>
  <c r="AL389" i="7"/>
  <c r="AL390" i="7"/>
  <c r="AL391" i="7"/>
  <c r="AL392" i="7"/>
  <c r="AL393" i="7"/>
  <c r="AL394" i="7"/>
  <c r="AL395" i="7"/>
  <c r="AL396" i="7"/>
  <c r="AL397" i="7"/>
  <c r="AL398" i="7"/>
  <c r="AL399" i="7"/>
  <c r="AL400" i="7"/>
  <c r="AL401" i="7"/>
  <c r="AL402" i="7"/>
  <c r="AL403" i="7"/>
  <c r="AL404" i="7"/>
  <c r="AL405" i="7"/>
  <c r="AL406" i="7"/>
  <c r="AL407" i="7"/>
  <c r="AL408" i="7"/>
  <c r="AL409" i="7"/>
  <c r="AL410" i="7"/>
  <c r="AL411" i="7"/>
  <c r="AL412" i="7"/>
  <c r="AL413" i="7"/>
  <c r="AL414" i="7"/>
  <c r="AL415" i="7"/>
  <c r="AL416" i="7"/>
  <c r="AL417" i="7"/>
  <c r="AL418" i="7"/>
  <c r="AL419" i="7"/>
  <c r="AL420" i="7"/>
  <c r="AL421" i="7"/>
  <c r="AL422" i="7"/>
  <c r="AL423" i="7"/>
  <c r="AL424" i="7"/>
  <c r="AL425" i="7"/>
  <c r="AL426" i="7"/>
  <c r="AL427" i="7"/>
  <c r="AL428" i="7"/>
  <c r="AL429" i="7"/>
  <c r="AL430" i="7"/>
  <c r="AL431" i="7"/>
  <c r="AL432" i="7"/>
  <c r="AL433" i="7"/>
  <c r="AL434" i="7"/>
  <c r="AL435" i="7"/>
  <c r="AL436" i="7"/>
  <c r="AL437" i="7"/>
  <c r="AL438" i="7"/>
  <c r="AL439" i="7"/>
  <c r="AL440" i="7"/>
  <c r="AL441" i="7"/>
  <c r="AL442" i="7"/>
  <c r="AL443" i="7"/>
  <c r="AL444" i="7"/>
  <c r="AL445" i="7"/>
  <c r="AL446" i="7"/>
  <c r="AL447" i="7"/>
  <c r="AL448" i="7"/>
  <c r="AL449" i="7"/>
  <c r="AL450" i="7"/>
  <c r="AL451" i="7"/>
  <c r="AL452" i="7"/>
  <c r="AL453" i="7"/>
  <c r="AL454" i="7"/>
  <c r="AL455" i="7"/>
  <c r="AL456" i="7"/>
  <c r="AL457" i="7"/>
  <c r="AL458" i="7"/>
  <c r="AL459" i="7"/>
  <c r="AL460" i="7"/>
  <c r="AL461" i="7"/>
  <c r="AL462" i="7"/>
  <c r="AL463" i="7"/>
  <c r="AL464" i="7"/>
  <c r="AL465" i="7"/>
  <c r="AL466" i="7"/>
  <c r="AL467" i="7"/>
  <c r="AL468" i="7"/>
  <c r="AL469" i="7"/>
  <c r="AL470" i="7"/>
  <c r="AL471" i="7"/>
  <c r="AL472" i="7"/>
  <c r="AL473" i="7"/>
  <c r="AL474" i="7"/>
  <c r="AL475" i="7"/>
  <c r="AL476" i="7"/>
  <c r="AL477" i="7"/>
  <c r="AL478" i="7"/>
  <c r="AL479" i="7"/>
  <c r="AL480" i="7"/>
  <c r="AL481" i="7"/>
  <c r="AL482" i="7"/>
  <c r="AL483" i="7"/>
  <c r="AL484" i="7"/>
  <c r="AL485" i="7"/>
  <c r="AL486" i="7"/>
  <c r="AL487" i="7"/>
  <c r="AL488" i="7"/>
  <c r="AL489" i="7"/>
  <c r="AL490" i="7"/>
  <c r="AL491" i="7"/>
  <c r="AL492" i="7"/>
  <c r="AL493" i="7"/>
  <c r="AL494" i="7"/>
  <c r="AL495" i="7"/>
  <c r="AL496" i="7"/>
  <c r="AL497" i="7"/>
  <c r="AL498" i="7"/>
  <c r="AL499" i="7"/>
  <c r="AL500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AM411" i="7" s="1"/>
  <c r="D412" i="7"/>
  <c r="D413" i="7"/>
  <c r="D414" i="7"/>
  <c r="D415" i="7"/>
  <c r="AM415" i="7" s="1"/>
  <c r="D416" i="7"/>
  <c r="D417" i="7"/>
  <c r="D418" i="7"/>
  <c r="AM418" i="7" s="1"/>
  <c r="D419" i="7"/>
  <c r="AM419" i="7" s="1"/>
  <c r="D420" i="7"/>
  <c r="D421" i="7"/>
  <c r="D422" i="7"/>
  <c r="AM422" i="7" s="1"/>
  <c r="D423" i="7"/>
  <c r="AM423" i="7" s="1"/>
  <c r="D424" i="7"/>
  <c r="D425" i="7"/>
  <c r="D426" i="7"/>
  <c r="D427" i="7"/>
  <c r="AM427" i="7" s="1"/>
  <c r="D428" i="7"/>
  <c r="D429" i="7"/>
  <c r="D430" i="7"/>
  <c r="AM430" i="7" s="1"/>
  <c r="D431" i="7"/>
  <c r="AM431" i="7" s="1"/>
  <c r="D432" i="7"/>
  <c r="D433" i="7"/>
  <c r="D434" i="7"/>
  <c r="AM434" i="7" s="1"/>
  <c r="D435" i="7"/>
  <c r="AM435" i="7" s="1"/>
  <c r="D436" i="7"/>
  <c r="D437" i="7"/>
  <c r="D438" i="7"/>
  <c r="D439" i="7"/>
  <c r="AM439" i="7" s="1"/>
  <c r="D440" i="7"/>
  <c r="D441" i="7"/>
  <c r="D442" i="7"/>
  <c r="AM442" i="7" s="1"/>
  <c r="D443" i="7"/>
  <c r="AM443" i="7" s="1"/>
  <c r="D444" i="7"/>
  <c r="D445" i="7"/>
  <c r="D446" i="7"/>
  <c r="AM446" i="7" s="1"/>
  <c r="D447" i="7"/>
  <c r="AM447" i="7" s="1"/>
  <c r="D448" i="7"/>
  <c r="D449" i="7"/>
  <c r="D450" i="7"/>
  <c r="D451" i="7"/>
  <c r="AM451" i="7" s="1"/>
  <c r="D452" i="7"/>
  <c r="D453" i="7"/>
  <c r="D454" i="7"/>
  <c r="AM454" i="7" s="1"/>
  <c r="D455" i="7"/>
  <c r="AM455" i="7" s="1"/>
  <c r="D456" i="7"/>
  <c r="D457" i="7"/>
  <c r="D458" i="7"/>
  <c r="AM458" i="7" s="1"/>
  <c r="D459" i="7"/>
  <c r="AM459" i="7" s="1"/>
  <c r="D460" i="7"/>
  <c r="D461" i="7"/>
  <c r="D462" i="7"/>
  <c r="D463" i="7"/>
  <c r="AM463" i="7" s="1"/>
  <c r="D464" i="7"/>
  <c r="D465" i="7"/>
  <c r="D466" i="7"/>
  <c r="AM466" i="7" s="1"/>
  <c r="D467" i="7"/>
  <c r="AM467" i="7" s="1"/>
  <c r="D468" i="7"/>
  <c r="D469" i="7"/>
  <c r="D470" i="7"/>
  <c r="AM470" i="7" s="1"/>
  <c r="D471" i="7"/>
  <c r="AM471" i="7" s="1"/>
  <c r="D472" i="7"/>
  <c r="D473" i="7"/>
  <c r="D474" i="7"/>
  <c r="D475" i="7"/>
  <c r="AM475" i="7" s="1"/>
  <c r="D476" i="7"/>
  <c r="D477" i="7"/>
  <c r="D478" i="7"/>
  <c r="AM478" i="7" s="1"/>
  <c r="D479" i="7"/>
  <c r="AM479" i="7" s="1"/>
  <c r="D480" i="7"/>
  <c r="D481" i="7"/>
  <c r="D482" i="7"/>
  <c r="AM482" i="7" s="1"/>
  <c r="D483" i="7"/>
  <c r="AM483" i="7" s="1"/>
  <c r="D484" i="7"/>
  <c r="D485" i="7"/>
  <c r="D486" i="7"/>
  <c r="D487" i="7"/>
  <c r="AM487" i="7" s="1"/>
  <c r="D488" i="7"/>
  <c r="D489" i="7"/>
  <c r="D490" i="7"/>
  <c r="AM490" i="7" s="1"/>
  <c r="D491" i="7"/>
  <c r="AM491" i="7" s="1"/>
  <c r="D492" i="7"/>
  <c r="D493" i="7"/>
  <c r="D494" i="7"/>
  <c r="AM494" i="7" s="1"/>
  <c r="D495" i="7"/>
  <c r="AM495" i="7" s="1"/>
  <c r="D496" i="7"/>
  <c r="D497" i="7"/>
  <c r="D498" i="7"/>
  <c r="D499" i="7"/>
  <c r="AM499" i="7" s="1"/>
  <c r="D500" i="7"/>
  <c r="AN19" i="7" l="1"/>
  <c r="AO19" i="7"/>
  <c r="AP19" i="7"/>
  <c r="AQ19" i="7"/>
  <c r="AR19" i="7"/>
  <c r="AS19" i="7"/>
  <c r="AT19" i="7"/>
  <c r="AM19" i="7"/>
  <c r="AU19" i="7"/>
  <c r="AN11" i="7"/>
  <c r="AO11" i="7"/>
  <c r="AP11" i="7"/>
  <c r="AQ11" i="7"/>
  <c r="AR11" i="7"/>
  <c r="AS11" i="7"/>
  <c r="AT11" i="7"/>
  <c r="AM11" i="7"/>
  <c r="AU11" i="7"/>
  <c r="AN498" i="7"/>
  <c r="AO498" i="7"/>
  <c r="AP498" i="7"/>
  <c r="AQ498" i="7"/>
  <c r="AR498" i="7"/>
  <c r="AS498" i="7"/>
  <c r="AU498" i="7"/>
  <c r="AT498" i="7"/>
  <c r="AN486" i="7"/>
  <c r="AO486" i="7"/>
  <c r="AP486" i="7"/>
  <c r="AQ486" i="7"/>
  <c r="AR486" i="7"/>
  <c r="AS486" i="7"/>
  <c r="AU486" i="7"/>
  <c r="AT486" i="7"/>
  <c r="AN474" i="7"/>
  <c r="AO474" i="7"/>
  <c r="AP474" i="7"/>
  <c r="AQ474" i="7"/>
  <c r="AR474" i="7"/>
  <c r="AS474" i="7"/>
  <c r="AU474" i="7"/>
  <c r="AT474" i="7"/>
  <c r="AN462" i="7"/>
  <c r="AO462" i="7"/>
  <c r="AP462" i="7"/>
  <c r="AQ462" i="7"/>
  <c r="AR462" i="7"/>
  <c r="AS462" i="7"/>
  <c r="AU462" i="7"/>
  <c r="AT462" i="7"/>
  <c r="AN450" i="7"/>
  <c r="AO450" i="7"/>
  <c r="AP450" i="7"/>
  <c r="AQ450" i="7"/>
  <c r="AR450" i="7"/>
  <c r="AS450" i="7"/>
  <c r="AU450" i="7"/>
  <c r="AT450" i="7"/>
  <c r="AN438" i="7"/>
  <c r="AO438" i="7"/>
  <c r="AP438" i="7"/>
  <c r="AQ438" i="7"/>
  <c r="AR438" i="7"/>
  <c r="AS438" i="7"/>
  <c r="AU438" i="7"/>
  <c r="AT438" i="7"/>
  <c r="AN426" i="7"/>
  <c r="AO426" i="7"/>
  <c r="AP426" i="7"/>
  <c r="AQ426" i="7"/>
  <c r="AR426" i="7"/>
  <c r="AS426" i="7"/>
  <c r="AU426" i="7"/>
  <c r="AT426" i="7"/>
  <c r="AN414" i="7"/>
  <c r="AO414" i="7"/>
  <c r="AP414" i="7"/>
  <c r="AQ414" i="7"/>
  <c r="AR414" i="7"/>
  <c r="AS414" i="7"/>
  <c r="AU414" i="7"/>
  <c r="AT414" i="7"/>
  <c r="AM414" i="7"/>
  <c r="AN402" i="7"/>
  <c r="AO402" i="7"/>
  <c r="AP402" i="7"/>
  <c r="AQ402" i="7"/>
  <c r="AR402" i="7"/>
  <c r="AS402" i="7"/>
  <c r="AU402" i="7"/>
  <c r="AT402" i="7"/>
  <c r="AM402" i="7"/>
  <c r="AN390" i="7"/>
  <c r="AO390" i="7"/>
  <c r="AP390" i="7"/>
  <c r="AQ390" i="7"/>
  <c r="AR390" i="7"/>
  <c r="AS390" i="7"/>
  <c r="AU390" i="7"/>
  <c r="AT390" i="7"/>
  <c r="AM390" i="7"/>
  <c r="AN378" i="7"/>
  <c r="AO378" i="7"/>
  <c r="AP378" i="7"/>
  <c r="AQ378" i="7"/>
  <c r="AR378" i="7"/>
  <c r="AS378" i="7"/>
  <c r="AU378" i="7"/>
  <c r="AT378" i="7"/>
  <c r="AM378" i="7"/>
  <c r="AN366" i="7"/>
  <c r="AO366" i="7"/>
  <c r="AP366" i="7"/>
  <c r="AQ366" i="7"/>
  <c r="AR366" i="7"/>
  <c r="AS366" i="7"/>
  <c r="AU366" i="7"/>
  <c r="AT366" i="7"/>
  <c r="AM366" i="7"/>
  <c r="AN354" i="7"/>
  <c r="AO354" i="7"/>
  <c r="AP354" i="7"/>
  <c r="AQ354" i="7"/>
  <c r="AR354" i="7"/>
  <c r="AS354" i="7"/>
  <c r="AU354" i="7"/>
  <c r="AT354" i="7"/>
  <c r="AM354" i="7"/>
  <c r="AN342" i="7"/>
  <c r="AO342" i="7"/>
  <c r="AP342" i="7"/>
  <c r="AQ342" i="7"/>
  <c r="AR342" i="7"/>
  <c r="AS342" i="7"/>
  <c r="AU342" i="7"/>
  <c r="AT342" i="7"/>
  <c r="AM342" i="7"/>
  <c r="AN330" i="7"/>
  <c r="AO330" i="7"/>
  <c r="AP330" i="7"/>
  <c r="AQ330" i="7"/>
  <c r="AR330" i="7"/>
  <c r="AS330" i="7"/>
  <c r="AU330" i="7"/>
  <c r="AT330" i="7"/>
  <c r="AM330" i="7"/>
  <c r="AN318" i="7"/>
  <c r="AO318" i="7"/>
  <c r="AP318" i="7"/>
  <c r="AQ318" i="7"/>
  <c r="AR318" i="7"/>
  <c r="AS318" i="7"/>
  <c r="AU318" i="7"/>
  <c r="AT318" i="7"/>
  <c r="AM318" i="7"/>
  <c r="AN306" i="7"/>
  <c r="AO306" i="7"/>
  <c r="AP306" i="7"/>
  <c r="AQ306" i="7"/>
  <c r="AR306" i="7"/>
  <c r="AS306" i="7"/>
  <c r="AU306" i="7"/>
  <c r="AT306" i="7"/>
  <c r="AM306" i="7"/>
  <c r="AN294" i="7"/>
  <c r="AO294" i="7"/>
  <c r="AP294" i="7"/>
  <c r="AQ294" i="7"/>
  <c r="AR294" i="7"/>
  <c r="AS294" i="7"/>
  <c r="AU294" i="7"/>
  <c r="AT294" i="7"/>
  <c r="AM294" i="7"/>
  <c r="AN282" i="7"/>
  <c r="AO282" i="7"/>
  <c r="AP282" i="7"/>
  <c r="AQ282" i="7"/>
  <c r="AR282" i="7"/>
  <c r="AS282" i="7"/>
  <c r="AU282" i="7"/>
  <c r="AT282" i="7"/>
  <c r="AM282" i="7"/>
  <c r="AN270" i="7"/>
  <c r="AO270" i="7"/>
  <c r="AP270" i="7"/>
  <c r="AQ270" i="7"/>
  <c r="AR270" i="7"/>
  <c r="AS270" i="7"/>
  <c r="AU270" i="7"/>
  <c r="AT270" i="7"/>
  <c r="AM270" i="7"/>
  <c r="AN258" i="7"/>
  <c r="AO258" i="7"/>
  <c r="AP258" i="7"/>
  <c r="AQ258" i="7"/>
  <c r="AR258" i="7"/>
  <c r="AS258" i="7"/>
  <c r="AU258" i="7"/>
  <c r="AT258" i="7"/>
  <c r="AM258" i="7"/>
  <c r="AN246" i="7"/>
  <c r="AO246" i="7"/>
  <c r="AP246" i="7"/>
  <c r="AQ246" i="7"/>
  <c r="AR246" i="7"/>
  <c r="AS246" i="7"/>
  <c r="AU246" i="7"/>
  <c r="AT246" i="7"/>
  <c r="AM246" i="7"/>
  <c r="AN234" i="7"/>
  <c r="AO234" i="7"/>
  <c r="AP234" i="7"/>
  <c r="AQ234" i="7"/>
  <c r="AR234" i="7"/>
  <c r="AS234" i="7"/>
  <c r="AU234" i="7"/>
  <c r="AT234" i="7"/>
  <c r="AM234" i="7"/>
  <c r="AN222" i="7"/>
  <c r="AO222" i="7"/>
  <c r="AP222" i="7"/>
  <c r="AQ222" i="7"/>
  <c r="AR222" i="7"/>
  <c r="AS222" i="7"/>
  <c r="AU222" i="7"/>
  <c r="AT222" i="7"/>
  <c r="AM222" i="7"/>
  <c r="AN210" i="7"/>
  <c r="AO210" i="7"/>
  <c r="AP210" i="7"/>
  <c r="AQ210" i="7"/>
  <c r="AR210" i="7"/>
  <c r="AS210" i="7"/>
  <c r="AU210" i="7"/>
  <c r="AT210" i="7"/>
  <c r="AM210" i="7"/>
  <c r="AN198" i="7"/>
  <c r="AO198" i="7"/>
  <c r="AP198" i="7"/>
  <c r="AQ198" i="7"/>
  <c r="AR198" i="7"/>
  <c r="AS198" i="7"/>
  <c r="AU198" i="7"/>
  <c r="AT198" i="7"/>
  <c r="AM198" i="7"/>
  <c r="AN186" i="7"/>
  <c r="AO186" i="7"/>
  <c r="AP186" i="7"/>
  <c r="AQ186" i="7"/>
  <c r="AR186" i="7"/>
  <c r="AS186" i="7"/>
  <c r="AU186" i="7"/>
  <c r="AT186" i="7"/>
  <c r="AM186" i="7"/>
  <c r="AN174" i="7"/>
  <c r="AO174" i="7"/>
  <c r="AP174" i="7"/>
  <c r="AQ174" i="7"/>
  <c r="AR174" i="7"/>
  <c r="AS174" i="7"/>
  <c r="AU174" i="7"/>
  <c r="AT174" i="7"/>
  <c r="AM174" i="7"/>
  <c r="AN162" i="7"/>
  <c r="AO162" i="7"/>
  <c r="AQ162" i="7"/>
  <c r="AP162" i="7"/>
  <c r="AR162" i="7"/>
  <c r="AS162" i="7"/>
  <c r="AU162" i="7"/>
  <c r="AT162" i="7"/>
  <c r="AM162" i="7"/>
  <c r="AN150" i="7"/>
  <c r="AO150" i="7"/>
  <c r="AQ150" i="7"/>
  <c r="AP150" i="7"/>
  <c r="AR150" i="7"/>
  <c r="AS150" i="7"/>
  <c r="AU150" i="7"/>
  <c r="AT150" i="7"/>
  <c r="AM150" i="7"/>
  <c r="AN138" i="7"/>
  <c r="AO138" i="7"/>
  <c r="AQ138" i="7"/>
  <c r="AP138" i="7"/>
  <c r="AR138" i="7"/>
  <c r="AS138" i="7"/>
  <c r="AU138" i="7"/>
  <c r="AT138" i="7"/>
  <c r="AM138" i="7"/>
  <c r="AN126" i="7"/>
  <c r="AO126" i="7"/>
  <c r="AQ126" i="7"/>
  <c r="AP126" i="7"/>
  <c r="AR126" i="7"/>
  <c r="AS126" i="7"/>
  <c r="AU126" i="7"/>
  <c r="AT126" i="7"/>
  <c r="AM126" i="7"/>
  <c r="AN114" i="7"/>
  <c r="AO114" i="7"/>
  <c r="AQ114" i="7"/>
  <c r="AP114" i="7"/>
  <c r="AR114" i="7"/>
  <c r="AS114" i="7"/>
  <c r="AU114" i="7"/>
  <c r="AT114" i="7"/>
  <c r="AM114" i="7"/>
  <c r="AN102" i="7"/>
  <c r="AO102" i="7"/>
  <c r="AQ102" i="7"/>
  <c r="AP102" i="7"/>
  <c r="AR102" i="7"/>
  <c r="AS102" i="7"/>
  <c r="AU102" i="7"/>
  <c r="AT102" i="7"/>
  <c r="AM102" i="7"/>
  <c r="AN90" i="7"/>
  <c r="AO90" i="7"/>
  <c r="AQ90" i="7"/>
  <c r="AP90" i="7"/>
  <c r="AR90" i="7"/>
  <c r="AS90" i="7"/>
  <c r="AU90" i="7"/>
  <c r="AT90" i="7"/>
  <c r="AM90" i="7"/>
  <c r="AN78" i="7"/>
  <c r="AO78" i="7"/>
  <c r="AQ78" i="7"/>
  <c r="AP78" i="7"/>
  <c r="AR78" i="7"/>
  <c r="AS78" i="7"/>
  <c r="AU78" i="7"/>
  <c r="AT78" i="7"/>
  <c r="AM78" i="7"/>
  <c r="AN66" i="7"/>
  <c r="AO66" i="7"/>
  <c r="AQ66" i="7"/>
  <c r="AP66" i="7"/>
  <c r="AR66" i="7"/>
  <c r="AS66" i="7"/>
  <c r="AU66" i="7"/>
  <c r="AT66" i="7"/>
  <c r="AM66" i="7"/>
  <c r="AN54" i="7"/>
  <c r="AO54" i="7"/>
  <c r="AQ54" i="7"/>
  <c r="AP54" i="7"/>
  <c r="AR54" i="7"/>
  <c r="AS54" i="7"/>
  <c r="AU54" i="7"/>
  <c r="AT54" i="7"/>
  <c r="AM54" i="7"/>
  <c r="AN42" i="7"/>
  <c r="AO42" i="7"/>
  <c r="AQ42" i="7"/>
  <c r="AP42" i="7"/>
  <c r="AR42" i="7"/>
  <c r="AS42" i="7"/>
  <c r="AU42" i="7"/>
  <c r="AT42" i="7"/>
  <c r="AM42" i="7"/>
  <c r="AN30" i="7"/>
  <c r="AO30" i="7"/>
  <c r="AQ30" i="7"/>
  <c r="AP30" i="7"/>
  <c r="AR30" i="7"/>
  <c r="AT30" i="7"/>
  <c r="AS30" i="7"/>
  <c r="AU30" i="7"/>
  <c r="AM30" i="7"/>
  <c r="AN18" i="7"/>
  <c r="AO18" i="7"/>
  <c r="AQ18" i="7"/>
  <c r="AP18" i="7"/>
  <c r="AR18" i="7"/>
  <c r="AT18" i="7"/>
  <c r="AS18" i="7"/>
  <c r="AU18" i="7"/>
  <c r="AM18" i="7"/>
  <c r="AM498" i="7"/>
  <c r="AM486" i="7"/>
  <c r="AM474" i="7"/>
  <c r="AM462" i="7"/>
  <c r="AM450" i="7"/>
  <c r="AM438" i="7"/>
  <c r="AM426" i="7"/>
  <c r="AN499" i="7"/>
  <c r="AP499" i="7"/>
  <c r="AO499" i="7"/>
  <c r="AQ499" i="7"/>
  <c r="AS499" i="7"/>
  <c r="AR499" i="7"/>
  <c r="AU499" i="7"/>
  <c r="AT499" i="7"/>
  <c r="AN491" i="7"/>
  <c r="AO491" i="7"/>
  <c r="AP491" i="7"/>
  <c r="AQ491" i="7"/>
  <c r="AS491" i="7"/>
  <c r="AR491" i="7"/>
  <c r="AU491" i="7"/>
  <c r="AT491" i="7"/>
  <c r="AN483" i="7"/>
  <c r="AO483" i="7"/>
  <c r="AP483" i="7"/>
  <c r="AQ483" i="7"/>
  <c r="AS483" i="7"/>
  <c r="AR483" i="7"/>
  <c r="AU483" i="7"/>
  <c r="AT483" i="7"/>
  <c r="AN475" i="7"/>
  <c r="AO475" i="7"/>
  <c r="AP475" i="7"/>
  <c r="AQ475" i="7"/>
  <c r="AS475" i="7"/>
  <c r="AR475" i="7"/>
  <c r="AU475" i="7"/>
  <c r="AT475" i="7"/>
  <c r="AN467" i="7"/>
  <c r="AO467" i="7"/>
  <c r="AP467" i="7"/>
  <c r="AQ467" i="7"/>
  <c r="AS467" i="7"/>
  <c r="AR467" i="7"/>
  <c r="AU467" i="7"/>
  <c r="AT467" i="7"/>
  <c r="AN459" i="7"/>
  <c r="AO459" i="7"/>
  <c r="AP459" i="7"/>
  <c r="AQ459" i="7"/>
  <c r="AS459" i="7"/>
  <c r="AR459" i="7"/>
  <c r="AU459" i="7"/>
  <c r="AT459" i="7"/>
  <c r="AN451" i="7"/>
  <c r="AO451" i="7"/>
  <c r="AP451" i="7"/>
  <c r="AQ451" i="7"/>
  <c r="AS451" i="7"/>
  <c r="AR451" i="7"/>
  <c r="AU451" i="7"/>
  <c r="AT451" i="7"/>
  <c r="AN443" i="7"/>
  <c r="AO443" i="7"/>
  <c r="AP443" i="7"/>
  <c r="AQ443" i="7"/>
  <c r="AS443" i="7"/>
  <c r="AR443" i="7"/>
  <c r="AU443" i="7"/>
  <c r="AT443" i="7"/>
  <c r="AN435" i="7"/>
  <c r="AO435" i="7"/>
  <c r="AP435" i="7"/>
  <c r="AQ435" i="7"/>
  <c r="AS435" i="7"/>
  <c r="AR435" i="7"/>
  <c r="AU435" i="7"/>
  <c r="AT435" i="7"/>
  <c r="AN427" i="7"/>
  <c r="AO427" i="7"/>
  <c r="AP427" i="7"/>
  <c r="AQ427" i="7"/>
  <c r="AS427" i="7"/>
  <c r="AR427" i="7"/>
  <c r="AU427" i="7"/>
  <c r="AT427" i="7"/>
  <c r="AN419" i="7"/>
  <c r="AO419" i="7"/>
  <c r="AP419" i="7"/>
  <c r="AQ419" i="7"/>
  <c r="AS419" i="7"/>
  <c r="AR419" i="7"/>
  <c r="AU419" i="7"/>
  <c r="AT419" i="7"/>
  <c r="AN411" i="7"/>
  <c r="AO411" i="7"/>
  <c r="AP411" i="7"/>
  <c r="AQ411" i="7"/>
  <c r="AS411" i="7"/>
  <c r="AR411" i="7"/>
  <c r="AU411" i="7"/>
  <c r="AT411" i="7"/>
  <c r="AN403" i="7"/>
  <c r="AO403" i="7"/>
  <c r="AP403" i="7"/>
  <c r="AQ403" i="7"/>
  <c r="AS403" i="7"/>
  <c r="AR403" i="7"/>
  <c r="AM403" i="7"/>
  <c r="AU403" i="7"/>
  <c r="AT403" i="7"/>
  <c r="AN395" i="7"/>
  <c r="AO395" i="7"/>
  <c r="AP395" i="7"/>
  <c r="AQ395" i="7"/>
  <c r="AS395" i="7"/>
  <c r="AR395" i="7"/>
  <c r="AM395" i="7"/>
  <c r="AU395" i="7"/>
  <c r="AT395" i="7"/>
  <c r="AN387" i="7"/>
  <c r="AO387" i="7"/>
  <c r="AP387" i="7"/>
  <c r="AQ387" i="7"/>
  <c r="AS387" i="7"/>
  <c r="AR387" i="7"/>
  <c r="AM387" i="7"/>
  <c r="AU387" i="7"/>
  <c r="AT387" i="7"/>
  <c r="AN379" i="7"/>
  <c r="AO379" i="7"/>
  <c r="AP379" i="7"/>
  <c r="AQ379" i="7"/>
  <c r="AS379" i="7"/>
  <c r="AR379" i="7"/>
  <c r="AM379" i="7"/>
  <c r="AU379" i="7"/>
  <c r="AT379" i="7"/>
  <c r="AN371" i="7"/>
  <c r="AO371" i="7"/>
  <c r="AP371" i="7"/>
  <c r="AQ371" i="7"/>
  <c r="AS371" i="7"/>
  <c r="AR371" i="7"/>
  <c r="AM371" i="7"/>
  <c r="AU371" i="7"/>
  <c r="AT371" i="7"/>
  <c r="AN363" i="7"/>
  <c r="AO363" i="7"/>
  <c r="AP363" i="7"/>
  <c r="AQ363" i="7"/>
  <c r="AS363" i="7"/>
  <c r="AR363" i="7"/>
  <c r="AM363" i="7"/>
  <c r="AU363" i="7"/>
  <c r="AT363" i="7"/>
  <c r="AN355" i="7"/>
  <c r="AO355" i="7"/>
  <c r="AP355" i="7"/>
  <c r="AQ355" i="7"/>
  <c r="AS355" i="7"/>
  <c r="AR355" i="7"/>
  <c r="AM355" i="7"/>
  <c r="AU355" i="7"/>
  <c r="AT355" i="7"/>
  <c r="AN347" i="7"/>
  <c r="AO347" i="7"/>
  <c r="AP347" i="7"/>
  <c r="AQ347" i="7"/>
  <c r="AS347" i="7"/>
  <c r="AR347" i="7"/>
  <c r="AM347" i="7"/>
  <c r="AU347" i="7"/>
  <c r="AT347" i="7"/>
  <c r="AN339" i="7"/>
  <c r="AO339" i="7"/>
  <c r="AP339" i="7"/>
  <c r="AR339" i="7"/>
  <c r="AQ339" i="7"/>
  <c r="AS339" i="7"/>
  <c r="AM339" i="7"/>
  <c r="AU339" i="7"/>
  <c r="AT339" i="7"/>
  <c r="AN331" i="7"/>
  <c r="AO331" i="7"/>
  <c r="AP331" i="7"/>
  <c r="AR331" i="7"/>
  <c r="AQ331" i="7"/>
  <c r="AS331" i="7"/>
  <c r="AM331" i="7"/>
  <c r="AU331" i="7"/>
  <c r="AT331" i="7"/>
  <c r="AN323" i="7"/>
  <c r="AO323" i="7"/>
  <c r="AP323" i="7"/>
  <c r="AR323" i="7"/>
  <c r="AQ323" i="7"/>
  <c r="AS323" i="7"/>
  <c r="AM323" i="7"/>
  <c r="AU323" i="7"/>
  <c r="AT323" i="7"/>
  <c r="AN315" i="7"/>
  <c r="AO315" i="7"/>
  <c r="AP315" i="7"/>
  <c r="AR315" i="7"/>
  <c r="AQ315" i="7"/>
  <c r="AS315" i="7"/>
  <c r="AM315" i="7"/>
  <c r="AU315" i="7"/>
  <c r="AT315" i="7"/>
  <c r="AN307" i="7"/>
  <c r="AO307" i="7"/>
  <c r="AP307" i="7"/>
  <c r="AR307" i="7"/>
  <c r="AQ307" i="7"/>
  <c r="AS307" i="7"/>
  <c r="AM307" i="7"/>
  <c r="AU307" i="7"/>
  <c r="AT307" i="7"/>
  <c r="AN299" i="7"/>
  <c r="AO299" i="7"/>
  <c r="AP299" i="7"/>
  <c r="AR299" i="7"/>
  <c r="AQ299" i="7"/>
  <c r="AS299" i="7"/>
  <c r="AM299" i="7"/>
  <c r="AU299" i="7"/>
  <c r="AT299" i="7"/>
  <c r="AN291" i="7"/>
  <c r="AO291" i="7"/>
  <c r="AP291" i="7"/>
  <c r="AR291" i="7"/>
  <c r="AQ291" i="7"/>
  <c r="AS291" i="7"/>
  <c r="AM291" i="7"/>
  <c r="AU291" i="7"/>
  <c r="AT291" i="7"/>
  <c r="AN283" i="7"/>
  <c r="AO283" i="7"/>
  <c r="AP283" i="7"/>
  <c r="AR283" i="7"/>
  <c r="AQ283" i="7"/>
  <c r="AS283" i="7"/>
  <c r="AM283" i="7"/>
  <c r="AU283" i="7"/>
  <c r="AT283" i="7"/>
  <c r="AN275" i="7"/>
  <c r="AO275" i="7"/>
  <c r="AP275" i="7"/>
  <c r="AR275" i="7"/>
  <c r="AQ275" i="7"/>
  <c r="AS275" i="7"/>
  <c r="AM275" i="7"/>
  <c r="AU275" i="7"/>
  <c r="AT275" i="7"/>
  <c r="AN267" i="7"/>
  <c r="AO267" i="7"/>
  <c r="AP267" i="7"/>
  <c r="AR267" i="7"/>
  <c r="AQ267" i="7"/>
  <c r="AS267" i="7"/>
  <c r="AM267" i="7"/>
  <c r="AU267" i="7"/>
  <c r="AT267" i="7"/>
  <c r="AN259" i="7"/>
  <c r="AO259" i="7"/>
  <c r="AP259" i="7"/>
  <c r="AR259" i="7"/>
  <c r="AQ259" i="7"/>
  <c r="AS259" i="7"/>
  <c r="AM259" i="7"/>
  <c r="AU259" i="7"/>
  <c r="AT259" i="7"/>
  <c r="AN251" i="7"/>
  <c r="AO251" i="7"/>
  <c r="AP251" i="7"/>
  <c r="AR251" i="7"/>
  <c r="AQ251" i="7"/>
  <c r="AS251" i="7"/>
  <c r="AM251" i="7"/>
  <c r="AU251" i="7"/>
  <c r="AT251" i="7"/>
  <c r="AN243" i="7"/>
  <c r="AO243" i="7"/>
  <c r="AP243" i="7"/>
  <c r="AR243" i="7"/>
  <c r="AQ243" i="7"/>
  <c r="AS243" i="7"/>
  <c r="AM243" i="7"/>
  <c r="AU243" i="7"/>
  <c r="AT243" i="7"/>
  <c r="AN235" i="7"/>
  <c r="AO235" i="7"/>
  <c r="AP235" i="7"/>
  <c r="AR235" i="7"/>
  <c r="AQ235" i="7"/>
  <c r="AS235" i="7"/>
  <c r="AM235" i="7"/>
  <c r="AU235" i="7"/>
  <c r="AT235" i="7"/>
  <c r="AN227" i="7"/>
  <c r="AO227" i="7"/>
  <c r="AP227" i="7"/>
  <c r="AR227" i="7"/>
  <c r="AQ227" i="7"/>
  <c r="AS227" i="7"/>
  <c r="AM227" i="7"/>
  <c r="AU227" i="7"/>
  <c r="AT227" i="7"/>
  <c r="AN219" i="7"/>
  <c r="AO219" i="7"/>
  <c r="AP219" i="7"/>
  <c r="AR219" i="7"/>
  <c r="AQ219" i="7"/>
  <c r="AS219" i="7"/>
  <c r="AM219" i="7"/>
  <c r="AU219" i="7"/>
  <c r="AT219" i="7"/>
  <c r="AN211" i="7"/>
  <c r="AO211" i="7"/>
  <c r="AP211" i="7"/>
  <c r="AR211" i="7"/>
  <c r="AQ211" i="7"/>
  <c r="AS211" i="7"/>
  <c r="AM211" i="7"/>
  <c r="AU211" i="7"/>
  <c r="AT211" i="7"/>
  <c r="AN203" i="7"/>
  <c r="AO203" i="7"/>
  <c r="AP203" i="7"/>
  <c r="AR203" i="7"/>
  <c r="AQ203" i="7"/>
  <c r="AS203" i="7"/>
  <c r="AM203" i="7"/>
  <c r="AU203" i="7"/>
  <c r="AT203" i="7"/>
  <c r="AN195" i="7"/>
  <c r="AO195" i="7"/>
  <c r="AP195" i="7"/>
  <c r="AR195" i="7"/>
  <c r="AQ195" i="7"/>
  <c r="AS195" i="7"/>
  <c r="AM195" i="7"/>
  <c r="AU195" i="7"/>
  <c r="AT195" i="7"/>
  <c r="AN187" i="7"/>
  <c r="AO187" i="7"/>
  <c r="AP187" i="7"/>
  <c r="AR187" i="7"/>
  <c r="AQ187" i="7"/>
  <c r="AS187" i="7"/>
  <c r="AM187" i="7"/>
  <c r="AU187" i="7"/>
  <c r="AT187" i="7"/>
  <c r="AN179" i="7"/>
  <c r="AO179" i="7"/>
  <c r="AP179" i="7"/>
  <c r="AR179" i="7"/>
  <c r="AQ179" i="7"/>
  <c r="AS179" i="7"/>
  <c r="AM179" i="7"/>
  <c r="AU179" i="7"/>
  <c r="AT179" i="7"/>
  <c r="AN171" i="7"/>
  <c r="AO171" i="7"/>
  <c r="AP171" i="7"/>
  <c r="AQ171" i="7"/>
  <c r="AR171" i="7"/>
  <c r="AS171" i="7"/>
  <c r="AM171" i="7"/>
  <c r="AU171" i="7"/>
  <c r="AT171" i="7"/>
  <c r="AN163" i="7"/>
  <c r="AO163" i="7"/>
  <c r="AP163" i="7"/>
  <c r="AQ163" i="7"/>
  <c r="AR163" i="7"/>
  <c r="AS163" i="7"/>
  <c r="AM163" i="7"/>
  <c r="AU163" i="7"/>
  <c r="AT163" i="7"/>
  <c r="AN155" i="7"/>
  <c r="AO155" i="7"/>
  <c r="AP155" i="7"/>
  <c r="AQ155" i="7"/>
  <c r="AR155" i="7"/>
  <c r="AS155" i="7"/>
  <c r="AM155" i="7"/>
  <c r="AU155" i="7"/>
  <c r="AT155" i="7"/>
  <c r="AN147" i="7"/>
  <c r="AO147" i="7"/>
  <c r="AP147" i="7"/>
  <c r="AQ147" i="7"/>
  <c r="AR147" i="7"/>
  <c r="AS147" i="7"/>
  <c r="AM147" i="7"/>
  <c r="AU147" i="7"/>
  <c r="AT147" i="7"/>
  <c r="AN139" i="7"/>
  <c r="AO139" i="7"/>
  <c r="AP139" i="7"/>
  <c r="AQ139" i="7"/>
  <c r="AR139" i="7"/>
  <c r="AS139" i="7"/>
  <c r="AM139" i="7"/>
  <c r="AU139" i="7"/>
  <c r="AT139" i="7"/>
  <c r="AN131" i="7"/>
  <c r="AO131" i="7"/>
  <c r="AP131" i="7"/>
  <c r="AQ131" i="7"/>
  <c r="AR131" i="7"/>
  <c r="AS131" i="7"/>
  <c r="AM131" i="7"/>
  <c r="AU131" i="7"/>
  <c r="AT131" i="7"/>
  <c r="AN123" i="7"/>
  <c r="AO123" i="7"/>
  <c r="AP123" i="7"/>
  <c r="AQ123" i="7"/>
  <c r="AR123" i="7"/>
  <c r="AS123" i="7"/>
  <c r="AM123" i="7"/>
  <c r="AU123" i="7"/>
  <c r="AT123" i="7"/>
  <c r="AN115" i="7"/>
  <c r="AO115" i="7"/>
  <c r="AP115" i="7"/>
  <c r="AQ115" i="7"/>
  <c r="AR115" i="7"/>
  <c r="AS115" i="7"/>
  <c r="AM115" i="7"/>
  <c r="AU115" i="7"/>
  <c r="AT115" i="7"/>
  <c r="AN107" i="7"/>
  <c r="AO107" i="7"/>
  <c r="AP107" i="7"/>
  <c r="AQ107" i="7"/>
  <c r="AR107" i="7"/>
  <c r="AS107" i="7"/>
  <c r="AM107" i="7"/>
  <c r="AU107" i="7"/>
  <c r="AT107" i="7"/>
  <c r="AN99" i="7"/>
  <c r="AO99" i="7"/>
  <c r="AP99" i="7"/>
  <c r="AQ99" i="7"/>
  <c r="AR99" i="7"/>
  <c r="AS99" i="7"/>
  <c r="AM99" i="7"/>
  <c r="AU99" i="7"/>
  <c r="AT99" i="7"/>
  <c r="AN87" i="7"/>
  <c r="AO87" i="7"/>
  <c r="AP87" i="7"/>
  <c r="AQ87" i="7"/>
  <c r="AR87" i="7"/>
  <c r="AS87" i="7"/>
  <c r="AM87" i="7"/>
  <c r="AU87" i="7"/>
  <c r="AT87" i="7"/>
  <c r="AN79" i="7"/>
  <c r="AO79" i="7"/>
  <c r="AP79" i="7"/>
  <c r="AQ79" i="7"/>
  <c r="AR79" i="7"/>
  <c r="AS79" i="7"/>
  <c r="AM79" i="7"/>
  <c r="AU79" i="7"/>
  <c r="AT79" i="7"/>
  <c r="AN71" i="7"/>
  <c r="AO71" i="7"/>
  <c r="AP71" i="7"/>
  <c r="AQ71" i="7"/>
  <c r="AR71" i="7"/>
  <c r="AS71" i="7"/>
  <c r="AM71" i="7"/>
  <c r="AU71" i="7"/>
  <c r="AT71" i="7"/>
  <c r="AN63" i="7"/>
  <c r="AO63" i="7"/>
  <c r="AP63" i="7"/>
  <c r="AQ63" i="7"/>
  <c r="AR63" i="7"/>
  <c r="AS63" i="7"/>
  <c r="AM63" i="7"/>
  <c r="AU63" i="7"/>
  <c r="AT63" i="7"/>
  <c r="AN55" i="7"/>
  <c r="AO55" i="7"/>
  <c r="AP55" i="7"/>
  <c r="AQ55" i="7"/>
  <c r="AR55" i="7"/>
  <c r="AS55" i="7"/>
  <c r="AM55" i="7"/>
  <c r="AU55" i="7"/>
  <c r="AT55" i="7"/>
  <c r="AN47" i="7"/>
  <c r="AO47" i="7"/>
  <c r="AP47" i="7"/>
  <c r="AQ47" i="7"/>
  <c r="AR47" i="7"/>
  <c r="AS47" i="7"/>
  <c r="AM47" i="7"/>
  <c r="AU47" i="7"/>
  <c r="AT47" i="7"/>
  <c r="AN39" i="7"/>
  <c r="AO39" i="7"/>
  <c r="AP39" i="7"/>
  <c r="AQ39" i="7"/>
  <c r="AR39" i="7"/>
  <c r="AS39" i="7"/>
  <c r="AM39" i="7"/>
  <c r="AT39" i="7"/>
  <c r="AU39" i="7"/>
  <c r="AN35" i="7"/>
  <c r="AO35" i="7"/>
  <c r="AP35" i="7"/>
  <c r="AQ35" i="7"/>
  <c r="AR35" i="7"/>
  <c r="AS35" i="7"/>
  <c r="AT35" i="7"/>
  <c r="AM35" i="7"/>
  <c r="AU35" i="7"/>
  <c r="AN27" i="7"/>
  <c r="AO27" i="7"/>
  <c r="AP27" i="7"/>
  <c r="AQ27" i="7"/>
  <c r="AR27" i="7"/>
  <c r="AS27" i="7"/>
  <c r="AT27" i="7"/>
  <c r="AM27" i="7"/>
  <c r="AU27" i="7"/>
  <c r="AN23" i="7"/>
  <c r="AO23" i="7"/>
  <c r="AP23" i="7"/>
  <c r="AQ23" i="7"/>
  <c r="AR23" i="7"/>
  <c r="AS23" i="7"/>
  <c r="AT23" i="7"/>
  <c r="AM23" i="7"/>
  <c r="AU23" i="7"/>
  <c r="AN15" i="7"/>
  <c r="AO15" i="7"/>
  <c r="AP15" i="7"/>
  <c r="AQ15" i="7"/>
  <c r="AR15" i="7"/>
  <c r="AS15" i="7"/>
  <c r="AT15" i="7"/>
  <c r="AM15" i="7"/>
  <c r="AU15" i="7"/>
  <c r="AN490" i="7"/>
  <c r="AO490" i="7"/>
  <c r="AP490" i="7"/>
  <c r="AQ490" i="7"/>
  <c r="AR490" i="7"/>
  <c r="AS490" i="7"/>
  <c r="AU490" i="7"/>
  <c r="AT490" i="7"/>
  <c r="AN478" i="7"/>
  <c r="AO478" i="7"/>
  <c r="AP478" i="7"/>
  <c r="AQ478" i="7"/>
  <c r="AR478" i="7"/>
  <c r="AS478" i="7"/>
  <c r="AU478" i="7"/>
  <c r="AT478" i="7"/>
  <c r="AN466" i="7"/>
  <c r="AO466" i="7"/>
  <c r="AP466" i="7"/>
  <c r="AQ466" i="7"/>
  <c r="AR466" i="7"/>
  <c r="AS466" i="7"/>
  <c r="AU466" i="7"/>
  <c r="AT466" i="7"/>
  <c r="AN454" i="7"/>
  <c r="AO454" i="7"/>
  <c r="AP454" i="7"/>
  <c r="AQ454" i="7"/>
  <c r="AR454" i="7"/>
  <c r="AS454" i="7"/>
  <c r="AU454" i="7"/>
  <c r="AT454" i="7"/>
  <c r="AN442" i="7"/>
  <c r="AO442" i="7"/>
  <c r="AP442" i="7"/>
  <c r="AQ442" i="7"/>
  <c r="AR442" i="7"/>
  <c r="AS442" i="7"/>
  <c r="AU442" i="7"/>
  <c r="AT442" i="7"/>
  <c r="AN430" i="7"/>
  <c r="AO430" i="7"/>
  <c r="AP430" i="7"/>
  <c r="AQ430" i="7"/>
  <c r="AR430" i="7"/>
  <c r="AS430" i="7"/>
  <c r="AU430" i="7"/>
  <c r="AT430" i="7"/>
  <c r="AN418" i="7"/>
  <c r="AO418" i="7"/>
  <c r="AP418" i="7"/>
  <c r="AQ418" i="7"/>
  <c r="AR418" i="7"/>
  <c r="AS418" i="7"/>
  <c r="AU418" i="7"/>
  <c r="AT418" i="7"/>
  <c r="AN406" i="7"/>
  <c r="AO406" i="7"/>
  <c r="AP406" i="7"/>
  <c r="AQ406" i="7"/>
  <c r="AR406" i="7"/>
  <c r="AS406" i="7"/>
  <c r="AU406" i="7"/>
  <c r="AT406" i="7"/>
  <c r="AM406" i="7"/>
  <c r="AN394" i="7"/>
  <c r="AO394" i="7"/>
  <c r="AP394" i="7"/>
  <c r="AQ394" i="7"/>
  <c r="AR394" i="7"/>
  <c r="AS394" i="7"/>
  <c r="AU394" i="7"/>
  <c r="AT394" i="7"/>
  <c r="AM394" i="7"/>
  <c r="AN382" i="7"/>
  <c r="AO382" i="7"/>
  <c r="AP382" i="7"/>
  <c r="AQ382" i="7"/>
  <c r="AR382" i="7"/>
  <c r="AS382" i="7"/>
  <c r="AU382" i="7"/>
  <c r="AT382" i="7"/>
  <c r="AM382" i="7"/>
  <c r="AN370" i="7"/>
  <c r="AO370" i="7"/>
  <c r="AP370" i="7"/>
  <c r="AQ370" i="7"/>
  <c r="AR370" i="7"/>
  <c r="AS370" i="7"/>
  <c r="AU370" i="7"/>
  <c r="AT370" i="7"/>
  <c r="AM370" i="7"/>
  <c r="AN358" i="7"/>
  <c r="AO358" i="7"/>
  <c r="AP358" i="7"/>
  <c r="AQ358" i="7"/>
  <c r="AR358" i="7"/>
  <c r="AS358" i="7"/>
  <c r="AU358" i="7"/>
  <c r="AT358" i="7"/>
  <c r="AM358" i="7"/>
  <c r="AN346" i="7"/>
  <c r="AO346" i="7"/>
  <c r="AP346" i="7"/>
  <c r="AQ346" i="7"/>
  <c r="AR346" i="7"/>
  <c r="AS346" i="7"/>
  <c r="AU346" i="7"/>
  <c r="AT346" i="7"/>
  <c r="AM346" i="7"/>
  <c r="AN334" i="7"/>
  <c r="AO334" i="7"/>
  <c r="AP334" i="7"/>
  <c r="AQ334" i="7"/>
  <c r="AR334" i="7"/>
  <c r="AS334" i="7"/>
  <c r="AU334" i="7"/>
  <c r="AT334" i="7"/>
  <c r="AM334" i="7"/>
  <c r="AN322" i="7"/>
  <c r="AO322" i="7"/>
  <c r="AP322" i="7"/>
  <c r="AQ322" i="7"/>
  <c r="AR322" i="7"/>
  <c r="AS322" i="7"/>
  <c r="AU322" i="7"/>
  <c r="AT322" i="7"/>
  <c r="AM322" i="7"/>
  <c r="AN310" i="7"/>
  <c r="AO310" i="7"/>
  <c r="AP310" i="7"/>
  <c r="AQ310" i="7"/>
  <c r="AR310" i="7"/>
  <c r="AS310" i="7"/>
  <c r="AU310" i="7"/>
  <c r="AT310" i="7"/>
  <c r="AM310" i="7"/>
  <c r="AN298" i="7"/>
  <c r="AO298" i="7"/>
  <c r="AP298" i="7"/>
  <c r="AQ298" i="7"/>
  <c r="AR298" i="7"/>
  <c r="AS298" i="7"/>
  <c r="AU298" i="7"/>
  <c r="AT298" i="7"/>
  <c r="AM298" i="7"/>
  <c r="AN286" i="7"/>
  <c r="AO286" i="7"/>
  <c r="AP286" i="7"/>
  <c r="AQ286" i="7"/>
  <c r="AR286" i="7"/>
  <c r="AS286" i="7"/>
  <c r="AU286" i="7"/>
  <c r="AT286" i="7"/>
  <c r="AM286" i="7"/>
  <c r="AN274" i="7"/>
  <c r="AO274" i="7"/>
  <c r="AP274" i="7"/>
  <c r="AQ274" i="7"/>
  <c r="AR274" i="7"/>
  <c r="AS274" i="7"/>
  <c r="AU274" i="7"/>
  <c r="AT274" i="7"/>
  <c r="AM274" i="7"/>
  <c r="AN262" i="7"/>
  <c r="AO262" i="7"/>
  <c r="AP262" i="7"/>
  <c r="AQ262" i="7"/>
  <c r="AR262" i="7"/>
  <c r="AS262" i="7"/>
  <c r="AU262" i="7"/>
  <c r="AT262" i="7"/>
  <c r="AM262" i="7"/>
  <c r="AN250" i="7"/>
  <c r="AO250" i="7"/>
  <c r="AP250" i="7"/>
  <c r="AQ250" i="7"/>
  <c r="AR250" i="7"/>
  <c r="AS250" i="7"/>
  <c r="AU250" i="7"/>
  <c r="AT250" i="7"/>
  <c r="AM250" i="7"/>
  <c r="AN238" i="7"/>
  <c r="AO238" i="7"/>
  <c r="AP238" i="7"/>
  <c r="AQ238" i="7"/>
  <c r="AR238" i="7"/>
  <c r="AS238" i="7"/>
  <c r="AU238" i="7"/>
  <c r="AT238" i="7"/>
  <c r="AM238" i="7"/>
  <c r="AN226" i="7"/>
  <c r="AO226" i="7"/>
  <c r="AP226" i="7"/>
  <c r="AQ226" i="7"/>
  <c r="AR226" i="7"/>
  <c r="AS226" i="7"/>
  <c r="AU226" i="7"/>
  <c r="AT226" i="7"/>
  <c r="AM226" i="7"/>
  <c r="AN214" i="7"/>
  <c r="AO214" i="7"/>
  <c r="AP214" i="7"/>
  <c r="AQ214" i="7"/>
  <c r="AR214" i="7"/>
  <c r="AS214" i="7"/>
  <c r="AU214" i="7"/>
  <c r="AT214" i="7"/>
  <c r="AM214" i="7"/>
  <c r="AN202" i="7"/>
  <c r="AO202" i="7"/>
  <c r="AP202" i="7"/>
  <c r="AQ202" i="7"/>
  <c r="AR202" i="7"/>
  <c r="AS202" i="7"/>
  <c r="AU202" i="7"/>
  <c r="AT202" i="7"/>
  <c r="AM202" i="7"/>
  <c r="AN190" i="7"/>
  <c r="AO190" i="7"/>
  <c r="AP190" i="7"/>
  <c r="AQ190" i="7"/>
  <c r="AR190" i="7"/>
  <c r="AS190" i="7"/>
  <c r="AU190" i="7"/>
  <c r="AT190" i="7"/>
  <c r="AM190" i="7"/>
  <c r="AN178" i="7"/>
  <c r="AO178" i="7"/>
  <c r="AP178" i="7"/>
  <c r="AQ178" i="7"/>
  <c r="AR178" i="7"/>
  <c r="AS178" i="7"/>
  <c r="AU178" i="7"/>
  <c r="AT178" i="7"/>
  <c r="AM178" i="7"/>
  <c r="AN166" i="7"/>
  <c r="AO166" i="7"/>
  <c r="AQ166" i="7"/>
  <c r="AP166" i="7"/>
  <c r="AR166" i="7"/>
  <c r="AS166" i="7"/>
  <c r="AU166" i="7"/>
  <c r="AT166" i="7"/>
  <c r="AM166" i="7"/>
  <c r="AN154" i="7"/>
  <c r="AO154" i="7"/>
  <c r="AQ154" i="7"/>
  <c r="AP154" i="7"/>
  <c r="AR154" i="7"/>
  <c r="AS154" i="7"/>
  <c r="AU154" i="7"/>
  <c r="AT154" i="7"/>
  <c r="AM154" i="7"/>
  <c r="AN142" i="7"/>
  <c r="AO142" i="7"/>
  <c r="AQ142" i="7"/>
  <c r="AP142" i="7"/>
  <c r="AR142" i="7"/>
  <c r="AS142" i="7"/>
  <c r="AU142" i="7"/>
  <c r="AT142" i="7"/>
  <c r="AM142" i="7"/>
  <c r="AN130" i="7"/>
  <c r="AO130" i="7"/>
  <c r="AQ130" i="7"/>
  <c r="AP130" i="7"/>
  <c r="AR130" i="7"/>
  <c r="AS130" i="7"/>
  <c r="AU130" i="7"/>
  <c r="AT130" i="7"/>
  <c r="AM130" i="7"/>
  <c r="AN118" i="7"/>
  <c r="AO118" i="7"/>
  <c r="AQ118" i="7"/>
  <c r="AP118" i="7"/>
  <c r="AR118" i="7"/>
  <c r="AS118" i="7"/>
  <c r="AU118" i="7"/>
  <c r="AT118" i="7"/>
  <c r="AM118" i="7"/>
  <c r="AN106" i="7"/>
  <c r="AO106" i="7"/>
  <c r="AQ106" i="7"/>
  <c r="AP106" i="7"/>
  <c r="AR106" i="7"/>
  <c r="AS106" i="7"/>
  <c r="AU106" i="7"/>
  <c r="AT106" i="7"/>
  <c r="AM106" i="7"/>
  <c r="AN94" i="7"/>
  <c r="AO94" i="7"/>
  <c r="AQ94" i="7"/>
  <c r="AP94" i="7"/>
  <c r="AR94" i="7"/>
  <c r="AS94" i="7"/>
  <c r="AU94" i="7"/>
  <c r="AT94" i="7"/>
  <c r="AM94" i="7"/>
  <c r="AN82" i="7"/>
  <c r="AO82" i="7"/>
  <c r="AQ82" i="7"/>
  <c r="AP82" i="7"/>
  <c r="AR82" i="7"/>
  <c r="AS82" i="7"/>
  <c r="AU82" i="7"/>
  <c r="AT82" i="7"/>
  <c r="AM82" i="7"/>
  <c r="AN70" i="7"/>
  <c r="AO70" i="7"/>
  <c r="AQ70" i="7"/>
  <c r="AP70" i="7"/>
  <c r="AR70" i="7"/>
  <c r="AS70" i="7"/>
  <c r="AU70" i="7"/>
  <c r="AT70" i="7"/>
  <c r="AM70" i="7"/>
  <c r="AN58" i="7"/>
  <c r="AO58" i="7"/>
  <c r="AQ58" i="7"/>
  <c r="AP58" i="7"/>
  <c r="AR58" i="7"/>
  <c r="AS58" i="7"/>
  <c r="AU58" i="7"/>
  <c r="AT58" i="7"/>
  <c r="AM58" i="7"/>
  <c r="AN46" i="7"/>
  <c r="AO46" i="7"/>
  <c r="AQ46" i="7"/>
  <c r="AP46" i="7"/>
  <c r="AR46" i="7"/>
  <c r="AS46" i="7"/>
  <c r="AU46" i="7"/>
  <c r="AT46" i="7"/>
  <c r="AM46" i="7"/>
  <c r="AN34" i="7"/>
  <c r="AO34" i="7"/>
  <c r="AQ34" i="7"/>
  <c r="AP34" i="7"/>
  <c r="AR34" i="7"/>
  <c r="AT34" i="7"/>
  <c r="AS34" i="7"/>
  <c r="AU34" i="7"/>
  <c r="AM34" i="7"/>
  <c r="AN22" i="7"/>
  <c r="AO22" i="7"/>
  <c r="AQ22" i="7"/>
  <c r="AP22" i="7"/>
  <c r="AR22" i="7"/>
  <c r="AT22" i="7"/>
  <c r="AS22" i="7"/>
  <c r="AU22" i="7"/>
  <c r="AM22" i="7"/>
  <c r="AN10" i="7"/>
  <c r="AO10" i="7"/>
  <c r="AQ10" i="7"/>
  <c r="AP10" i="7"/>
  <c r="AR10" i="7"/>
  <c r="AT10" i="7"/>
  <c r="AS10" i="7"/>
  <c r="AU10" i="7"/>
  <c r="AM10" i="7"/>
  <c r="AN497" i="7"/>
  <c r="AP497" i="7"/>
  <c r="AO497" i="7"/>
  <c r="AQ497" i="7"/>
  <c r="AS497" i="7"/>
  <c r="AR497" i="7"/>
  <c r="AU497" i="7"/>
  <c r="AT497" i="7"/>
  <c r="AN493" i="7"/>
  <c r="AO493" i="7"/>
  <c r="AP493" i="7"/>
  <c r="AQ493" i="7"/>
  <c r="AS493" i="7"/>
  <c r="AR493" i="7"/>
  <c r="AU493" i="7"/>
  <c r="AT493" i="7"/>
  <c r="AN489" i="7"/>
  <c r="AO489" i="7"/>
  <c r="AP489" i="7"/>
  <c r="AQ489" i="7"/>
  <c r="AS489" i="7"/>
  <c r="AR489" i="7"/>
  <c r="AU489" i="7"/>
  <c r="AT489" i="7"/>
  <c r="AN485" i="7"/>
  <c r="AO485" i="7"/>
  <c r="AP485" i="7"/>
  <c r="AQ485" i="7"/>
  <c r="AS485" i="7"/>
  <c r="AR485" i="7"/>
  <c r="AU485" i="7"/>
  <c r="AT485" i="7"/>
  <c r="AN481" i="7"/>
  <c r="AO481" i="7"/>
  <c r="AP481" i="7"/>
  <c r="AQ481" i="7"/>
  <c r="AS481" i="7"/>
  <c r="AR481" i="7"/>
  <c r="AU481" i="7"/>
  <c r="AT481" i="7"/>
  <c r="AN477" i="7"/>
  <c r="AO477" i="7"/>
  <c r="AP477" i="7"/>
  <c r="AQ477" i="7"/>
  <c r="AS477" i="7"/>
  <c r="AR477" i="7"/>
  <c r="AU477" i="7"/>
  <c r="AT477" i="7"/>
  <c r="AN473" i="7"/>
  <c r="AO473" i="7"/>
  <c r="AP473" i="7"/>
  <c r="AQ473" i="7"/>
  <c r="AS473" i="7"/>
  <c r="AR473" i="7"/>
  <c r="AU473" i="7"/>
  <c r="AT473" i="7"/>
  <c r="AN469" i="7"/>
  <c r="AO469" i="7"/>
  <c r="AP469" i="7"/>
  <c r="AQ469" i="7"/>
  <c r="AS469" i="7"/>
  <c r="AR469" i="7"/>
  <c r="AU469" i="7"/>
  <c r="AT469" i="7"/>
  <c r="AN465" i="7"/>
  <c r="AO465" i="7"/>
  <c r="AP465" i="7"/>
  <c r="AQ465" i="7"/>
  <c r="AS465" i="7"/>
  <c r="AR465" i="7"/>
  <c r="AU465" i="7"/>
  <c r="AT465" i="7"/>
  <c r="AN461" i="7"/>
  <c r="AO461" i="7"/>
  <c r="AP461" i="7"/>
  <c r="AQ461" i="7"/>
  <c r="AS461" i="7"/>
  <c r="AR461" i="7"/>
  <c r="AU461" i="7"/>
  <c r="AT461" i="7"/>
  <c r="AN457" i="7"/>
  <c r="AO457" i="7"/>
  <c r="AP457" i="7"/>
  <c r="AQ457" i="7"/>
  <c r="AS457" i="7"/>
  <c r="AR457" i="7"/>
  <c r="AU457" i="7"/>
  <c r="AT457" i="7"/>
  <c r="AN453" i="7"/>
  <c r="AO453" i="7"/>
  <c r="AP453" i="7"/>
  <c r="AQ453" i="7"/>
  <c r="AS453" i="7"/>
  <c r="AR453" i="7"/>
  <c r="AU453" i="7"/>
  <c r="AT453" i="7"/>
  <c r="AN449" i="7"/>
  <c r="AO449" i="7"/>
  <c r="AP449" i="7"/>
  <c r="AQ449" i="7"/>
  <c r="AS449" i="7"/>
  <c r="AR449" i="7"/>
  <c r="AU449" i="7"/>
  <c r="AT449" i="7"/>
  <c r="AN445" i="7"/>
  <c r="AO445" i="7"/>
  <c r="AP445" i="7"/>
  <c r="AQ445" i="7"/>
  <c r="AS445" i="7"/>
  <c r="AR445" i="7"/>
  <c r="AU445" i="7"/>
  <c r="AT445" i="7"/>
  <c r="AN441" i="7"/>
  <c r="AO441" i="7"/>
  <c r="AP441" i="7"/>
  <c r="AQ441" i="7"/>
  <c r="AS441" i="7"/>
  <c r="AR441" i="7"/>
  <c r="AU441" i="7"/>
  <c r="AT441" i="7"/>
  <c r="AN437" i="7"/>
  <c r="AO437" i="7"/>
  <c r="AP437" i="7"/>
  <c r="AQ437" i="7"/>
  <c r="AS437" i="7"/>
  <c r="AR437" i="7"/>
  <c r="AU437" i="7"/>
  <c r="AT437" i="7"/>
  <c r="AN433" i="7"/>
  <c r="AO433" i="7"/>
  <c r="AP433" i="7"/>
  <c r="AQ433" i="7"/>
  <c r="AS433" i="7"/>
  <c r="AR433" i="7"/>
  <c r="AU433" i="7"/>
  <c r="AT433" i="7"/>
  <c r="AN429" i="7"/>
  <c r="AO429" i="7"/>
  <c r="AP429" i="7"/>
  <c r="AQ429" i="7"/>
  <c r="AS429" i="7"/>
  <c r="AR429" i="7"/>
  <c r="AU429" i="7"/>
  <c r="AT429" i="7"/>
  <c r="AN425" i="7"/>
  <c r="AO425" i="7"/>
  <c r="AP425" i="7"/>
  <c r="AQ425" i="7"/>
  <c r="AS425" i="7"/>
  <c r="AR425" i="7"/>
  <c r="AU425" i="7"/>
  <c r="AT425" i="7"/>
  <c r="AN421" i="7"/>
  <c r="AO421" i="7"/>
  <c r="AP421" i="7"/>
  <c r="AQ421" i="7"/>
  <c r="AS421" i="7"/>
  <c r="AR421" i="7"/>
  <c r="AU421" i="7"/>
  <c r="AT421" i="7"/>
  <c r="AN417" i="7"/>
  <c r="AO417" i="7"/>
  <c r="AP417" i="7"/>
  <c r="AQ417" i="7"/>
  <c r="AS417" i="7"/>
  <c r="AR417" i="7"/>
  <c r="AU417" i="7"/>
  <c r="AT417" i="7"/>
  <c r="AN413" i="7"/>
  <c r="AO413" i="7"/>
  <c r="AP413" i="7"/>
  <c r="AQ413" i="7"/>
  <c r="AS413" i="7"/>
  <c r="AR413" i="7"/>
  <c r="AU413" i="7"/>
  <c r="AT413" i="7"/>
  <c r="AM413" i="7"/>
  <c r="AN409" i="7"/>
  <c r="AO409" i="7"/>
  <c r="AP409" i="7"/>
  <c r="AQ409" i="7"/>
  <c r="AS409" i="7"/>
  <c r="AR409" i="7"/>
  <c r="AU409" i="7"/>
  <c r="AT409" i="7"/>
  <c r="AM409" i="7"/>
  <c r="AN405" i="7"/>
  <c r="AO405" i="7"/>
  <c r="AP405" i="7"/>
  <c r="AQ405" i="7"/>
  <c r="AS405" i="7"/>
  <c r="AR405" i="7"/>
  <c r="AU405" i="7"/>
  <c r="AT405" i="7"/>
  <c r="AM405" i="7"/>
  <c r="AN401" i="7"/>
  <c r="AO401" i="7"/>
  <c r="AP401" i="7"/>
  <c r="AQ401" i="7"/>
  <c r="AS401" i="7"/>
  <c r="AR401" i="7"/>
  <c r="AU401" i="7"/>
  <c r="AT401" i="7"/>
  <c r="AM401" i="7"/>
  <c r="AN397" i="7"/>
  <c r="AO397" i="7"/>
  <c r="AP397" i="7"/>
  <c r="AQ397" i="7"/>
  <c r="AS397" i="7"/>
  <c r="AR397" i="7"/>
  <c r="AU397" i="7"/>
  <c r="AT397" i="7"/>
  <c r="AM397" i="7"/>
  <c r="AN393" i="7"/>
  <c r="AO393" i="7"/>
  <c r="AP393" i="7"/>
  <c r="AQ393" i="7"/>
  <c r="AS393" i="7"/>
  <c r="AR393" i="7"/>
  <c r="AU393" i="7"/>
  <c r="AT393" i="7"/>
  <c r="AM393" i="7"/>
  <c r="AN389" i="7"/>
  <c r="AO389" i="7"/>
  <c r="AP389" i="7"/>
  <c r="AQ389" i="7"/>
  <c r="AS389" i="7"/>
  <c r="AR389" i="7"/>
  <c r="AU389" i="7"/>
  <c r="AT389" i="7"/>
  <c r="AM389" i="7"/>
  <c r="AN385" i="7"/>
  <c r="AO385" i="7"/>
  <c r="AP385" i="7"/>
  <c r="AQ385" i="7"/>
  <c r="AS385" i="7"/>
  <c r="AR385" i="7"/>
  <c r="AU385" i="7"/>
  <c r="AT385" i="7"/>
  <c r="AM385" i="7"/>
  <c r="AN381" i="7"/>
  <c r="AO381" i="7"/>
  <c r="AP381" i="7"/>
  <c r="AQ381" i="7"/>
  <c r="AS381" i="7"/>
  <c r="AR381" i="7"/>
  <c r="AU381" i="7"/>
  <c r="AT381" i="7"/>
  <c r="AM381" i="7"/>
  <c r="AN377" i="7"/>
  <c r="AO377" i="7"/>
  <c r="AP377" i="7"/>
  <c r="AQ377" i="7"/>
  <c r="AS377" i="7"/>
  <c r="AR377" i="7"/>
  <c r="AU377" i="7"/>
  <c r="AT377" i="7"/>
  <c r="AM377" i="7"/>
  <c r="AN373" i="7"/>
  <c r="AO373" i="7"/>
  <c r="AP373" i="7"/>
  <c r="AQ373" i="7"/>
  <c r="AS373" i="7"/>
  <c r="AR373" i="7"/>
  <c r="AU373" i="7"/>
  <c r="AT373" i="7"/>
  <c r="AM373" i="7"/>
  <c r="AN369" i="7"/>
  <c r="AO369" i="7"/>
  <c r="AP369" i="7"/>
  <c r="AQ369" i="7"/>
  <c r="AS369" i="7"/>
  <c r="AR369" i="7"/>
  <c r="AU369" i="7"/>
  <c r="AT369" i="7"/>
  <c r="AM369" i="7"/>
  <c r="AN365" i="7"/>
  <c r="AO365" i="7"/>
  <c r="AP365" i="7"/>
  <c r="AQ365" i="7"/>
  <c r="AS365" i="7"/>
  <c r="AR365" i="7"/>
  <c r="AU365" i="7"/>
  <c r="AT365" i="7"/>
  <c r="AM365" i="7"/>
  <c r="AN361" i="7"/>
  <c r="AO361" i="7"/>
  <c r="AP361" i="7"/>
  <c r="AQ361" i="7"/>
  <c r="AS361" i="7"/>
  <c r="AR361" i="7"/>
  <c r="AU361" i="7"/>
  <c r="AT361" i="7"/>
  <c r="AM361" i="7"/>
  <c r="AN357" i="7"/>
  <c r="AO357" i="7"/>
  <c r="AP357" i="7"/>
  <c r="AQ357" i="7"/>
  <c r="AR357" i="7"/>
  <c r="AS357" i="7"/>
  <c r="AU357" i="7"/>
  <c r="AT357" i="7"/>
  <c r="AM357" i="7"/>
  <c r="AN353" i="7"/>
  <c r="AO353" i="7"/>
  <c r="AP353" i="7"/>
  <c r="AQ353" i="7"/>
  <c r="AR353" i="7"/>
  <c r="AS353" i="7"/>
  <c r="AU353" i="7"/>
  <c r="AT353" i="7"/>
  <c r="AM353" i="7"/>
  <c r="AN349" i="7"/>
  <c r="AO349" i="7"/>
  <c r="AP349" i="7"/>
  <c r="AQ349" i="7"/>
  <c r="AR349" i="7"/>
  <c r="AS349" i="7"/>
  <c r="AU349" i="7"/>
  <c r="AT349" i="7"/>
  <c r="AM349" i="7"/>
  <c r="AN345" i="7"/>
  <c r="AO345" i="7"/>
  <c r="AP345" i="7"/>
  <c r="AQ345" i="7"/>
  <c r="AR345" i="7"/>
  <c r="AS345" i="7"/>
  <c r="AU345" i="7"/>
  <c r="AT345" i="7"/>
  <c r="AM345" i="7"/>
  <c r="AN341" i="7"/>
  <c r="AO341" i="7"/>
  <c r="AP341" i="7"/>
  <c r="AR341" i="7"/>
  <c r="AQ341" i="7"/>
  <c r="AS341" i="7"/>
  <c r="AU341" i="7"/>
  <c r="AT341" i="7"/>
  <c r="AM341" i="7"/>
  <c r="AN337" i="7"/>
  <c r="AO337" i="7"/>
  <c r="AP337" i="7"/>
  <c r="AR337" i="7"/>
  <c r="AQ337" i="7"/>
  <c r="AS337" i="7"/>
  <c r="AU337" i="7"/>
  <c r="AT337" i="7"/>
  <c r="AM337" i="7"/>
  <c r="AN333" i="7"/>
  <c r="AO333" i="7"/>
  <c r="AP333" i="7"/>
  <c r="AR333" i="7"/>
  <c r="AQ333" i="7"/>
  <c r="AS333" i="7"/>
  <c r="AU333" i="7"/>
  <c r="AT333" i="7"/>
  <c r="AM333" i="7"/>
  <c r="AN329" i="7"/>
  <c r="AO329" i="7"/>
  <c r="AP329" i="7"/>
  <c r="AR329" i="7"/>
  <c r="AQ329" i="7"/>
  <c r="AS329" i="7"/>
  <c r="AU329" i="7"/>
  <c r="AT329" i="7"/>
  <c r="AM329" i="7"/>
  <c r="AN325" i="7"/>
  <c r="AO325" i="7"/>
  <c r="AP325" i="7"/>
  <c r="AR325" i="7"/>
  <c r="AQ325" i="7"/>
  <c r="AS325" i="7"/>
  <c r="AU325" i="7"/>
  <c r="AT325" i="7"/>
  <c r="AM325" i="7"/>
  <c r="AN321" i="7"/>
  <c r="AO321" i="7"/>
  <c r="AP321" i="7"/>
  <c r="AR321" i="7"/>
  <c r="AQ321" i="7"/>
  <c r="AS321" i="7"/>
  <c r="AU321" i="7"/>
  <c r="AT321" i="7"/>
  <c r="AM321" i="7"/>
  <c r="AN317" i="7"/>
  <c r="AO317" i="7"/>
  <c r="AP317" i="7"/>
  <c r="AR317" i="7"/>
  <c r="AQ317" i="7"/>
  <c r="AS317" i="7"/>
  <c r="AU317" i="7"/>
  <c r="AT317" i="7"/>
  <c r="AM317" i="7"/>
  <c r="AN313" i="7"/>
  <c r="AO313" i="7"/>
  <c r="AP313" i="7"/>
  <c r="AR313" i="7"/>
  <c r="AQ313" i="7"/>
  <c r="AS313" i="7"/>
  <c r="AU313" i="7"/>
  <c r="AT313" i="7"/>
  <c r="AM313" i="7"/>
  <c r="AN309" i="7"/>
  <c r="AO309" i="7"/>
  <c r="AP309" i="7"/>
  <c r="AR309" i="7"/>
  <c r="AQ309" i="7"/>
  <c r="AS309" i="7"/>
  <c r="AU309" i="7"/>
  <c r="AT309" i="7"/>
  <c r="AM309" i="7"/>
  <c r="AN305" i="7"/>
  <c r="AO305" i="7"/>
  <c r="AP305" i="7"/>
  <c r="AR305" i="7"/>
  <c r="AQ305" i="7"/>
  <c r="AS305" i="7"/>
  <c r="AU305" i="7"/>
  <c r="AT305" i="7"/>
  <c r="AM305" i="7"/>
  <c r="AN301" i="7"/>
  <c r="AO301" i="7"/>
  <c r="AP301" i="7"/>
  <c r="AR301" i="7"/>
  <c r="AQ301" i="7"/>
  <c r="AS301" i="7"/>
  <c r="AU301" i="7"/>
  <c r="AT301" i="7"/>
  <c r="AM301" i="7"/>
  <c r="AN297" i="7"/>
  <c r="AO297" i="7"/>
  <c r="AP297" i="7"/>
  <c r="AR297" i="7"/>
  <c r="AQ297" i="7"/>
  <c r="AS297" i="7"/>
  <c r="AU297" i="7"/>
  <c r="AT297" i="7"/>
  <c r="AM297" i="7"/>
  <c r="AN293" i="7"/>
  <c r="AO293" i="7"/>
  <c r="AP293" i="7"/>
  <c r="AR293" i="7"/>
  <c r="AQ293" i="7"/>
  <c r="AS293" i="7"/>
  <c r="AU293" i="7"/>
  <c r="AT293" i="7"/>
  <c r="AM293" i="7"/>
  <c r="AN289" i="7"/>
  <c r="AO289" i="7"/>
  <c r="AP289" i="7"/>
  <c r="AR289" i="7"/>
  <c r="AQ289" i="7"/>
  <c r="AS289" i="7"/>
  <c r="AU289" i="7"/>
  <c r="AT289" i="7"/>
  <c r="AM289" i="7"/>
  <c r="AN285" i="7"/>
  <c r="AO285" i="7"/>
  <c r="AP285" i="7"/>
  <c r="AR285" i="7"/>
  <c r="AQ285" i="7"/>
  <c r="AS285" i="7"/>
  <c r="AU285" i="7"/>
  <c r="AT285" i="7"/>
  <c r="AM285" i="7"/>
  <c r="AN281" i="7"/>
  <c r="AO281" i="7"/>
  <c r="AP281" i="7"/>
  <c r="AR281" i="7"/>
  <c r="AQ281" i="7"/>
  <c r="AS281" i="7"/>
  <c r="AU281" i="7"/>
  <c r="AT281" i="7"/>
  <c r="AM281" i="7"/>
  <c r="AN277" i="7"/>
  <c r="AO277" i="7"/>
  <c r="AP277" i="7"/>
  <c r="AR277" i="7"/>
  <c r="AQ277" i="7"/>
  <c r="AS277" i="7"/>
  <c r="AU277" i="7"/>
  <c r="AT277" i="7"/>
  <c r="AM277" i="7"/>
  <c r="AN273" i="7"/>
  <c r="AO273" i="7"/>
  <c r="AP273" i="7"/>
  <c r="AR273" i="7"/>
  <c r="AQ273" i="7"/>
  <c r="AS273" i="7"/>
  <c r="AU273" i="7"/>
  <c r="AT273" i="7"/>
  <c r="AM273" i="7"/>
  <c r="AN269" i="7"/>
  <c r="AO269" i="7"/>
  <c r="AP269" i="7"/>
  <c r="AR269" i="7"/>
  <c r="AQ269" i="7"/>
  <c r="AS269" i="7"/>
  <c r="AU269" i="7"/>
  <c r="AT269" i="7"/>
  <c r="AM269" i="7"/>
  <c r="AN265" i="7"/>
  <c r="AO265" i="7"/>
  <c r="AP265" i="7"/>
  <c r="AR265" i="7"/>
  <c r="AQ265" i="7"/>
  <c r="AS265" i="7"/>
  <c r="AU265" i="7"/>
  <c r="AT265" i="7"/>
  <c r="AM265" i="7"/>
  <c r="AN261" i="7"/>
  <c r="AO261" i="7"/>
  <c r="AP261" i="7"/>
  <c r="AR261" i="7"/>
  <c r="AQ261" i="7"/>
  <c r="AS261" i="7"/>
  <c r="AU261" i="7"/>
  <c r="AT261" i="7"/>
  <c r="AM261" i="7"/>
  <c r="AN257" i="7"/>
  <c r="AO257" i="7"/>
  <c r="AP257" i="7"/>
  <c r="AR257" i="7"/>
  <c r="AQ257" i="7"/>
  <c r="AS257" i="7"/>
  <c r="AU257" i="7"/>
  <c r="AT257" i="7"/>
  <c r="AM257" i="7"/>
  <c r="AN253" i="7"/>
  <c r="AO253" i="7"/>
  <c r="AP253" i="7"/>
  <c r="AR253" i="7"/>
  <c r="AQ253" i="7"/>
  <c r="AS253" i="7"/>
  <c r="AU253" i="7"/>
  <c r="AT253" i="7"/>
  <c r="AM253" i="7"/>
  <c r="AN249" i="7"/>
  <c r="AO249" i="7"/>
  <c r="AP249" i="7"/>
  <c r="AR249" i="7"/>
  <c r="AQ249" i="7"/>
  <c r="AS249" i="7"/>
  <c r="AU249" i="7"/>
  <c r="AT249" i="7"/>
  <c r="AM249" i="7"/>
  <c r="AN245" i="7"/>
  <c r="AO245" i="7"/>
  <c r="AP245" i="7"/>
  <c r="AR245" i="7"/>
  <c r="AQ245" i="7"/>
  <c r="AS245" i="7"/>
  <c r="AU245" i="7"/>
  <c r="AT245" i="7"/>
  <c r="AM245" i="7"/>
  <c r="AN241" i="7"/>
  <c r="AO241" i="7"/>
  <c r="AP241" i="7"/>
  <c r="AR241" i="7"/>
  <c r="AQ241" i="7"/>
  <c r="AS241" i="7"/>
  <c r="AU241" i="7"/>
  <c r="AT241" i="7"/>
  <c r="AM241" i="7"/>
  <c r="AN237" i="7"/>
  <c r="AO237" i="7"/>
  <c r="AP237" i="7"/>
  <c r="AR237" i="7"/>
  <c r="AQ237" i="7"/>
  <c r="AS237" i="7"/>
  <c r="AU237" i="7"/>
  <c r="AT237" i="7"/>
  <c r="AM237" i="7"/>
  <c r="AN233" i="7"/>
  <c r="AO233" i="7"/>
  <c r="AP233" i="7"/>
  <c r="AR233" i="7"/>
  <c r="AQ233" i="7"/>
  <c r="AS233" i="7"/>
  <c r="AU233" i="7"/>
  <c r="AT233" i="7"/>
  <c r="AM233" i="7"/>
  <c r="AN229" i="7"/>
  <c r="AO229" i="7"/>
  <c r="AP229" i="7"/>
  <c r="AR229" i="7"/>
  <c r="AQ229" i="7"/>
  <c r="AS229" i="7"/>
  <c r="AU229" i="7"/>
  <c r="AT229" i="7"/>
  <c r="AM229" i="7"/>
  <c r="AN225" i="7"/>
  <c r="AO225" i="7"/>
  <c r="AP225" i="7"/>
  <c r="AR225" i="7"/>
  <c r="AQ225" i="7"/>
  <c r="AS225" i="7"/>
  <c r="AU225" i="7"/>
  <c r="AT225" i="7"/>
  <c r="AM225" i="7"/>
  <c r="AN221" i="7"/>
  <c r="AO221" i="7"/>
  <c r="AP221" i="7"/>
  <c r="AR221" i="7"/>
  <c r="AQ221" i="7"/>
  <c r="AS221" i="7"/>
  <c r="AU221" i="7"/>
  <c r="AT221" i="7"/>
  <c r="AM221" i="7"/>
  <c r="AN217" i="7"/>
  <c r="AO217" i="7"/>
  <c r="AP217" i="7"/>
  <c r="AR217" i="7"/>
  <c r="AQ217" i="7"/>
  <c r="AS217" i="7"/>
  <c r="AU217" i="7"/>
  <c r="AT217" i="7"/>
  <c r="AM217" i="7"/>
  <c r="AN213" i="7"/>
  <c r="AO213" i="7"/>
  <c r="AP213" i="7"/>
  <c r="AR213" i="7"/>
  <c r="AQ213" i="7"/>
  <c r="AS213" i="7"/>
  <c r="AU213" i="7"/>
  <c r="AT213" i="7"/>
  <c r="AM213" i="7"/>
  <c r="AN209" i="7"/>
  <c r="AO209" i="7"/>
  <c r="AP209" i="7"/>
  <c r="AR209" i="7"/>
  <c r="AQ209" i="7"/>
  <c r="AS209" i="7"/>
  <c r="AU209" i="7"/>
  <c r="AT209" i="7"/>
  <c r="AM209" i="7"/>
  <c r="AN205" i="7"/>
  <c r="AO205" i="7"/>
  <c r="AP205" i="7"/>
  <c r="AR205" i="7"/>
  <c r="AQ205" i="7"/>
  <c r="AS205" i="7"/>
  <c r="AU205" i="7"/>
  <c r="AT205" i="7"/>
  <c r="AM205" i="7"/>
  <c r="AN201" i="7"/>
  <c r="AO201" i="7"/>
  <c r="AP201" i="7"/>
  <c r="AR201" i="7"/>
  <c r="AQ201" i="7"/>
  <c r="AS201" i="7"/>
  <c r="AU201" i="7"/>
  <c r="AT201" i="7"/>
  <c r="AM201" i="7"/>
  <c r="AN197" i="7"/>
  <c r="AO197" i="7"/>
  <c r="AP197" i="7"/>
  <c r="AR197" i="7"/>
  <c r="AQ197" i="7"/>
  <c r="AS197" i="7"/>
  <c r="AU197" i="7"/>
  <c r="AT197" i="7"/>
  <c r="AM197" i="7"/>
  <c r="AN193" i="7"/>
  <c r="AO193" i="7"/>
  <c r="AP193" i="7"/>
  <c r="AR193" i="7"/>
  <c r="AQ193" i="7"/>
  <c r="AS193" i="7"/>
  <c r="AU193" i="7"/>
  <c r="AT193" i="7"/>
  <c r="AM193" i="7"/>
  <c r="AN189" i="7"/>
  <c r="AO189" i="7"/>
  <c r="AP189" i="7"/>
  <c r="AR189" i="7"/>
  <c r="AQ189" i="7"/>
  <c r="AS189" i="7"/>
  <c r="AU189" i="7"/>
  <c r="AT189" i="7"/>
  <c r="AM189" i="7"/>
  <c r="AN185" i="7"/>
  <c r="AO185" i="7"/>
  <c r="AP185" i="7"/>
  <c r="AR185" i="7"/>
  <c r="AQ185" i="7"/>
  <c r="AS185" i="7"/>
  <c r="AU185" i="7"/>
  <c r="AT185" i="7"/>
  <c r="AM185" i="7"/>
  <c r="AN181" i="7"/>
  <c r="AO181" i="7"/>
  <c r="AP181" i="7"/>
  <c r="AR181" i="7"/>
  <c r="AQ181" i="7"/>
  <c r="AS181" i="7"/>
  <c r="AU181" i="7"/>
  <c r="AT181" i="7"/>
  <c r="AM181" i="7"/>
  <c r="AN177" i="7"/>
  <c r="AO177" i="7"/>
  <c r="AQ177" i="7"/>
  <c r="AP177" i="7"/>
  <c r="AR177" i="7"/>
  <c r="AS177" i="7"/>
  <c r="AU177" i="7"/>
  <c r="AT177" i="7"/>
  <c r="AM177" i="7"/>
  <c r="AN173" i="7"/>
  <c r="AO173" i="7"/>
  <c r="AQ173" i="7"/>
  <c r="AP173" i="7"/>
  <c r="AR173" i="7"/>
  <c r="AS173" i="7"/>
  <c r="AU173" i="7"/>
  <c r="AT173" i="7"/>
  <c r="AM173" i="7"/>
  <c r="AN169" i="7"/>
  <c r="AO169" i="7"/>
  <c r="AQ169" i="7"/>
  <c r="AP169" i="7"/>
  <c r="AR169" i="7"/>
  <c r="AS169" i="7"/>
  <c r="AU169" i="7"/>
  <c r="AT169" i="7"/>
  <c r="AM169" i="7"/>
  <c r="AN165" i="7"/>
  <c r="AO165" i="7"/>
  <c r="AQ165" i="7"/>
  <c r="AP165" i="7"/>
  <c r="AR165" i="7"/>
  <c r="AS165" i="7"/>
  <c r="AU165" i="7"/>
  <c r="AT165" i="7"/>
  <c r="AM165" i="7"/>
  <c r="AN161" i="7"/>
  <c r="AO161" i="7"/>
  <c r="AQ161" i="7"/>
  <c r="AP161" i="7"/>
  <c r="AR161" i="7"/>
  <c r="AS161" i="7"/>
  <c r="AU161" i="7"/>
  <c r="AT161" i="7"/>
  <c r="AM161" i="7"/>
  <c r="AN157" i="7"/>
  <c r="AO157" i="7"/>
  <c r="AQ157" i="7"/>
  <c r="AP157" i="7"/>
  <c r="AR157" i="7"/>
  <c r="AS157" i="7"/>
  <c r="AU157" i="7"/>
  <c r="AT157" i="7"/>
  <c r="AM157" i="7"/>
  <c r="AN153" i="7"/>
  <c r="AO153" i="7"/>
  <c r="AQ153" i="7"/>
  <c r="AP153" i="7"/>
  <c r="AR153" i="7"/>
  <c r="AS153" i="7"/>
  <c r="AU153" i="7"/>
  <c r="AT153" i="7"/>
  <c r="AM153" i="7"/>
  <c r="AN149" i="7"/>
  <c r="AO149" i="7"/>
  <c r="AQ149" i="7"/>
  <c r="AP149" i="7"/>
  <c r="AR149" i="7"/>
  <c r="AS149" i="7"/>
  <c r="AU149" i="7"/>
  <c r="AT149" i="7"/>
  <c r="AM149" i="7"/>
  <c r="AN145" i="7"/>
  <c r="AO145" i="7"/>
  <c r="AQ145" i="7"/>
  <c r="AP145" i="7"/>
  <c r="AR145" i="7"/>
  <c r="AS145" i="7"/>
  <c r="AU145" i="7"/>
  <c r="AT145" i="7"/>
  <c r="AM145" i="7"/>
  <c r="AN141" i="7"/>
  <c r="AO141" i="7"/>
  <c r="AQ141" i="7"/>
  <c r="AP141" i="7"/>
  <c r="AR141" i="7"/>
  <c r="AS141" i="7"/>
  <c r="AU141" i="7"/>
  <c r="AT141" i="7"/>
  <c r="AM141" i="7"/>
  <c r="AN137" i="7"/>
  <c r="AO137" i="7"/>
  <c r="AQ137" i="7"/>
  <c r="AP137" i="7"/>
  <c r="AR137" i="7"/>
  <c r="AS137" i="7"/>
  <c r="AU137" i="7"/>
  <c r="AT137" i="7"/>
  <c r="AM137" i="7"/>
  <c r="AN133" i="7"/>
  <c r="AO133" i="7"/>
  <c r="AQ133" i="7"/>
  <c r="AP133" i="7"/>
  <c r="AR133" i="7"/>
  <c r="AS133" i="7"/>
  <c r="AU133" i="7"/>
  <c r="AT133" i="7"/>
  <c r="AM133" i="7"/>
  <c r="AN129" i="7"/>
  <c r="AO129" i="7"/>
  <c r="AQ129" i="7"/>
  <c r="AP129" i="7"/>
  <c r="AR129" i="7"/>
  <c r="AS129" i="7"/>
  <c r="AU129" i="7"/>
  <c r="AT129" i="7"/>
  <c r="AM129" i="7"/>
  <c r="AN125" i="7"/>
  <c r="AO125" i="7"/>
  <c r="AQ125" i="7"/>
  <c r="AP125" i="7"/>
  <c r="AR125" i="7"/>
  <c r="AS125" i="7"/>
  <c r="AU125" i="7"/>
  <c r="AT125" i="7"/>
  <c r="AM125" i="7"/>
  <c r="AN121" i="7"/>
  <c r="AO121" i="7"/>
  <c r="AQ121" i="7"/>
  <c r="AP121" i="7"/>
  <c r="AR121" i="7"/>
  <c r="AS121" i="7"/>
  <c r="AU121" i="7"/>
  <c r="AT121" i="7"/>
  <c r="AM121" i="7"/>
  <c r="AN117" i="7"/>
  <c r="AO117" i="7"/>
  <c r="AQ117" i="7"/>
  <c r="AP117" i="7"/>
  <c r="AR117" i="7"/>
  <c r="AS117" i="7"/>
  <c r="AU117" i="7"/>
  <c r="AT117" i="7"/>
  <c r="AM117" i="7"/>
  <c r="AN113" i="7"/>
  <c r="AO113" i="7"/>
  <c r="AQ113" i="7"/>
  <c r="AP113" i="7"/>
  <c r="AR113" i="7"/>
  <c r="AS113" i="7"/>
  <c r="AU113" i="7"/>
  <c r="AT113" i="7"/>
  <c r="AM113" i="7"/>
  <c r="AN109" i="7"/>
  <c r="AO109" i="7"/>
  <c r="AQ109" i="7"/>
  <c r="AP109" i="7"/>
  <c r="AR109" i="7"/>
  <c r="AS109" i="7"/>
  <c r="AU109" i="7"/>
  <c r="AT109" i="7"/>
  <c r="AM109" i="7"/>
  <c r="AN105" i="7"/>
  <c r="AO105" i="7"/>
  <c r="AQ105" i="7"/>
  <c r="AP105" i="7"/>
  <c r="AR105" i="7"/>
  <c r="AS105" i="7"/>
  <c r="AU105" i="7"/>
  <c r="AT105" i="7"/>
  <c r="AM105" i="7"/>
  <c r="AN101" i="7"/>
  <c r="AO101" i="7"/>
  <c r="AQ101" i="7"/>
  <c r="AP101" i="7"/>
  <c r="AR101" i="7"/>
  <c r="AS101" i="7"/>
  <c r="AU101" i="7"/>
  <c r="AT101" i="7"/>
  <c r="AM101" i="7"/>
  <c r="AN97" i="7"/>
  <c r="AO97" i="7"/>
  <c r="AQ97" i="7"/>
  <c r="AP97" i="7"/>
  <c r="AR97" i="7"/>
  <c r="AS97" i="7"/>
  <c r="AU97" i="7"/>
  <c r="AT97" i="7"/>
  <c r="AM97" i="7"/>
  <c r="AN93" i="7"/>
  <c r="AO93" i="7"/>
  <c r="AQ93" i="7"/>
  <c r="AP93" i="7"/>
  <c r="AR93" i="7"/>
  <c r="AS93" i="7"/>
  <c r="AU93" i="7"/>
  <c r="AT93" i="7"/>
  <c r="AM93" i="7"/>
  <c r="AN89" i="7"/>
  <c r="AO89" i="7"/>
  <c r="AQ89" i="7"/>
  <c r="AP89" i="7"/>
  <c r="AR89" i="7"/>
  <c r="AS89" i="7"/>
  <c r="AU89" i="7"/>
  <c r="AT89" i="7"/>
  <c r="AM89" i="7"/>
  <c r="AN85" i="7"/>
  <c r="AO85" i="7"/>
  <c r="AQ85" i="7"/>
  <c r="AP85" i="7"/>
  <c r="AR85" i="7"/>
  <c r="AS85" i="7"/>
  <c r="AU85" i="7"/>
  <c r="AT85" i="7"/>
  <c r="AM85" i="7"/>
  <c r="AN81" i="7"/>
  <c r="AO81" i="7"/>
  <c r="AQ81" i="7"/>
  <c r="AP81" i="7"/>
  <c r="AR81" i="7"/>
  <c r="AS81" i="7"/>
  <c r="AU81" i="7"/>
  <c r="AT81" i="7"/>
  <c r="AM81" i="7"/>
  <c r="AN77" i="7"/>
  <c r="AO77" i="7"/>
  <c r="AQ77" i="7"/>
  <c r="AP77" i="7"/>
  <c r="AR77" i="7"/>
  <c r="AS77" i="7"/>
  <c r="AU77" i="7"/>
  <c r="AT77" i="7"/>
  <c r="AM77" i="7"/>
  <c r="AN73" i="7"/>
  <c r="AO73" i="7"/>
  <c r="AQ73" i="7"/>
  <c r="AP73" i="7"/>
  <c r="AR73" i="7"/>
  <c r="AS73" i="7"/>
  <c r="AU73" i="7"/>
  <c r="AT73" i="7"/>
  <c r="AM73" i="7"/>
  <c r="AN69" i="7"/>
  <c r="AO69" i="7"/>
  <c r="AQ69" i="7"/>
  <c r="AP69" i="7"/>
  <c r="AR69" i="7"/>
  <c r="AS69" i="7"/>
  <c r="AU69" i="7"/>
  <c r="AT69" i="7"/>
  <c r="AM69" i="7"/>
  <c r="AN65" i="7"/>
  <c r="AO65" i="7"/>
  <c r="AQ65" i="7"/>
  <c r="AP65" i="7"/>
  <c r="AR65" i="7"/>
  <c r="AS65" i="7"/>
  <c r="AU65" i="7"/>
  <c r="AT65" i="7"/>
  <c r="AM65" i="7"/>
  <c r="AN61" i="7"/>
  <c r="AO61" i="7"/>
  <c r="AQ61" i="7"/>
  <c r="AP61" i="7"/>
  <c r="AR61" i="7"/>
  <c r="AS61" i="7"/>
  <c r="AU61" i="7"/>
  <c r="AT61" i="7"/>
  <c r="AM61" i="7"/>
  <c r="AN57" i="7"/>
  <c r="AO57" i="7"/>
  <c r="AQ57" i="7"/>
  <c r="AP57" i="7"/>
  <c r="AR57" i="7"/>
  <c r="AS57" i="7"/>
  <c r="AU57" i="7"/>
  <c r="AT57" i="7"/>
  <c r="AM57" i="7"/>
  <c r="AN53" i="7"/>
  <c r="AO53" i="7"/>
  <c r="AQ53" i="7"/>
  <c r="AP53" i="7"/>
  <c r="AR53" i="7"/>
  <c r="AS53" i="7"/>
  <c r="AU53" i="7"/>
  <c r="AT53" i="7"/>
  <c r="AM53" i="7"/>
  <c r="AN49" i="7"/>
  <c r="AO49" i="7"/>
  <c r="AQ49" i="7"/>
  <c r="AP49" i="7"/>
  <c r="AR49" i="7"/>
  <c r="AS49" i="7"/>
  <c r="AU49" i="7"/>
  <c r="AT49" i="7"/>
  <c r="AM49" i="7"/>
  <c r="AN45" i="7"/>
  <c r="AO45" i="7"/>
  <c r="AQ45" i="7"/>
  <c r="AP45" i="7"/>
  <c r="AR45" i="7"/>
  <c r="AT45" i="7"/>
  <c r="AS45" i="7"/>
  <c r="AU45" i="7"/>
  <c r="AM45" i="7"/>
  <c r="AN41" i="7"/>
  <c r="AO41" i="7"/>
  <c r="AQ41" i="7"/>
  <c r="AP41" i="7"/>
  <c r="AR41" i="7"/>
  <c r="AT41" i="7"/>
  <c r="AS41" i="7"/>
  <c r="AU41" i="7"/>
  <c r="AM41" i="7"/>
  <c r="AN37" i="7"/>
  <c r="AO37" i="7"/>
  <c r="AQ37" i="7"/>
  <c r="AP37" i="7"/>
  <c r="AR37" i="7"/>
  <c r="AT37" i="7"/>
  <c r="AS37" i="7"/>
  <c r="AU37" i="7"/>
  <c r="AM37" i="7"/>
  <c r="AN33" i="7"/>
  <c r="AO33" i="7"/>
  <c r="AQ33" i="7"/>
  <c r="AP33" i="7"/>
  <c r="AR33" i="7"/>
  <c r="AT33" i="7"/>
  <c r="AS33" i="7"/>
  <c r="AU33" i="7"/>
  <c r="AM33" i="7"/>
  <c r="AN29" i="7"/>
  <c r="AO29" i="7"/>
  <c r="AQ29" i="7"/>
  <c r="AP29" i="7"/>
  <c r="AR29" i="7"/>
  <c r="AT29" i="7"/>
  <c r="AS29" i="7"/>
  <c r="AU29" i="7"/>
  <c r="AM29" i="7"/>
  <c r="AN25" i="7"/>
  <c r="AO25" i="7"/>
  <c r="AQ25" i="7"/>
  <c r="AP25" i="7"/>
  <c r="AR25" i="7"/>
  <c r="AT25" i="7"/>
  <c r="AS25" i="7"/>
  <c r="AU25" i="7"/>
  <c r="AM25" i="7"/>
  <c r="AN21" i="7"/>
  <c r="AO21" i="7"/>
  <c r="AQ21" i="7"/>
  <c r="AP21" i="7"/>
  <c r="AR21" i="7"/>
  <c r="AT21" i="7"/>
  <c r="AS21" i="7"/>
  <c r="AU21" i="7"/>
  <c r="AM21" i="7"/>
  <c r="AN17" i="7"/>
  <c r="AO17" i="7"/>
  <c r="AQ17" i="7"/>
  <c r="AP17" i="7"/>
  <c r="AR17" i="7"/>
  <c r="AT17" i="7"/>
  <c r="AS17" i="7"/>
  <c r="AU17" i="7"/>
  <c r="AM17" i="7"/>
  <c r="AN13" i="7"/>
  <c r="AO13" i="7"/>
  <c r="AQ13" i="7"/>
  <c r="AP13" i="7"/>
  <c r="AR13" i="7"/>
  <c r="AT13" i="7"/>
  <c r="AS13" i="7"/>
  <c r="AU13" i="7"/>
  <c r="AM13" i="7"/>
  <c r="AM497" i="7"/>
  <c r="AM493" i="7"/>
  <c r="AM489" i="7"/>
  <c r="AM485" i="7"/>
  <c r="AM481" i="7"/>
  <c r="AM477" i="7"/>
  <c r="AM473" i="7"/>
  <c r="AM469" i="7"/>
  <c r="AM465" i="7"/>
  <c r="AM461" i="7"/>
  <c r="AM457" i="7"/>
  <c r="AM453" i="7"/>
  <c r="AM449" i="7"/>
  <c r="AM445" i="7"/>
  <c r="AM441" i="7"/>
  <c r="AM437" i="7"/>
  <c r="AM433" i="7"/>
  <c r="AM429" i="7"/>
  <c r="AM425" i="7"/>
  <c r="AM421" i="7"/>
  <c r="AM417" i="7"/>
  <c r="AN495" i="7"/>
  <c r="AP495" i="7"/>
  <c r="AO495" i="7"/>
  <c r="AQ495" i="7"/>
  <c r="AS495" i="7"/>
  <c r="AR495" i="7"/>
  <c r="AU495" i="7"/>
  <c r="AT495" i="7"/>
  <c r="AN487" i="7"/>
  <c r="AO487" i="7"/>
  <c r="AP487" i="7"/>
  <c r="AQ487" i="7"/>
  <c r="AS487" i="7"/>
  <c r="AR487" i="7"/>
  <c r="AU487" i="7"/>
  <c r="AT487" i="7"/>
  <c r="AN479" i="7"/>
  <c r="AO479" i="7"/>
  <c r="AP479" i="7"/>
  <c r="AQ479" i="7"/>
  <c r="AS479" i="7"/>
  <c r="AR479" i="7"/>
  <c r="AU479" i="7"/>
  <c r="AT479" i="7"/>
  <c r="AN471" i="7"/>
  <c r="AO471" i="7"/>
  <c r="AP471" i="7"/>
  <c r="AQ471" i="7"/>
  <c r="AS471" i="7"/>
  <c r="AR471" i="7"/>
  <c r="AU471" i="7"/>
  <c r="AT471" i="7"/>
  <c r="AN463" i="7"/>
  <c r="AO463" i="7"/>
  <c r="AP463" i="7"/>
  <c r="AQ463" i="7"/>
  <c r="AS463" i="7"/>
  <c r="AR463" i="7"/>
  <c r="AU463" i="7"/>
  <c r="AT463" i="7"/>
  <c r="AN455" i="7"/>
  <c r="AO455" i="7"/>
  <c r="AP455" i="7"/>
  <c r="AQ455" i="7"/>
  <c r="AS455" i="7"/>
  <c r="AR455" i="7"/>
  <c r="AU455" i="7"/>
  <c r="AT455" i="7"/>
  <c r="AN447" i="7"/>
  <c r="AO447" i="7"/>
  <c r="AP447" i="7"/>
  <c r="AQ447" i="7"/>
  <c r="AS447" i="7"/>
  <c r="AR447" i="7"/>
  <c r="AU447" i="7"/>
  <c r="AT447" i="7"/>
  <c r="AN439" i="7"/>
  <c r="AO439" i="7"/>
  <c r="AP439" i="7"/>
  <c r="AQ439" i="7"/>
  <c r="AS439" i="7"/>
  <c r="AR439" i="7"/>
  <c r="AU439" i="7"/>
  <c r="AT439" i="7"/>
  <c r="AN431" i="7"/>
  <c r="AO431" i="7"/>
  <c r="AP431" i="7"/>
  <c r="AQ431" i="7"/>
  <c r="AS431" i="7"/>
  <c r="AR431" i="7"/>
  <c r="AU431" i="7"/>
  <c r="AT431" i="7"/>
  <c r="AN423" i="7"/>
  <c r="AO423" i="7"/>
  <c r="AP423" i="7"/>
  <c r="AQ423" i="7"/>
  <c r="AS423" i="7"/>
  <c r="AR423" i="7"/>
  <c r="AU423" i="7"/>
  <c r="AT423" i="7"/>
  <c r="AN415" i="7"/>
  <c r="AO415" i="7"/>
  <c r="AP415" i="7"/>
  <c r="AQ415" i="7"/>
  <c r="AS415" i="7"/>
  <c r="AR415" i="7"/>
  <c r="AU415" i="7"/>
  <c r="AT415" i="7"/>
  <c r="AN407" i="7"/>
  <c r="AO407" i="7"/>
  <c r="AP407" i="7"/>
  <c r="AQ407" i="7"/>
  <c r="AS407" i="7"/>
  <c r="AR407" i="7"/>
  <c r="AM407" i="7"/>
  <c r="AU407" i="7"/>
  <c r="AT407" i="7"/>
  <c r="AN399" i="7"/>
  <c r="AO399" i="7"/>
  <c r="AP399" i="7"/>
  <c r="AQ399" i="7"/>
  <c r="AS399" i="7"/>
  <c r="AR399" i="7"/>
  <c r="AM399" i="7"/>
  <c r="AU399" i="7"/>
  <c r="AT399" i="7"/>
  <c r="AN391" i="7"/>
  <c r="AO391" i="7"/>
  <c r="AP391" i="7"/>
  <c r="AQ391" i="7"/>
  <c r="AS391" i="7"/>
  <c r="AR391" i="7"/>
  <c r="AM391" i="7"/>
  <c r="AU391" i="7"/>
  <c r="AT391" i="7"/>
  <c r="AN383" i="7"/>
  <c r="AO383" i="7"/>
  <c r="AP383" i="7"/>
  <c r="AQ383" i="7"/>
  <c r="AS383" i="7"/>
  <c r="AR383" i="7"/>
  <c r="AM383" i="7"/>
  <c r="AU383" i="7"/>
  <c r="AT383" i="7"/>
  <c r="AN375" i="7"/>
  <c r="AO375" i="7"/>
  <c r="AP375" i="7"/>
  <c r="AQ375" i="7"/>
  <c r="AS375" i="7"/>
  <c r="AR375" i="7"/>
  <c r="AM375" i="7"/>
  <c r="AU375" i="7"/>
  <c r="AT375" i="7"/>
  <c r="AN367" i="7"/>
  <c r="AO367" i="7"/>
  <c r="AP367" i="7"/>
  <c r="AQ367" i="7"/>
  <c r="AS367" i="7"/>
  <c r="AR367" i="7"/>
  <c r="AM367" i="7"/>
  <c r="AU367" i="7"/>
  <c r="AT367" i="7"/>
  <c r="AN359" i="7"/>
  <c r="AO359" i="7"/>
  <c r="AP359" i="7"/>
  <c r="AQ359" i="7"/>
  <c r="AS359" i="7"/>
  <c r="AR359" i="7"/>
  <c r="AM359" i="7"/>
  <c r="AU359" i="7"/>
  <c r="AT359" i="7"/>
  <c r="AN351" i="7"/>
  <c r="AO351" i="7"/>
  <c r="AP351" i="7"/>
  <c r="AQ351" i="7"/>
  <c r="AS351" i="7"/>
  <c r="AR351" i="7"/>
  <c r="AM351" i="7"/>
  <c r="AU351" i="7"/>
  <c r="AT351" i="7"/>
  <c r="AN343" i="7"/>
  <c r="AO343" i="7"/>
  <c r="AP343" i="7"/>
  <c r="AR343" i="7"/>
  <c r="AQ343" i="7"/>
  <c r="AS343" i="7"/>
  <c r="AM343" i="7"/>
  <c r="AU343" i="7"/>
  <c r="AT343" i="7"/>
  <c r="AN335" i="7"/>
  <c r="AO335" i="7"/>
  <c r="AP335" i="7"/>
  <c r="AR335" i="7"/>
  <c r="AQ335" i="7"/>
  <c r="AS335" i="7"/>
  <c r="AM335" i="7"/>
  <c r="AU335" i="7"/>
  <c r="AT335" i="7"/>
  <c r="AN327" i="7"/>
  <c r="AO327" i="7"/>
  <c r="AP327" i="7"/>
  <c r="AR327" i="7"/>
  <c r="AQ327" i="7"/>
  <c r="AS327" i="7"/>
  <c r="AM327" i="7"/>
  <c r="AU327" i="7"/>
  <c r="AT327" i="7"/>
  <c r="AN319" i="7"/>
  <c r="AO319" i="7"/>
  <c r="AP319" i="7"/>
  <c r="AR319" i="7"/>
  <c r="AQ319" i="7"/>
  <c r="AS319" i="7"/>
  <c r="AM319" i="7"/>
  <c r="AU319" i="7"/>
  <c r="AT319" i="7"/>
  <c r="AN311" i="7"/>
  <c r="AO311" i="7"/>
  <c r="AP311" i="7"/>
  <c r="AR311" i="7"/>
  <c r="AQ311" i="7"/>
  <c r="AS311" i="7"/>
  <c r="AM311" i="7"/>
  <c r="AU311" i="7"/>
  <c r="AT311" i="7"/>
  <c r="AN303" i="7"/>
  <c r="AO303" i="7"/>
  <c r="AP303" i="7"/>
  <c r="AR303" i="7"/>
  <c r="AQ303" i="7"/>
  <c r="AS303" i="7"/>
  <c r="AM303" i="7"/>
  <c r="AU303" i="7"/>
  <c r="AT303" i="7"/>
  <c r="AN295" i="7"/>
  <c r="AO295" i="7"/>
  <c r="AP295" i="7"/>
  <c r="AR295" i="7"/>
  <c r="AQ295" i="7"/>
  <c r="AS295" i="7"/>
  <c r="AM295" i="7"/>
  <c r="AU295" i="7"/>
  <c r="AT295" i="7"/>
  <c r="AN287" i="7"/>
  <c r="AO287" i="7"/>
  <c r="AP287" i="7"/>
  <c r="AR287" i="7"/>
  <c r="AQ287" i="7"/>
  <c r="AS287" i="7"/>
  <c r="AM287" i="7"/>
  <c r="AU287" i="7"/>
  <c r="AT287" i="7"/>
  <c r="AN279" i="7"/>
  <c r="AO279" i="7"/>
  <c r="AP279" i="7"/>
  <c r="AR279" i="7"/>
  <c r="AQ279" i="7"/>
  <c r="AS279" i="7"/>
  <c r="AM279" i="7"/>
  <c r="AU279" i="7"/>
  <c r="AT279" i="7"/>
  <c r="AN271" i="7"/>
  <c r="AO271" i="7"/>
  <c r="AP271" i="7"/>
  <c r="AR271" i="7"/>
  <c r="AQ271" i="7"/>
  <c r="AS271" i="7"/>
  <c r="AM271" i="7"/>
  <c r="AU271" i="7"/>
  <c r="AT271" i="7"/>
  <c r="AN263" i="7"/>
  <c r="AO263" i="7"/>
  <c r="AP263" i="7"/>
  <c r="AR263" i="7"/>
  <c r="AQ263" i="7"/>
  <c r="AS263" i="7"/>
  <c r="AM263" i="7"/>
  <c r="AU263" i="7"/>
  <c r="AT263" i="7"/>
  <c r="AN255" i="7"/>
  <c r="AO255" i="7"/>
  <c r="AP255" i="7"/>
  <c r="AR255" i="7"/>
  <c r="AQ255" i="7"/>
  <c r="AS255" i="7"/>
  <c r="AM255" i="7"/>
  <c r="AU255" i="7"/>
  <c r="AT255" i="7"/>
  <c r="AN247" i="7"/>
  <c r="AO247" i="7"/>
  <c r="AP247" i="7"/>
  <c r="AR247" i="7"/>
  <c r="AQ247" i="7"/>
  <c r="AS247" i="7"/>
  <c r="AM247" i="7"/>
  <c r="AU247" i="7"/>
  <c r="AT247" i="7"/>
  <c r="AN239" i="7"/>
  <c r="AO239" i="7"/>
  <c r="AP239" i="7"/>
  <c r="AR239" i="7"/>
  <c r="AQ239" i="7"/>
  <c r="AS239" i="7"/>
  <c r="AM239" i="7"/>
  <c r="AU239" i="7"/>
  <c r="AT239" i="7"/>
  <c r="AN231" i="7"/>
  <c r="AO231" i="7"/>
  <c r="AP231" i="7"/>
  <c r="AR231" i="7"/>
  <c r="AQ231" i="7"/>
  <c r="AS231" i="7"/>
  <c r="AM231" i="7"/>
  <c r="AU231" i="7"/>
  <c r="AT231" i="7"/>
  <c r="AN223" i="7"/>
  <c r="AO223" i="7"/>
  <c r="AP223" i="7"/>
  <c r="AR223" i="7"/>
  <c r="AQ223" i="7"/>
  <c r="AS223" i="7"/>
  <c r="AM223" i="7"/>
  <c r="AU223" i="7"/>
  <c r="AT223" i="7"/>
  <c r="AN215" i="7"/>
  <c r="AO215" i="7"/>
  <c r="AP215" i="7"/>
  <c r="AR215" i="7"/>
  <c r="AQ215" i="7"/>
  <c r="AS215" i="7"/>
  <c r="AM215" i="7"/>
  <c r="AU215" i="7"/>
  <c r="AT215" i="7"/>
  <c r="AN207" i="7"/>
  <c r="AO207" i="7"/>
  <c r="AP207" i="7"/>
  <c r="AR207" i="7"/>
  <c r="AQ207" i="7"/>
  <c r="AS207" i="7"/>
  <c r="AM207" i="7"/>
  <c r="AU207" i="7"/>
  <c r="AT207" i="7"/>
  <c r="AN199" i="7"/>
  <c r="AO199" i="7"/>
  <c r="AP199" i="7"/>
  <c r="AR199" i="7"/>
  <c r="AQ199" i="7"/>
  <c r="AS199" i="7"/>
  <c r="AM199" i="7"/>
  <c r="AU199" i="7"/>
  <c r="AT199" i="7"/>
  <c r="AN191" i="7"/>
  <c r="AO191" i="7"/>
  <c r="AP191" i="7"/>
  <c r="AR191" i="7"/>
  <c r="AQ191" i="7"/>
  <c r="AS191" i="7"/>
  <c r="AM191" i="7"/>
  <c r="AU191" i="7"/>
  <c r="AT191" i="7"/>
  <c r="AN183" i="7"/>
  <c r="AO183" i="7"/>
  <c r="AP183" i="7"/>
  <c r="AR183" i="7"/>
  <c r="AQ183" i="7"/>
  <c r="AS183" i="7"/>
  <c r="AM183" i="7"/>
  <c r="AU183" i="7"/>
  <c r="AT183" i="7"/>
  <c r="AN175" i="7"/>
  <c r="AO175" i="7"/>
  <c r="AP175" i="7"/>
  <c r="AR175" i="7"/>
  <c r="AQ175" i="7"/>
  <c r="AS175" i="7"/>
  <c r="AM175" i="7"/>
  <c r="AU175" i="7"/>
  <c r="AT175" i="7"/>
  <c r="AN167" i="7"/>
  <c r="AO167" i="7"/>
  <c r="AP167" i="7"/>
  <c r="AQ167" i="7"/>
  <c r="AR167" i="7"/>
  <c r="AS167" i="7"/>
  <c r="AM167" i="7"/>
  <c r="AU167" i="7"/>
  <c r="AT167" i="7"/>
  <c r="AN159" i="7"/>
  <c r="AO159" i="7"/>
  <c r="AP159" i="7"/>
  <c r="AQ159" i="7"/>
  <c r="AR159" i="7"/>
  <c r="AS159" i="7"/>
  <c r="AM159" i="7"/>
  <c r="AU159" i="7"/>
  <c r="AT159" i="7"/>
  <c r="AN151" i="7"/>
  <c r="AO151" i="7"/>
  <c r="AP151" i="7"/>
  <c r="AQ151" i="7"/>
  <c r="AR151" i="7"/>
  <c r="AS151" i="7"/>
  <c r="AM151" i="7"/>
  <c r="AU151" i="7"/>
  <c r="AT151" i="7"/>
  <c r="AN143" i="7"/>
  <c r="AO143" i="7"/>
  <c r="AP143" i="7"/>
  <c r="AQ143" i="7"/>
  <c r="AR143" i="7"/>
  <c r="AS143" i="7"/>
  <c r="AM143" i="7"/>
  <c r="AU143" i="7"/>
  <c r="AT143" i="7"/>
  <c r="AN135" i="7"/>
  <c r="AO135" i="7"/>
  <c r="AP135" i="7"/>
  <c r="AQ135" i="7"/>
  <c r="AR135" i="7"/>
  <c r="AS135" i="7"/>
  <c r="AM135" i="7"/>
  <c r="AU135" i="7"/>
  <c r="AT135" i="7"/>
  <c r="AN127" i="7"/>
  <c r="AO127" i="7"/>
  <c r="AP127" i="7"/>
  <c r="AQ127" i="7"/>
  <c r="AR127" i="7"/>
  <c r="AS127" i="7"/>
  <c r="AM127" i="7"/>
  <c r="AU127" i="7"/>
  <c r="AT127" i="7"/>
  <c r="AN119" i="7"/>
  <c r="AO119" i="7"/>
  <c r="AP119" i="7"/>
  <c r="AQ119" i="7"/>
  <c r="AR119" i="7"/>
  <c r="AS119" i="7"/>
  <c r="AM119" i="7"/>
  <c r="AU119" i="7"/>
  <c r="AT119" i="7"/>
  <c r="AN111" i="7"/>
  <c r="AO111" i="7"/>
  <c r="AP111" i="7"/>
  <c r="AQ111" i="7"/>
  <c r="AR111" i="7"/>
  <c r="AS111" i="7"/>
  <c r="AM111" i="7"/>
  <c r="AU111" i="7"/>
  <c r="AT111" i="7"/>
  <c r="AN103" i="7"/>
  <c r="AO103" i="7"/>
  <c r="AP103" i="7"/>
  <c r="AQ103" i="7"/>
  <c r="AR103" i="7"/>
  <c r="AS103" i="7"/>
  <c r="AM103" i="7"/>
  <c r="AU103" i="7"/>
  <c r="AT103" i="7"/>
  <c r="AN95" i="7"/>
  <c r="AO95" i="7"/>
  <c r="AP95" i="7"/>
  <c r="AQ95" i="7"/>
  <c r="AR95" i="7"/>
  <c r="AS95" i="7"/>
  <c r="AM95" i="7"/>
  <c r="AU95" i="7"/>
  <c r="AT95" i="7"/>
  <c r="AN91" i="7"/>
  <c r="AO91" i="7"/>
  <c r="AP91" i="7"/>
  <c r="AQ91" i="7"/>
  <c r="AR91" i="7"/>
  <c r="AS91" i="7"/>
  <c r="AM91" i="7"/>
  <c r="AU91" i="7"/>
  <c r="AT91" i="7"/>
  <c r="AN83" i="7"/>
  <c r="AO83" i="7"/>
  <c r="AP83" i="7"/>
  <c r="AQ83" i="7"/>
  <c r="AR83" i="7"/>
  <c r="AS83" i="7"/>
  <c r="AM83" i="7"/>
  <c r="AU83" i="7"/>
  <c r="AT83" i="7"/>
  <c r="AN75" i="7"/>
  <c r="AO75" i="7"/>
  <c r="AP75" i="7"/>
  <c r="AQ75" i="7"/>
  <c r="AR75" i="7"/>
  <c r="AS75" i="7"/>
  <c r="AM75" i="7"/>
  <c r="AU75" i="7"/>
  <c r="AT75" i="7"/>
  <c r="AN67" i="7"/>
  <c r="AO67" i="7"/>
  <c r="AP67" i="7"/>
  <c r="AQ67" i="7"/>
  <c r="AR67" i="7"/>
  <c r="AS67" i="7"/>
  <c r="AM67" i="7"/>
  <c r="AU67" i="7"/>
  <c r="AT67" i="7"/>
  <c r="AN59" i="7"/>
  <c r="AO59" i="7"/>
  <c r="AP59" i="7"/>
  <c r="AQ59" i="7"/>
  <c r="AR59" i="7"/>
  <c r="AS59" i="7"/>
  <c r="AM59" i="7"/>
  <c r="AU59" i="7"/>
  <c r="AT59" i="7"/>
  <c r="AN51" i="7"/>
  <c r="AO51" i="7"/>
  <c r="AP51" i="7"/>
  <c r="AQ51" i="7"/>
  <c r="AR51" i="7"/>
  <c r="AS51" i="7"/>
  <c r="AM51" i="7"/>
  <c r="AU51" i="7"/>
  <c r="AT51" i="7"/>
  <c r="AN43" i="7"/>
  <c r="AO43" i="7"/>
  <c r="AP43" i="7"/>
  <c r="AQ43" i="7"/>
  <c r="AR43" i="7"/>
  <c r="AS43" i="7"/>
  <c r="AT43" i="7"/>
  <c r="AM43" i="7"/>
  <c r="AU43" i="7"/>
  <c r="AN31" i="7"/>
  <c r="AO31" i="7"/>
  <c r="AP31" i="7"/>
  <c r="AQ31" i="7"/>
  <c r="AR31" i="7"/>
  <c r="AS31" i="7"/>
  <c r="AT31" i="7"/>
  <c r="AM31" i="7"/>
  <c r="AU31" i="7"/>
  <c r="AN494" i="7"/>
  <c r="AO494" i="7"/>
  <c r="AP494" i="7"/>
  <c r="AQ494" i="7"/>
  <c r="AR494" i="7"/>
  <c r="AS494" i="7"/>
  <c r="AU494" i="7"/>
  <c r="AT494" i="7"/>
  <c r="AN482" i="7"/>
  <c r="AO482" i="7"/>
  <c r="AP482" i="7"/>
  <c r="AQ482" i="7"/>
  <c r="AR482" i="7"/>
  <c r="AS482" i="7"/>
  <c r="AU482" i="7"/>
  <c r="AT482" i="7"/>
  <c r="AN470" i="7"/>
  <c r="AO470" i="7"/>
  <c r="AP470" i="7"/>
  <c r="AQ470" i="7"/>
  <c r="AR470" i="7"/>
  <c r="AS470" i="7"/>
  <c r="AU470" i="7"/>
  <c r="AT470" i="7"/>
  <c r="AN458" i="7"/>
  <c r="AO458" i="7"/>
  <c r="AP458" i="7"/>
  <c r="AQ458" i="7"/>
  <c r="AR458" i="7"/>
  <c r="AS458" i="7"/>
  <c r="AU458" i="7"/>
  <c r="AT458" i="7"/>
  <c r="AN446" i="7"/>
  <c r="AO446" i="7"/>
  <c r="AP446" i="7"/>
  <c r="AQ446" i="7"/>
  <c r="AR446" i="7"/>
  <c r="AS446" i="7"/>
  <c r="AU446" i="7"/>
  <c r="AT446" i="7"/>
  <c r="AN434" i="7"/>
  <c r="AO434" i="7"/>
  <c r="AP434" i="7"/>
  <c r="AQ434" i="7"/>
  <c r="AR434" i="7"/>
  <c r="AS434" i="7"/>
  <c r="AU434" i="7"/>
  <c r="AT434" i="7"/>
  <c r="AN422" i="7"/>
  <c r="AO422" i="7"/>
  <c r="AP422" i="7"/>
  <c r="AQ422" i="7"/>
  <c r="AR422" i="7"/>
  <c r="AS422" i="7"/>
  <c r="AU422" i="7"/>
  <c r="AT422" i="7"/>
  <c r="AN410" i="7"/>
  <c r="AO410" i="7"/>
  <c r="AP410" i="7"/>
  <c r="AQ410" i="7"/>
  <c r="AR410" i="7"/>
  <c r="AS410" i="7"/>
  <c r="AU410" i="7"/>
  <c r="AT410" i="7"/>
  <c r="AM410" i="7"/>
  <c r="AN398" i="7"/>
  <c r="AO398" i="7"/>
  <c r="AP398" i="7"/>
  <c r="AQ398" i="7"/>
  <c r="AR398" i="7"/>
  <c r="AS398" i="7"/>
  <c r="AU398" i="7"/>
  <c r="AT398" i="7"/>
  <c r="AM398" i="7"/>
  <c r="AN386" i="7"/>
  <c r="AO386" i="7"/>
  <c r="AP386" i="7"/>
  <c r="AQ386" i="7"/>
  <c r="AR386" i="7"/>
  <c r="AS386" i="7"/>
  <c r="AU386" i="7"/>
  <c r="AT386" i="7"/>
  <c r="AM386" i="7"/>
  <c r="AN374" i="7"/>
  <c r="AO374" i="7"/>
  <c r="AP374" i="7"/>
  <c r="AQ374" i="7"/>
  <c r="AR374" i="7"/>
  <c r="AS374" i="7"/>
  <c r="AU374" i="7"/>
  <c r="AT374" i="7"/>
  <c r="AM374" i="7"/>
  <c r="AN362" i="7"/>
  <c r="AO362" i="7"/>
  <c r="AP362" i="7"/>
  <c r="AQ362" i="7"/>
  <c r="AR362" i="7"/>
  <c r="AS362" i="7"/>
  <c r="AU362" i="7"/>
  <c r="AT362" i="7"/>
  <c r="AM362" i="7"/>
  <c r="AN350" i="7"/>
  <c r="AO350" i="7"/>
  <c r="AP350" i="7"/>
  <c r="AQ350" i="7"/>
  <c r="AR350" i="7"/>
  <c r="AS350" i="7"/>
  <c r="AU350" i="7"/>
  <c r="AT350" i="7"/>
  <c r="AM350" i="7"/>
  <c r="AN338" i="7"/>
  <c r="AO338" i="7"/>
  <c r="AP338" i="7"/>
  <c r="AQ338" i="7"/>
  <c r="AR338" i="7"/>
  <c r="AS338" i="7"/>
  <c r="AU338" i="7"/>
  <c r="AT338" i="7"/>
  <c r="AM338" i="7"/>
  <c r="AN326" i="7"/>
  <c r="AO326" i="7"/>
  <c r="AP326" i="7"/>
  <c r="AQ326" i="7"/>
  <c r="AR326" i="7"/>
  <c r="AS326" i="7"/>
  <c r="AU326" i="7"/>
  <c r="AT326" i="7"/>
  <c r="AM326" i="7"/>
  <c r="AN314" i="7"/>
  <c r="AO314" i="7"/>
  <c r="AP314" i="7"/>
  <c r="AQ314" i="7"/>
  <c r="AR314" i="7"/>
  <c r="AS314" i="7"/>
  <c r="AU314" i="7"/>
  <c r="AT314" i="7"/>
  <c r="AM314" i="7"/>
  <c r="AN302" i="7"/>
  <c r="AO302" i="7"/>
  <c r="AP302" i="7"/>
  <c r="AQ302" i="7"/>
  <c r="AR302" i="7"/>
  <c r="AS302" i="7"/>
  <c r="AU302" i="7"/>
  <c r="AT302" i="7"/>
  <c r="AM302" i="7"/>
  <c r="AN290" i="7"/>
  <c r="AO290" i="7"/>
  <c r="AP290" i="7"/>
  <c r="AQ290" i="7"/>
  <c r="AR290" i="7"/>
  <c r="AS290" i="7"/>
  <c r="AU290" i="7"/>
  <c r="AT290" i="7"/>
  <c r="AM290" i="7"/>
  <c r="AN278" i="7"/>
  <c r="AO278" i="7"/>
  <c r="AP278" i="7"/>
  <c r="AQ278" i="7"/>
  <c r="AR278" i="7"/>
  <c r="AS278" i="7"/>
  <c r="AU278" i="7"/>
  <c r="AT278" i="7"/>
  <c r="AM278" i="7"/>
  <c r="AN266" i="7"/>
  <c r="AO266" i="7"/>
  <c r="AP266" i="7"/>
  <c r="AQ266" i="7"/>
  <c r="AR266" i="7"/>
  <c r="AS266" i="7"/>
  <c r="AU266" i="7"/>
  <c r="AT266" i="7"/>
  <c r="AM266" i="7"/>
  <c r="AN254" i="7"/>
  <c r="AO254" i="7"/>
  <c r="AP254" i="7"/>
  <c r="AQ254" i="7"/>
  <c r="AR254" i="7"/>
  <c r="AS254" i="7"/>
  <c r="AU254" i="7"/>
  <c r="AT254" i="7"/>
  <c r="AM254" i="7"/>
  <c r="AN242" i="7"/>
  <c r="AO242" i="7"/>
  <c r="AP242" i="7"/>
  <c r="AQ242" i="7"/>
  <c r="AR242" i="7"/>
  <c r="AS242" i="7"/>
  <c r="AU242" i="7"/>
  <c r="AT242" i="7"/>
  <c r="AM242" i="7"/>
  <c r="AN230" i="7"/>
  <c r="AO230" i="7"/>
  <c r="AP230" i="7"/>
  <c r="AQ230" i="7"/>
  <c r="AR230" i="7"/>
  <c r="AS230" i="7"/>
  <c r="AU230" i="7"/>
  <c r="AT230" i="7"/>
  <c r="AM230" i="7"/>
  <c r="AN218" i="7"/>
  <c r="AO218" i="7"/>
  <c r="AP218" i="7"/>
  <c r="AQ218" i="7"/>
  <c r="AR218" i="7"/>
  <c r="AS218" i="7"/>
  <c r="AU218" i="7"/>
  <c r="AT218" i="7"/>
  <c r="AM218" i="7"/>
  <c r="AN206" i="7"/>
  <c r="AO206" i="7"/>
  <c r="AP206" i="7"/>
  <c r="AQ206" i="7"/>
  <c r="AR206" i="7"/>
  <c r="AS206" i="7"/>
  <c r="AU206" i="7"/>
  <c r="AT206" i="7"/>
  <c r="AM206" i="7"/>
  <c r="AN194" i="7"/>
  <c r="AO194" i="7"/>
  <c r="AP194" i="7"/>
  <c r="AQ194" i="7"/>
  <c r="AR194" i="7"/>
  <c r="AS194" i="7"/>
  <c r="AU194" i="7"/>
  <c r="AT194" i="7"/>
  <c r="AM194" i="7"/>
  <c r="AN182" i="7"/>
  <c r="AO182" i="7"/>
  <c r="AP182" i="7"/>
  <c r="AQ182" i="7"/>
  <c r="AR182" i="7"/>
  <c r="AS182" i="7"/>
  <c r="AU182" i="7"/>
  <c r="AT182" i="7"/>
  <c r="AM182" i="7"/>
  <c r="AN170" i="7"/>
  <c r="AO170" i="7"/>
  <c r="AP170" i="7"/>
  <c r="AQ170" i="7"/>
  <c r="AR170" i="7"/>
  <c r="AS170" i="7"/>
  <c r="AU170" i="7"/>
  <c r="AT170" i="7"/>
  <c r="AM170" i="7"/>
  <c r="AN158" i="7"/>
  <c r="AO158" i="7"/>
  <c r="AQ158" i="7"/>
  <c r="AP158" i="7"/>
  <c r="AR158" i="7"/>
  <c r="AS158" i="7"/>
  <c r="AU158" i="7"/>
  <c r="AT158" i="7"/>
  <c r="AM158" i="7"/>
  <c r="AN146" i="7"/>
  <c r="AO146" i="7"/>
  <c r="AQ146" i="7"/>
  <c r="AP146" i="7"/>
  <c r="AR146" i="7"/>
  <c r="AS146" i="7"/>
  <c r="AU146" i="7"/>
  <c r="AT146" i="7"/>
  <c r="AM146" i="7"/>
  <c r="AN134" i="7"/>
  <c r="AO134" i="7"/>
  <c r="AQ134" i="7"/>
  <c r="AP134" i="7"/>
  <c r="AR134" i="7"/>
  <c r="AS134" i="7"/>
  <c r="AU134" i="7"/>
  <c r="AT134" i="7"/>
  <c r="AM134" i="7"/>
  <c r="AN122" i="7"/>
  <c r="AO122" i="7"/>
  <c r="AQ122" i="7"/>
  <c r="AP122" i="7"/>
  <c r="AR122" i="7"/>
  <c r="AS122" i="7"/>
  <c r="AU122" i="7"/>
  <c r="AT122" i="7"/>
  <c r="AM122" i="7"/>
  <c r="AN110" i="7"/>
  <c r="AO110" i="7"/>
  <c r="AQ110" i="7"/>
  <c r="AP110" i="7"/>
  <c r="AR110" i="7"/>
  <c r="AS110" i="7"/>
  <c r="AU110" i="7"/>
  <c r="AT110" i="7"/>
  <c r="AM110" i="7"/>
  <c r="AN98" i="7"/>
  <c r="AO98" i="7"/>
  <c r="AQ98" i="7"/>
  <c r="AP98" i="7"/>
  <c r="AR98" i="7"/>
  <c r="AS98" i="7"/>
  <c r="AU98" i="7"/>
  <c r="AT98" i="7"/>
  <c r="AM98" i="7"/>
  <c r="AN86" i="7"/>
  <c r="AO86" i="7"/>
  <c r="AQ86" i="7"/>
  <c r="AP86" i="7"/>
  <c r="AR86" i="7"/>
  <c r="AS86" i="7"/>
  <c r="AU86" i="7"/>
  <c r="AT86" i="7"/>
  <c r="AM86" i="7"/>
  <c r="AN74" i="7"/>
  <c r="AO74" i="7"/>
  <c r="AQ74" i="7"/>
  <c r="AP74" i="7"/>
  <c r="AR74" i="7"/>
  <c r="AS74" i="7"/>
  <c r="AU74" i="7"/>
  <c r="AT74" i="7"/>
  <c r="AM74" i="7"/>
  <c r="AN62" i="7"/>
  <c r="AO62" i="7"/>
  <c r="AQ62" i="7"/>
  <c r="AP62" i="7"/>
  <c r="AR62" i="7"/>
  <c r="AS62" i="7"/>
  <c r="AU62" i="7"/>
  <c r="AT62" i="7"/>
  <c r="AM62" i="7"/>
  <c r="AN50" i="7"/>
  <c r="AO50" i="7"/>
  <c r="AQ50" i="7"/>
  <c r="AP50" i="7"/>
  <c r="AR50" i="7"/>
  <c r="AS50" i="7"/>
  <c r="AU50" i="7"/>
  <c r="AT50" i="7"/>
  <c r="AM50" i="7"/>
  <c r="AN38" i="7"/>
  <c r="AO38" i="7"/>
  <c r="AQ38" i="7"/>
  <c r="AP38" i="7"/>
  <c r="AR38" i="7"/>
  <c r="AT38" i="7"/>
  <c r="AS38" i="7"/>
  <c r="AU38" i="7"/>
  <c r="AM38" i="7"/>
  <c r="AN26" i="7"/>
  <c r="AO26" i="7"/>
  <c r="AQ26" i="7"/>
  <c r="AP26" i="7"/>
  <c r="AR26" i="7"/>
  <c r="AT26" i="7"/>
  <c r="AS26" i="7"/>
  <c r="AU26" i="7"/>
  <c r="AM26" i="7"/>
  <c r="AN14" i="7"/>
  <c r="AO14" i="7"/>
  <c r="AQ14" i="7"/>
  <c r="AP14" i="7"/>
  <c r="AR14" i="7"/>
  <c r="AT14" i="7"/>
  <c r="AS14" i="7"/>
  <c r="AU14" i="7"/>
  <c r="AM14" i="7"/>
  <c r="AN500" i="7"/>
  <c r="AP500" i="7"/>
  <c r="AO500" i="7"/>
  <c r="AQ500" i="7"/>
  <c r="AS500" i="7"/>
  <c r="AR500" i="7"/>
  <c r="AT500" i="7"/>
  <c r="AU500" i="7"/>
  <c r="AN496" i="7"/>
  <c r="AP496" i="7"/>
  <c r="AO496" i="7"/>
  <c r="AQ496" i="7"/>
  <c r="AS496" i="7"/>
  <c r="AR496" i="7"/>
  <c r="AT496" i="7"/>
  <c r="AU496" i="7"/>
  <c r="AN492" i="7"/>
  <c r="AP492" i="7"/>
  <c r="AO492" i="7"/>
  <c r="AQ492" i="7"/>
  <c r="AS492" i="7"/>
  <c r="AR492" i="7"/>
  <c r="AT492" i="7"/>
  <c r="AU492" i="7"/>
  <c r="AN488" i="7"/>
  <c r="AO488" i="7"/>
  <c r="AP488" i="7"/>
  <c r="AQ488" i="7"/>
  <c r="AS488" i="7"/>
  <c r="AR488" i="7"/>
  <c r="AT488" i="7"/>
  <c r="AU488" i="7"/>
  <c r="AN484" i="7"/>
  <c r="AP484" i="7"/>
  <c r="AO484" i="7"/>
  <c r="AQ484" i="7"/>
  <c r="AS484" i="7"/>
  <c r="AR484" i="7"/>
  <c r="AT484" i="7"/>
  <c r="AU484" i="7"/>
  <c r="AN480" i="7"/>
  <c r="AO480" i="7"/>
  <c r="AP480" i="7"/>
  <c r="AQ480" i="7"/>
  <c r="AS480" i="7"/>
  <c r="AR480" i="7"/>
  <c r="AT480" i="7"/>
  <c r="AU480" i="7"/>
  <c r="AN476" i="7"/>
  <c r="AO476" i="7"/>
  <c r="AP476" i="7"/>
  <c r="AQ476" i="7"/>
  <c r="AS476" i="7"/>
  <c r="AR476" i="7"/>
  <c r="AT476" i="7"/>
  <c r="AU476" i="7"/>
  <c r="AN472" i="7"/>
  <c r="AO472" i="7"/>
  <c r="AP472" i="7"/>
  <c r="AQ472" i="7"/>
  <c r="AS472" i="7"/>
  <c r="AR472" i="7"/>
  <c r="AT472" i="7"/>
  <c r="AU472" i="7"/>
  <c r="AN468" i="7"/>
  <c r="AO468" i="7"/>
  <c r="AP468" i="7"/>
  <c r="AQ468" i="7"/>
  <c r="AS468" i="7"/>
  <c r="AR468" i="7"/>
  <c r="AT468" i="7"/>
  <c r="AU468" i="7"/>
  <c r="AN464" i="7"/>
  <c r="AO464" i="7"/>
  <c r="AP464" i="7"/>
  <c r="AQ464" i="7"/>
  <c r="AS464" i="7"/>
  <c r="AR464" i="7"/>
  <c r="AT464" i="7"/>
  <c r="AU464" i="7"/>
  <c r="AN460" i="7"/>
  <c r="AO460" i="7"/>
  <c r="AP460" i="7"/>
  <c r="AQ460" i="7"/>
  <c r="AS460" i="7"/>
  <c r="AR460" i="7"/>
  <c r="AT460" i="7"/>
  <c r="AU460" i="7"/>
  <c r="AN456" i="7"/>
  <c r="AO456" i="7"/>
  <c r="AP456" i="7"/>
  <c r="AQ456" i="7"/>
  <c r="AS456" i="7"/>
  <c r="AR456" i="7"/>
  <c r="AT456" i="7"/>
  <c r="AU456" i="7"/>
  <c r="AN452" i="7"/>
  <c r="AO452" i="7"/>
  <c r="AP452" i="7"/>
  <c r="AQ452" i="7"/>
  <c r="AS452" i="7"/>
  <c r="AR452" i="7"/>
  <c r="AT452" i="7"/>
  <c r="AU452" i="7"/>
  <c r="AN448" i="7"/>
  <c r="AO448" i="7"/>
  <c r="AP448" i="7"/>
  <c r="AQ448" i="7"/>
  <c r="AS448" i="7"/>
  <c r="AR448" i="7"/>
  <c r="AT448" i="7"/>
  <c r="AU448" i="7"/>
  <c r="AN444" i="7"/>
  <c r="AO444" i="7"/>
  <c r="AP444" i="7"/>
  <c r="AQ444" i="7"/>
  <c r="AS444" i="7"/>
  <c r="AR444" i="7"/>
  <c r="AT444" i="7"/>
  <c r="AU444" i="7"/>
  <c r="AN440" i="7"/>
  <c r="AO440" i="7"/>
  <c r="AP440" i="7"/>
  <c r="AQ440" i="7"/>
  <c r="AS440" i="7"/>
  <c r="AR440" i="7"/>
  <c r="AT440" i="7"/>
  <c r="AU440" i="7"/>
  <c r="AN436" i="7"/>
  <c r="AO436" i="7"/>
  <c r="AP436" i="7"/>
  <c r="AQ436" i="7"/>
  <c r="AS436" i="7"/>
  <c r="AR436" i="7"/>
  <c r="AT436" i="7"/>
  <c r="AU436" i="7"/>
  <c r="AN432" i="7"/>
  <c r="AO432" i="7"/>
  <c r="AP432" i="7"/>
  <c r="AQ432" i="7"/>
  <c r="AS432" i="7"/>
  <c r="AR432" i="7"/>
  <c r="AT432" i="7"/>
  <c r="AU432" i="7"/>
  <c r="AN428" i="7"/>
  <c r="AO428" i="7"/>
  <c r="AP428" i="7"/>
  <c r="AQ428" i="7"/>
  <c r="AS428" i="7"/>
  <c r="AR428" i="7"/>
  <c r="AT428" i="7"/>
  <c r="AU428" i="7"/>
  <c r="AN424" i="7"/>
  <c r="AO424" i="7"/>
  <c r="AP424" i="7"/>
  <c r="AQ424" i="7"/>
  <c r="AS424" i="7"/>
  <c r="AR424" i="7"/>
  <c r="AT424" i="7"/>
  <c r="AU424" i="7"/>
  <c r="AN420" i="7"/>
  <c r="AO420" i="7"/>
  <c r="AP420" i="7"/>
  <c r="AQ420" i="7"/>
  <c r="AS420" i="7"/>
  <c r="AR420" i="7"/>
  <c r="AT420" i="7"/>
  <c r="AU420" i="7"/>
  <c r="AN416" i="7"/>
  <c r="AO416" i="7"/>
  <c r="AP416" i="7"/>
  <c r="AQ416" i="7"/>
  <c r="AS416" i="7"/>
  <c r="AR416" i="7"/>
  <c r="AT416" i="7"/>
  <c r="AU416" i="7"/>
  <c r="AN412" i="7"/>
  <c r="AO412" i="7"/>
  <c r="AP412" i="7"/>
  <c r="AQ412" i="7"/>
  <c r="AS412" i="7"/>
  <c r="AR412" i="7"/>
  <c r="AT412" i="7"/>
  <c r="AM412" i="7"/>
  <c r="AU412" i="7"/>
  <c r="AN408" i="7"/>
  <c r="AO408" i="7"/>
  <c r="AP408" i="7"/>
  <c r="AQ408" i="7"/>
  <c r="AS408" i="7"/>
  <c r="AR408" i="7"/>
  <c r="AT408" i="7"/>
  <c r="AM408" i="7"/>
  <c r="AU408" i="7"/>
  <c r="AN404" i="7"/>
  <c r="AO404" i="7"/>
  <c r="AP404" i="7"/>
  <c r="AQ404" i="7"/>
  <c r="AS404" i="7"/>
  <c r="AR404" i="7"/>
  <c r="AT404" i="7"/>
  <c r="AM404" i="7"/>
  <c r="AU404" i="7"/>
  <c r="AN400" i="7"/>
  <c r="AO400" i="7"/>
  <c r="AP400" i="7"/>
  <c r="AQ400" i="7"/>
  <c r="AS400" i="7"/>
  <c r="AR400" i="7"/>
  <c r="AT400" i="7"/>
  <c r="AM400" i="7"/>
  <c r="AU400" i="7"/>
  <c r="AN396" i="7"/>
  <c r="AO396" i="7"/>
  <c r="AP396" i="7"/>
  <c r="AQ396" i="7"/>
  <c r="AS396" i="7"/>
  <c r="AR396" i="7"/>
  <c r="AT396" i="7"/>
  <c r="AM396" i="7"/>
  <c r="AU396" i="7"/>
  <c r="AN392" i="7"/>
  <c r="AO392" i="7"/>
  <c r="AP392" i="7"/>
  <c r="AQ392" i="7"/>
  <c r="AS392" i="7"/>
  <c r="AR392" i="7"/>
  <c r="AT392" i="7"/>
  <c r="AM392" i="7"/>
  <c r="AU392" i="7"/>
  <c r="AN388" i="7"/>
  <c r="AO388" i="7"/>
  <c r="AP388" i="7"/>
  <c r="AQ388" i="7"/>
  <c r="AS388" i="7"/>
  <c r="AR388" i="7"/>
  <c r="AT388" i="7"/>
  <c r="AM388" i="7"/>
  <c r="AU388" i="7"/>
  <c r="AN384" i="7"/>
  <c r="AO384" i="7"/>
  <c r="AP384" i="7"/>
  <c r="AQ384" i="7"/>
  <c r="AS384" i="7"/>
  <c r="AR384" i="7"/>
  <c r="AT384" i="7"/>
  <c r="AM384" i="7"/>
  <c r="AU384" i="7"/>
  <c r="AN380" i="7"/>
  <c r="AO380" i="7"/>
  <c r="AP380" i="7"/>
  <c r="AQ380" i="7"/>
  <c r="AS380" i="7"/>
  <c r="AR380" i="7"/>
  <c r="AT380" i="7"/>
  <c r="AM380" i="7"/>
  <c r="AU380" i="7"/>
  <c r="AN376" i="7"/>
  <c r="AO376" i="7"/>
  <c r="AP376" i="7"/>
  <c r="AQ376" i="7"/>
  <c r="AS376" i="7"/>
  <c r="AR376" i="7"/>
  <c r="AT376" i="7"/>
  <c r="AM376" i="7"/>
  <c r="AU376" i="7"/>
  <c r="AN372" i="7"/>
  <c r="AO372" i="7"/>
  <c r="AP372" i="7"/>
  <c r="AQ372" i="7"/>
  <c r="AS372" i="7"/>
  <c r="AR372" i="7"/>
  <c r="AT372" i="7"/>
  <c r="AM372" i="7"/>
  <c r="AU372" i="7"/>
  <c r="AN368" i="7"/>
  <c r="AO368" i="7"/>
  <c r="AP368" i="7"/>
  <c r="AQ368" i="7"/>
  <c r="AS368" i="7"/>
  <c r="AR368" i="7"/>
  <c r="AT368" i="7"/>
  <c r="AM368" i="7"/>
  <c r="AU368" i="7"/>
  <c r="AN364" i="7"/>
  <c r="AO364" i="7"/>
  <c r="AP364" i="7"/>
  <c r="AQ364" i="7"/>
  <c r="AS364" i="7"/>
  <c r="AR364" i="7"/>
  <c r="AT364" i="7"/>
  <c r="AM364" i="7"/>
  <c r="AU364" i="7"/>
  <c r="AN360" i="7"/>
  <c r="AO360" i="7"/>
  <c r="AP360" i="7"/>
  <c r="AR360" i="7"/>
  <c r="AQ360" i="7"/>
  <c r="AS360" i="7"/>
  <c r="AT360" i="7"/>
  <c r="AM360" i="7"/>
  <c r="AU360" i="7"/>
  <c r="AN356" i="7"/>
  <c r="AO356" i="7"/>
  <c r="AP356" i="7"/>
  <c r="AR356" i="7"/>
  <c r="AQ356" i="7"/>
  <c r="AS356" i="7"/>
  <c r="AT356" i="7"/>
  <c r="AM356" i="7"/>
  <c r="AU356" i="7"/>
  <c r="AN352" i="7"/>
  <c r="AO352" i="7"/>
  <c r="AP352" i="7"/>
  <c r="AR352" i="7"/>
  <c r="AQ352" i="7"/>
  <c r="AS352" i="7"/>
  <c r="AT352" i="7"/>
  <c r="AM352" i="7"/>
  <c r="AU352" i="7"/>
  <c r="AN348" i="7"/>
  <c r="AO348" i="7"/>
  <c r="AP348" i="7"/>
  <c r="AR348" i="7"/>
  <c r="AQ348" i="7"/>
  <c r="AS348" i="7"/>
  <c r="AT348" i="7"/>
  <c r="AM348" i="7"/>
  <c r="AU348" i="7"/>
  <c r="AN344" i="7"/>
  <c r="AO344" i="7"/>
  <c r="AP344" i="7"/>
  <c r="AR344" i="7"/>
  <c r="AQ344" i="7"/>
  <c r="AS344" i="7"/>
  <c r="AT344" i="7"/>
  <c r="AM344" i="7"/>
  <c r="AU344" i="7"/>
  <c r="AN340" i="7"/>
  <c r="AO340" i="7"/>
  <c r="AP340" i="7"/>
  <c r="AR340" i="7"/>
  <c r="AQ340" i="7"/>
  <c r="AS340" i="7"/>
  <c r="AT340" i="7"/>
  <c r="AM340" i="7"/>
  <c r="AU340" i="7"/>
  <c r="AN336" i="7"/>
  <c r="AO336" i="7"/>
  <c r="AP336" i="7"/>
  <c r="AR336" i="7"/>
  <c r="AQ336" i="7"/>
  <c r="AS336" i="7"/>
  <c r="AT336" i="7"/>
  <c r="AM336" i="7"/>
  <c r="AU336" i="7"/>
  <c r="AN332" i="7"/>
  <c r="AO332" i="7"/>
  <c r="AP332" i="7"/>
  <c r="AR332" i="7"/>
  <c r="AQ332" i="7"/>
  <c r="AS332" i="7"/>
  <c r="AT332" i="7"/>
  <c r="AM332" i="7"/>
  <c r="AU332" i="7"/>
  <c r="AN328" i="7"/>
  <c r="AO328" i="7"/>
  <c r="AP328" i="7"/>
  <c r="AR328" i="7"/>
  <c r="AQ328" i="7"/>
  <c r="AS328" i="7"/>
  <c r="AT328" i="7"/>
  <c r="AM328" i="7"/>
  <c r="AU328" i="7"/>
  <c r="AN324" i="7"/>
  <c r="AO324" i="7"/>
  <c r="AP324" i="7"/>
  <c r="AR324" i="7"/>
  <c r="AQ324" i="7"/>
  <c r="AS324" i="7"/>
  <c r="AT324" i="7"/>
  <c r="AM324" i="7"/>
  <c r="AU324" i="7"/>
  <c r="AN320" i="7"/>
  <c r="AO320" i="7"/>
  <c r="AP320" i="7"/>
  <c r="AR320" i="7"/>
  <c r="AQ320" i="7"/>
  <c r="AS320" i="7"/>
  <c r="AT320" i="7"/>
  <c r="AM320" i="7"/>
  <c r="AU320" i="7"/>
  <c r="AN316" i="7"/>
  <c r="AO316" i="7"/>
  <c r="AP316" i="7"/>
  <c r="AR316" i="7"/>
  <c r="AQ316" i="7"/>
  <c r="AS316" i="7"/>
  <c r="AT316" i="7"/>
  <c r="AM316" i="7"/>
  <c r="AU316" i="7"/>
  <c r="AN312" i="7"/>
  <c r="AO312" i="7"/>
  <c r="AP312" i="7"/>
  <c r="AR312" i="7"/>
  <c r="AQ312" i="7"/>
  <c r="AS312" i="7"/>
  <c r="AT312" i="7"/>
  <c r="AM312" i="7"/>
  <c r="AU312" i="7"/>
  <c r="AN308" i="7"/>
  <c r="AO308" i="7"/>
  <c r="AP308" i="7"/>
  <c r="AR308" i="7"/>
  <c r="AQ308" i="7"/>
  <c r="AS308" i="7"/>
  <c r="AT308" i="7"/>
  <c r="AM308" i="7"/>
  <c r="AU308" i="7"/>
  <c r="AN304" i="7"/>
  <c r="AO304" i="7"/>
  <c r="AP304" i="7"/>
  <c r="AR304" i="7"/>
  <c r="AQ304" i="7"/>
  <c r="AS304" i="7"/>
  <c r="AT304" i="7"/>
  <c r="AM304" i="7"/>
  <c r="AU304" i="7"/>
  <c r="AN300" i="7"/>
  <c r="AO300" i="7"/>
  <c r="AP300" i="7"/>
  <c r="AR300" i="7"/>
  <c r="AQ300" i="7"/>
  <c r="AS300" i="7"/>
  <c r="AT300" i="7"/>
  <c r="AM300" i="7"/>
  <c r="AU300" i="7"/>
  <c r="AN296" i="7"/>
  <c r="AO296" i="7"/>
  <c r="AP296" i="7"/>
  <c r="AR296" i="7"/>
  <c r="AQ296" i="7"/>
  <c r="AS296" i="7"/>
  <c r="AT296" i="7"/>
  <c r="AM296" i="7"/>
  <c r="AU296" i="7"/>
  <c r="AN292" i="7"/>
  <c r="AO292" i="7"/>
  <c r="AP292" i="7"/>
  <c r="AR292" i="7"/>
  <c r="AQ292" i="7"/>
  <c r="AS292" i="7"/>
  <c r="AT292" i="7"/>
  <c r="AM292" i="7"/>
  <c r="AU292" i="7"/>
  <c r="AN288" i="7"/>
  <c r="AO288" i="7"/>
  <c r="AP288" i="7"/>
  <c r="AR288" i="7"/>
  <c r="AQ288" i="7"/>
  <c r="AS288" i="7"/>
  <c r="AT288" i="7"/>
  <c r="AM288" i="7"/>
  <c r="AU288" i="7"/>
  <c r="AN284" i="7"/>
  <c r="AO284" i="7"/>
  <c r="AP284" i="7"/>
  <c r="AR284" i="7"/>
  <c r="AQ284" i="7"/>
  <c r="AS284" i="7"/>
  <c r="AT284" i="7"/>
  <c r="AM284" i="7"/>
  <c r="AU284" i="7"/>
  <c r="AN280" i="7"/>
  <c r="AO280" i="7"/>
  <c r="AP280" i="7"/>
  <c r="AR280" i="7"/>
  <c r="AQ280" i="7"/>
  <c r="AS280" i="7"/>
  <c r="AT280" i="7"/>
  <c r="AM280" i="7"/>
  <c r="AU280" i="7"/>
  <c r="AN276" i="7"/>
  <c r="AO276" i="7"/>
  <c r="AP276" i="7"/>
  <c r="AR276" i="7"/>
  <c r="AQ276" i="7"/>
  <c r="AS276" i="7"/>
  <c r="AT276" i="7"/>
  <c r="AM276" i="7"/>
  <c r="AU276" i="7"/>
  <c r="AN272" i="7"/>
  <c r="AO272" i="7"/>
  <c r="AP272" i="7"/>
  <c r="AR272" i="7"/>
  <c r="AQ272" i="7"/>
  <c r="AS272" i="7"/>
  <c r="AT272" i="7"/>
  <c r="AM272" i="7"/>
  <c r="AU272" i="7"/>
  <c r="AN268" i="7"/>
  <c r="AO268" i="7"/>
  <c r="AP268" i="7"/>
  <c r="AR268" i="7"/>
  <c r="AQ268" i="7"/>
  <c r="AS268" i="7"/>
  <c r="AT268" i="7"/>
  <c r="AM268" i="7"/>
  <c r="AU268" i="7"/>
  <c r="AN264" i="7"/>
  <c r="AO264" i="7"/>
  <c r="AP264" i="7"/>
  <c r="AR264" i="7"/>
  <c r="AQ264" i="7"/>
  <c r="AS264" i="7"/>
  <c r="AT264" i="7"/>
  <c r="AM264" i="7"/>
  <c r="AU264" i="7"/>
  <c r="AN260" i="7"/>
  <c r="AO260" i="7"/>
  <c r="AP260" i="7"/>
  <c r="AR260" i="7"/>
  <c r="AQ260" i="7"/>
  <c r="AS260" i="7"/>
  <c r="AT260" i="7"/>
  <c r="AM260" i="7"/>
  <c r="AU260" i="7"/>
  <c r="AN256" i="7"/>
  <c r="AO256" i="7"/>
  <c r="AP256" i="7"/>
  <c r="AR256" i="7"/>
  <c r="AQ256" i="7"/>
  <c r="AS256" i="7"/>
  <c r="AT256" i="7"/>
  <c r="AM256" i="7"/>
  <c r="AU256" i="7"/>
  <c r="AN252" i="7"/>
  <c r="AO252" i="7"/>
  <c r="AP252" i="7"/>
  <c r="AR252" i="7"/>
  <c r="AQ252" i="7"/>
  <c r="AS252" i="7"/>
  <c r="AT252" i="7"/>
  <c r="AM252" i="7"/>
  <c r="AU252" i="7"/>
  <c r="AN248" i="7"/>
  <c r="AO248" i="7"/>
  <c r="AP248" i="7"/>
  <c r="AR248" i="7"/>
  <c r="AQ248" i="7"/>
  <c r="AS248" i="7"/>
  <c r="AT248" i="7"/>
  <c r="AM248" i="7"/>
  <c r="AU248" i="7"/>
  <c r="AN244" i="7"/>
  <c r="AO244" i="7"/>
  <c r="AP244" i="7"/>
  <c r="AR244" i="7"/>
  <c r="AQ244" i="7"/>
  <c r="AS244" i="7"/>
  <c r="AT244" i="7"/>
  <c r="AM244" i="7"/>
  <c r="AU244" i="7"/>
  <c r="AN240" i="7"/>
  <c r="AO240" i="7"/>
  <c r="AP240" i="7"/>
  <c r="AR240" i="7"/>
  <c r="AQ240" i="7"/>
  <c r="AS240" i="7"/>
  <c r="AT240" i="7"/>
  <c r="AM240" i="7"/>
  <c r="AU240" i="7"/>
  <c r="AN236" i="7"/>
  <c r="AO236" i="7"/>
  <c r="AP236" i="7"/>
  <c r="AR236" i="7"/>
  <c r="AQ236" i="7"/>
  <c r="AS236" i="7"/>
  <c r="AT236" i="7"/>
  <c r="AM236" i="7"/>
  <c r="AU236" i="7"/>
  <c r="AN232" i="7"/>
  <c r="AO232" i="7"/>
  <c r="AP232" i="7"/>
  <c r="AR232" i="7"/>
  <c r="AQ232" i="7"/>
  <c r="AS232" i="7"/>
  <c r="AT232" i="7"/>
  <c r="AM232" i="7"/>
  <c r="AU232" i="7"/>
  <c r="AN228" i="7"/>
  <c r="AO228" i="7"/>
  <c r="AP228" i="7"/>
  <c r="AR228" i="7"/>
  <c r="AQ228" i="7"/>
  <c r="AS228" i="7"/>
  <c r="AT228" i="7"/>
  <c r="AM228" i="7"/>
  <c r="AU228" i="7"/>
  <c r="AN224" i="7"/>
  <c r="AO224" i="7"/>
  <c r="AP224" i="7"/>
  <c r="AR224" i="7"/>
  <c r="AQ224" i="7"/>
  <c r="AS224" i="7"/>
  <c r="AT224" i="7"/>
  <c r="AM224" i="7"/>
  <c r="AU224" i="7"/>
  <c r="AN220" i="7"/>
  <c r="AO220" i="7"/>
  <c r="AP220" i="7"/>
  <c r="AR220" i="7"/>
  <c r="AQ220" i="7"/>
  <c r="AS220" i="7"/>
  <c r="AT220" i="7"/>
  <c r="AM220" i="7"/>
  <c r="AU220" i="7"/>
  <c r="AN216" i="7"/>
  <c r="AO216" i="7"/>
  <c r="AP216" i="7"/>
  <c r="AR216" i="7"/>
  <c r="AQ216" i="7"/>
  <c r="AS216" i="7"/>
  <c r="AT216" i="7"/>
  <c r="AM216" i="7"/>
  <c r="AU216" i="7"/>
  <c r="AN212" i="7"/>
  <c r="AO212" i="7"/>
  <c r="AP212" i="7"/>
  <c r="AR212" i="7"/>
  <c r="AQ212" i="7"/>
  <c r="AS212" i="7"/>
  <c r="AT212" i="7"/>
  <c r="AM212" i="7"/>
  <c r="AU212" i="7"/>
  <c r="AN208" i="7"/>
  <c r="AO208" i="7"/>
  <c r="AP208" i="7"/>
  <c r="AR208" i="7"/>
  <c r="AQ208" i="7"/>
  <c r="AS208" i="7"/>
  <c r="AT208" i="7"/>
  <c r="AM208" i="7"/>
  <c r="AU208" i="7"/>
  <c r="AN204" i="7"/>
  <c r="AO204" i="7"/>
  <c r="AP204" i="7"/>
  <c r="AR204" i="7"/>
  <c r="AQ204" i="7"/>
  <c r="AS204" i="7"/>
  <c r="AT204" i="7"/>
  <c r="AM204" i="7"/>
  <c r="AU204" i="7"/>
  <c r="AN200" i="7"/>
  <c r="AO200" i="7"/>
  <c r="AP200" i="7"/>
  <c r="AR200" i="7"/>
  <c r="AQ200" i="7"/>
  <c r="AS200" i="7"/>
  <c r="AT200" i="7"/>
  <c r="AM200" i="7"/>
  <c r="AU200" i="7"/>
  <c r="AN196" i="7"/>
  <c r="AO196" i="7"/>
  <c r="AP196" i="7"/>
  <c r="AR196" i="7"/>
  <c r="AQ196" i="7"/>
  <c r="AS196" i="7"/>
  <c r="AT196" i="7"/>
  <c r="AM196" i="7"/>
  <c r="AU196" i="7"/>
  <c r="AN192" i="7"/>
  <c r="AO192" i="7"/>
  <c r="AP192" i="7"/>
  <c r="AR192" i="7"/>
  <c r="AQ192" i="7"/>
  <c r="AS192" i="7"/>
  <c r="AT192" i="7"/>
  <c r="AM192" i="7"/>
  <c r="AU192" i="7"/>
  <c r="AO188" i="7"/>
  <c r="AN188" i="7"/>
  <c r="AP188" i="7"/>
  <c r="AR188" i="7"/>
  <c r="AQ188" i="7"/>
  <c r="AS188" i="7"/>
  <c r="AT188" i="7"/>
  <c r="AM188" i="7"/>
  <c r="AU188" i="7"/>
  <c r="AN184" i="7"/>
  <c r="AO184" i="7"/>
  <c r="AP184" i="7"/>
  <c r="AR184" i="7"/>
  <c r="AQ184" i="7"/>
  <c r="AS184" i="7"/>
  <c r="AT184" i="7"/>
  <c r="AM184" i="7"/>
  <c r="AU184" i="7"/>
  <c r="AN180" i="7"/>
  <c r="AO180" i="7"/>
  <c r="AP180" i="7"/>
  <c r="AR180" i="7"/>
  <c r="AQ180" i="7"/>
  <c r="AS180" i="7"/>
  <c r="AT180" i="7"/>
  <c r="AM180" i="7"/>
  <c r="AU180" i="7"/>
  <c r="AN176" i="7"/>
  <c r="AO176" i="7"/>
  <c r="AP176" i="7"/>
  <c r="AR176" i="7"/>
  <c r="AQ176" i="7"/>
  <c r="AS176" i="7"/>
  <c r="AT176" i="7"/>
  <c r="AM176" i="7"/>
  <c r="AU176" i="7"/>
  <c r="AN172" i="7"/>
  <c r="AO172" i="7"/>
  <c r="AP172" i="7"/>
  <c r="AQ172" i="7"/>
  <c r="AR172" i="7"/>
  <c r="AS172" i="7"/>
  <c r="AT172" i="7"/>
  <c r="AM172" i="7"/>
  <c r="AU172" i="7"/>
  <c r="AN168" i="7"/>
  <c r="AO168" i="7"/>
  <c r="AP168" i="7"/>
  <c r="AR168" i="7"/>
  <c r="AQ168" i="7"/>
  <c r="AS168" i="7"/>
  <c r="AT168" i="7"/>
  <c r="AM168" i="7"/>
  <c r="AU168" i="7"/>
  <c r="AN164" i="7"/>
  <c r="AO164" i="7"/>
  <c r="AQ164" i="7"/>
  <c r="AP164" i="7"/>
  <c r="AR164" i="7"/>
  <c r="AS164" i="7"/>
  <c r="AT164" i="7"/>
  <c r="AM164" i="7"/>
  <c r="AU164" i="7"/>
  <c r="AN160" i="7"/>
  <c r="AO160" i="7"/>
  <c r="AQ160" i="7"/>
  <c r="AP160" i="7"/>
  <c r="AR160" i="7"/>
  <c r="AS160" i="7"/>
  <c r="AT160" i="7"/>
  <c r="AM160" i="7"/>
  <c r="AU160" i="7"/>
  <c r="AO156" i="7"/>
  <c r="AN156" i="7"/>
  <c r="AQ156" i="7"/>
  <c r="AP156" i="7"/>
  <c r="AR156" i="7"/>
  <c r="AS156" i="7"/>
  <c r="AT156" i="7"/>
  <c r="AM156" i="7"/>
  <c r="AU156" i="7"/>
  <c r="AN152" i="7"/>
  <c r="AO152" i="7"/>
  <c r="AQ152" i="7"/>
  <c r="AP152" i="7"/>
  <c r="AR152" i="7"/>
  <c r="AS152" i="7"/>
  <c r="AT152" i="7"/>
  <c r="AM152" i="7"/>
  <c r="AU152" i="7"/>
  <c r="AN148" i="7"/>
  <c r="AO148" i="7"/>
  <c r="AQ148" i="7"/>
  <c r="AP148" i="7"/>
  <c r="AR148" i="7"/>
  <c r="AS148" i="7"/>
  <c r="AT148" i="7"/>
  <c r="AM148" i="7"/>
  <c r="AU148" i="7"/>
  <c r="AN144" i="7"/>
  <c r="AO144" i="7"/>
  <c r="AQ144" i="7"/>
  <c r="AP144" i="7"/>
  <c r="AR144" i="7"/>
  <c r="AS144" i="7"/>
  <c r="AT144" i="7"/>
  <c r="AM144" i="7"/>
  <c r="AU144" i="7"/>
  <c r="AN140" i="7"/>
  <c r="AO140" i="7"/>
  <c r="AQ140" i="7"/>
  <c r="AP140" i="7"/>
  <c r="AR140" i="7"/>
  <c r="AS140" i="7"/>
  <c r="AT140" i="7"/>
  <c r="AM140" i="7"/>
  <c r="AU140" i="7"/>
  <c r="AN136" i="7"/>
  <c r="AO136" i="7"/>
  <c r="AQ136" i="7"/>
  <c r="AP136" i="7"/>
  <c r="AR136" i="7"/>
  <c r="AS136" i="7"/>
  <c r="AT136" i="7"/>
  <c r="AM136" i="7"/>
  <c r="AU136" i="7"/>
  <c r="AN132" i="7"/>
  <c r="AO132" i="7"/>
  <c r="AQ132" i="7"/>
  <c r="AP132" i="7"/>
  <c r="AR132" i="7"/>
  <c r="AS132" i="7"/>
  <c r="AT132" i="7"/>
  <c r="AM132" i="7"/>
  <c r="AU132" i="7"/>
  <c r="AN128" i="7"/>
  <c r="AO128" i="7"/>
  <c r="AQ128" i="7"/>
  <c r="AP128" i="7"/>
  <c r="AR128" i="7"/>
  <c r="AS128" i="7"/>
  <c r="AT128" i="7"/>
  <c r="AM128" i="7"/>
  <c r="AU128" i="7"/>
  <c r="AO124" i="7"/>
  <c r="AN124" i="7"/>
  <c r="AQ124" i="7"/>
  <c r="AP124" i="7"/>
  <c r="AR124" i="7"/>
  <c r="AS124" i="7"/>
  <c r="AT124" i="7"/>
  <c r="AM124" i="7"/>
  <c r="AU124" i="7"/>
  <c r="AN120" i="7"/>
  <c r="AO120" i="7"/>
  <c r="AQ120" i="7"/>
  <c r="AP120" i="7"/>
  <c r="AR120" i="7"/>
  <c r="AS120" i="7"/>
  <c r="AT120" i="7"/>
  <c r="AM120" i="7"/>
  <c r="AU120" i="7"/>
  <c r="AN116" i="7"/>
  <c r="AO116" i="7"/>
  <c r="AQ116" i="7"/>
  <c r="AP116" i="7"/>
  <c r="AR116" i="7"/>
  <c r="AS116" i="7"/>
  <c r="AT116" i="7"/>
  <c r="AM116" i="7"/>
  <c r="AU116" i="7"/>
  <c r="AN112" i="7"/>
  <c r="AO112" i="7"/>
  <c r="AQ112" i="7"/>
  <c r="AP112" i="7"/>
  <c r="AR112" i="7"/>
  <c r="AS112" i="7"/>
  <c r="AT112" i="7"/>
  <c r="AM112" i="7"/>
  <c r="AU112" i="7"/>
  <c r="AN108" i="7"/>
  <c r="AO108" i="7"/>
  <c r="AQ108" i="7"/>
  <c r="AP108" i="7"/>
  <c r="AR108" i="7"/>
  <c r="AS108" i="7"/>
  <c r="AT108" i="7"/>
  <c r="AM108" i="7"/>
  <c r="AU108" i="7"/>
  <c r="AN104" i="7"/>
  <c r="AO104" i="7"/>
  <c r="AQ104" i="7"/>
  <c r="AP104" i="7"/>
  <c r="AR104" i="7"/>
  <c r="AS104" i="7"/>
  <c r="AT104" i="7"/>
  <c r="AM104" i="7"/>
  <c r="AU104" i="7"/>
  <c r="AN100" i="7"/>
  <c r="AO100" i="7"/>
  <c r="AQ100" i="7"/>
  <c r="AP100" i="7"/>
  <c r="AR100" i="7"/>
  <c r="AS100" i="7"/>
  <c r="AT100" i="7"/>
  <c r="AM100" i="7"/>
  <c r="AU100" i="7"/>
  <c r="AN96" i="7"/>
  <c r="AO96" i="7"/>
  <c r="AQ96" i="7"/>
  <c r="AP96" i="7"/>
  <c r="AR96" i="7"/>
  <c r="AS96" i="7"/>
  <c r="AT96" i="7"/>
  <c r="AM96" i="7"/>
  <c r="AU96" i="7"/>
  <c r="AO92" i="7"/>
  <c r="AN92" i="7"/>
  <c r="AQ92" i="7"/>
  <c r="AP92" i="7"/>
  <c r="AR92" i="7"/>
  <c r="AS92" i="7"/>
  <c r="AT92" i="7"/>
  <c r="AM92" i="7"/>
  <c r="AU92" i="7"/>
  <c r="AN88" i="7"/>
  <c r="AO88" i="7"/>
  <c r="AQ88" i="7"/>
  <c r="AP88" i="7"/>
  <c r="AR88" i="7"/>
  <c r="AS88" i="7"/>
  <c r="AT88" i="7"/>
  <c r="AM88" i="7"/>
  <c r="AU88" i="7"/>
  <c r="AN84" i="7"/>
  <c r="AO84" i="7"/>
  <c r="AQ84" i="7"/>
  <c r="AP84" i="7"/>
  <c r="AR84" i="7"/>
  <c r="AS84" i="7"/>
  <c r="AT84" i="7"/>
  <c r="AM84" i="7"/>
  <c r="AU84" i="7"/>
  <c r="AN80" i="7"/>
  <c r="AO80" i="7"/>
  <c r="AQ80" i="7"/>
  <c r="AP80" i="7"/>
  <c r="AR80" i="7"/>
  <c r="AS80" i="7"/>
  <c r="AT80" i="7"/>
  <c r="AM80" i="7"/>
  <c r="AU80" i="7"/>
  <c r="AN76" i="7"/>
  <c r="AO76" i="7"/>
  <c r="AQ76" i="7"/>
  <c r="AP76" i="7"/>
  <c r="AR76" i="7"/>
  <c r="AS76" i="7"/>
  <c r="AT76" i="7"/>
  <c r="AM76" i="7"/>
  <c r="AU76" i="7"/>
  <c r="AN72" i="7"/>
  <c r="AO72" i="7"/>
  <c r="AQ72" i="7"/>
  <c r="AP72" i="7"/>
  <c r="AR72" i="7"/>
  <c r="AS72" i="7"/>
  <c r="AT72" i="7"/>
  <c r="AM72" i="7"/>
  <c r="AU72" i="7"/>
  <c r="AN68" i="7"/>
  <c r="AO68" i="7"/>
  <c r="AQ68" i="7"/>
  <c r="AP68" i="7"/>
  <c r="AR68" i="7"/>
  <c r="AS68" i="7"/>
  <c r="AT68" i="7"/>
  <c r="AM68" i="7"/>
  <c r="AU68" i="7"/>
  <c r="AN64" i="7"/>
  <c r="AO64" i="7"/>
  <c r="AQ64" i="7"/>
  <c r="AP64" i="7"/>
  <c r="AR64" i="7"/>
  <c r="AS64" i="7"/>
  <c r="AT64" i="7"/>
  <c r="AM64" i="7"/>
  <c r="AU64" i="7"/>
  <c r="AO60" i="7"/>
  <c r="AN60" i="7"/>
  <c r="AQ60" i="7"/>
  <c r="AP60" i="7"/>
  <c r="AR60" i="7"/>
  <c r="AS60" i="7"/>
  <c r="AT60" i="7"/>
  <c r="AM60" i="7"/>
  <c r="AU60" i="7"/>
  <c r="AN56" i="7"/>
  <c r="AO56" i="7"/>
  <c r="AQ56" i="7"/>
  <c r="AP56" i="7"/>
  <c r="AR56" i="7"/>
  <c r="AS56" i="7"/>
  <c r="AT56" i="7"/>
  <c r="AM56" i="7"/>
  <c r="AU56" i="7"/>
  <c r="AN52" i="7"/>
  <c r="AO52" i="7"/>
  <c r="AQ52" i="7"/>
  <c r="AP52" i="7"/>
  <c r="AR52" i="7"/>
  <c r="AS52" i="7"/>
  <c r="AT52" i="7"/>
  <c r="AM52" i="7"/>
  <c r="AU52" i="7"/>
  <c r="AN48" i="7"/>
  <c r="AO48" i="7"/>
  <c r="AQ48" i="7"/>
  <c r="AP48" i="7"/>
  <c r="AR48" i="7"/>
  <c r="AS48" i="7"/>
  <c r="AT48" i="7"/>
  <c r="AM48" i="7"/>
  <c r="AU48" i="7"/>
  <c r="AN44" i="7"/>
  <c r="AO44" i="7"/>
  <c r="AQ44" i="7"/>
  <c r="AP44" i="7"/>
  <c r="AR44" i="7"/>
  <c r="AS44" i="7"/>
  <c r="AT44" i="7"/>
  <c r="AM44" i="7"/>
  <c r="AU44" i="7"/>
  <c r="AN40" i="7"/>
  <c r="AO40" i="7"/>
  <c r="AQ40" i="7"/>
  <c r="AP40" i="7"/>
  <c r="AR40" i="7"/>
  <c r="AT40" i="7"/>
  <c r="AS40" i="7"/>
  <c r="AM40" i="7"/>
  <c r="AU40" i="7"/>
  <c r="AN36" i="7"/>
  <c r="AO36" i="7"/>
  <c r="AQ36" i="7"/>
  <c r="AP36" i="7"/>
  <c r="AR36" i="7"/>
  <c r="AT36" i="7"/>
  <c r="AS36" i="7"/>
  <c r="AM36" i="7"/>
  <c r="AU36" i="7"/>
  <c r="AN32" i="7"/>
  <c r="AO32" i="7"/>
  <c r="AQ32" i="7"/>
  <c r="AP32" i="7"/>
  <c r="AR32" i="7"/>
  <c r="AT32" i="7"/>
  <c r="AS32" i="7"/>
  <c r="AM32" i="7"/>
  <c r="AU32" i="7"/>
  <c r="AO28" i="7"/>
  <c r="AN28" i="7"/>
  <c r="AQ28" i="7"/>
  <c r="AP28" i="7"/>
  <c r="AR28" i="7"/>
  <c r="AT28" i="7"/>
  <c r="AS28" i="7"/>
  <c r="AM28" i="7"/>
  <c r="AU28" i="7"/>
  <c r="AN24" i="7"/>
  <c r="AO24" i="7"/>
  <c r="AQ24" i="7"/>
  <c r="AP24" i="7"/>
  <c r="AR24" i="7"/>
  <c r="AT24" i="7"/>
  <c r="AS24" i="7"/>
  <c r="AM24" i="7"/>
  <c r="AU24" i="7"/>
  <c r="AN20" i="7"/>
  <c r="AO20" i="7"/>
  <c r="AQ20" i="7"/>
  <c r="AP20" i="7"/>
  <c r="AR20" i="7"/>
  <c r="AT20" i="7"/>
  <c r="AS20" i="7"/>
  <c r="AM20" i="7"/>
  <c r="AU20" i="7"/>
  <c r="AN16" i="7"/>
  <c r="AO16" i="7"/>
  <c r="AQ16" i="7"/>
  <c r="AP16" i="7"/>
  <c r="AR16" i="7"/>
  <c r="AT16" i="7"/>
  <c r="AS16" i="7"/>
  <c r="AM16" i="7"/>
  <c r="AU16" i="7"/>
  <c r="AN12" i="7"/>
  <c r="AO12" i="7"/>
  <c r="AQ12" i="7"/>
  <c r="AP12" i="7"/>
  <c r="AR12" i="7"/>
  <c r="AT12" i="7"/>
  <c r="AS12" i="7"/>
  <c r="AM12" i="7"/>
  <c r="AU12" i="7"/>
  <c r="AM500" i="7"/>
  <c r="AM496" i="7"/>
  <c r="AM492" i="7"/>
  <c r="AM488" i="7"/>
  <c r="AM484" i="7"/>
  <c r="AM480" i="7"/>
  <c r="AM476" i="7"/>
  <c r="AM472" i="7"/>
  <c r="AM468" i="7"/>
  <c r="AM464" i="7"/>
  <c r="AM460" i="7"/>
  <c r="AM456" i="7"/>
  <c r="AM452" i="7"/>
  <c r="AM448" i="7"/>
  <c r="AM444" i="7"/>
  <c r="AM440" i="7"/>
  <c r="AM436" i="7"/>
  <c r="AM432" i="7"/>
  <c r="AM428" i="7"/>
  <c r="AM424" i="7"/>
  <c r="AM420" i="7"/>
  <c r="AM416" i="7"/>
  <c r="C10" i="7" l="1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B6" i="7"/>
  <c r="B7" i="7"/>
  <c r="B8" i="7"/>
  <c r="B9" i="7"/>
  <c r="D8" i="2"/>
  <c r="C7" i="8" s="1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4" i="2"/>
  <c r="G7" i="7" l="1"/>
  <c r="K7" i="7"/>
  <c r="O7" i="7"/>
  <c r="S7" i="7"/>
  <c r="W7" i="7"/>
  <c r="AA7" i="7"/>
  <c r="AE7" i="7"/>
  <c r="AI7" i="7"/>
  <c r="F7" i="7"/>
  <c r="J7" i="7"/>
  <c r="N7" i="7"/>
  <c r="R7" i="7"/>
  <c r="V7" i="7"/>
  <c r="Z7" i="7"/>
  <c r="AD7" i="7"/>
  <c r="AH7" i="7"/>
  <c r="AL7" i="7"/>
  <c r="AK7" i="7"/>
  <c r="D7" i="7"/>
  <c r="E7" i="7"/>
  <c r="I7" i="7"/>
  <c r="M7" i="7"/>
  <c r="Q7" i="7"/>
  <c r="U7" i="7"/>
  <c r="Y7" i="7"/>
  <c r="AC7" i="7"/>
  <c r="AG7" i="7"/>
  <c r="H7" i="7"/>
  <c r="L7" i="7"/>
  <c r="P7" i="7"/>
  <c r="T7" i="7"/>
  <c r="X7" i="7"/>
  <c r="AB7" i="7"/>
  <c r="AF7" i="7"/>
  <c r="AJ7" i="7"/>
  <c r="A8" i="7"/>
  <c r="H8" i="7"/>
  <c r="L8" i="7"/>
  <c r="P8" i="7"/>
  <c r="T8" i="7"/>
  <c r="X8" i="7"/>
  <c r="AB8" i="7"/>
  <c r="AF8" i="7"/>
  <c r="AJ8" i="7"/>
  <c r="D8" i="7"/>
  <c r="G8" i="7"/>
  <c r="K8" i="7"/>
  <c r="O8" i="7"/>
  <c r="S8" i="7"/>
  <c r="W8" i="7"/>
  <c r="AA8" i="7"/>
  <c r="AE8" i="7"/>
  <c r="AI8" i="7"/>
  <c r="F8" i="7"/>
  <c r="J8" i="7"/>
  <c r="N8" i="7"/>
  <c r="R8" i="7"/>
  <c r="V8" i="7"/>
  <c r="Z8" i="7"/>
  <c r="AD8" i="7"/>
  <c r="AH8" i="7"/>
  <c r="AL8" i="7"/>
  <c r="E8" i="7"/>
  <c r="I8" i="7"/>
  <c r="M8" i="7"/>
  <c r="Q8" i="7"/>
  <c r="U8" i="7"/>
  <c r="Y8" i="7"/>
  <c r="AC8" i="7"/>
  <c r="AG8" i="7"/>
  <c r="AK8" i="7"/>
  <c r="C8" i="7"/>
  <c r="C7" i="7"/>
  <c r="E9" i="7"/>
  <c r="I9" i="7"/>
  <c r="M9" i="7"/>
  <c r="Q9" i="7"/>
  <c r="U9" i="7"/>
  <c r="Y9" i="7"/>
  <c r="AC9" i="7"/>
  <c r="AG9" i="7"/>
  <c r="AK9" i="7"/>
  <c r="AL9" i="7"/>
  <c r="H9" i="7"/>
  <c r="L9" i="7"/>
  <c r="P9" i="7"/>
  <c r="T9" i="7"/>
  <c r="X9" i="7"/>
  <c r="AB9" i="7"/>
  <c r="AF9" i="7"/>
  <c r="AJ9" i="7"/>
  <c r="D9" i="7"/>
  <c r="G9" i="7"/>
  <c r="K9" i="7"/>
  <c r="O9" i="7"/>
  <c r="S9" i="7"/>
  <c r="W9" i="7"/>
  <c r="AA9" i="7"/>
  <c r="AE9" i="7"/>
  <c r="AI9" i="7"/>
  <c r="F9" i="7"/>
  <c r="J9" i="7"/>
  <c r="N9" i="7"/>
  <c r="R9" i="7"/>
  <c r="V9" i="7"/>
  <c r="Z9" i="7"/>
  <c r="AD9" i="7"/>
  <c r="AH9" i="7"/>
  <c r="A7" i="7"/>
  <c r="A9" i="7"/>
  <c r="A6" i="7"/>
  <c r="C6" i="7"/>
  <c r="D6" i="7"/>
  <c r="F6" i="7"/>
  <c r="D4" i="1" s="1" a="1"/>
  <c r="D4" i="1" s="1"/>
  <c r="J6" i="7"/>
  <c r="D8" i="1" s="1" a="1"/>
  <c r="D8" i="1" s="1"/>
  <c r="N6" i="7"/>
  <c r="D12" i="1" s="1" a="1"/>
  <c r="D12" i="1" s="1"/>
  <c r="R6" i="7"/>
  <c r="D16" i="1" s="1" a="1"/>
  <c r="D16" i="1" s="1"/>
  <c r="V6" i="7"/>
  <c r="D20" i="1" s="1" a="1"/>
  <c r="D20" i="1" s="1"/>
  <c r="Z6" i="7"/>
  <c r="D24" i="1" s="1" a="1"/>
  <c r="D24" i="1" s="1"/>
  <c r="AD6" i="7"/>
  <c r="D28" i="1" s="1" a="1"/>
  <c r="D28" i="1" s="1"/>
  <c r="AH6" i="7"/>
  <c r="D32" i="1" s="1" a="1"/>
  <c r="D32" i="1" s="1"/>
  <c r="AL6" i="7"/>
  <c r="D36" i="1" s="1" a="1"/>
  <c r="D36" i="1" s="1"/>
  <c r="E6" i="7"/>
  <c r="D3" i="1" s="1" a="1"/>
  <c r="D3" i="1" s="1"/>
  <c r="I6" i="7"/>
  <c r="D7" i="1" s="1" a="1"/>
  <c r="D7" i="1" s="1"/>
  <c r="M6" i="7"/>
  <c r="D11" i="1" s="1" a="1"/>
  <c r="D11" i="1" s="1"/>
  <c r="Q6" i="7"/>
  <c r="D15" i="1" s="1" a="1"/>
  <c r="D15" i="1" s="1"/>
  <c r="U6" i="7"/>
  <c r="D19" i="1" s="1" a="1"/>
  <c r="D19" i="1" s="1"/>
  <c r="Y6" i="7"/>
  <c r="D23" i="1" s="1" a="1"/>
  <c r="D23" i="1" s="1"/>
  <c r="AC6" i="7"/>
  <c r="D27" i="1" s="1" a="1"/>
  <c r="D27" i="1" s="1"/>
  <c r="AG6" i="7"/>
  <c r="D31" i="1" s="1" a="1"/>
  <c r="D31" i="1" s="1"/>
  <c r="AK6" i="7"/>
  <c r="D35" i="1" s="1" a="1"/>
  <c r="D35" i="1" s="1"/>
  <c r="H6" i="7"/>
  <c r="D6" i="1" s="1" a="1"/>
  <c r="D6" i="1" s="1"/>
  <c r="L6" i="7"/>
  <c r="D10" i="1" s="1" a="1"/>
  <c r="D10" i="1" s="1"/>
  <c r="P6" i="7"/>
  <c r="D14" i="1" s="1" a="1"/>
  <c r="D14" i="1" s="1"/>
  <c r="T6" i="7"/>
  <c r="D18" i="1" s="1" a="1"/>
  <c r="D18" i="1" s="1"/>
  <c r="X6" i="7"/>
  <c r="D22" i="1" s="1" a="1"/>
  <c r="D22" i="1" s="1"/>
  <c r="AB6" i="7"/>
  <c r="D26" i="1" s="1" a="1"/>
  <c r="D26" i="1" s="1"/>
  <c r="AF6" i="7"/>
  <c r="D30" i="1" s="1" a="1"/>
  <c r="D30" i="1" s="1"/>
  <c r="AJ6" i="7"/>
  <c r="D34" i="1" s="1" a="1"/>
  <c r="D34" i="1" s="1"/>
  <c r="G6" i="7"/>
  <c r="D5" i="1" s="1" a="1"/>
  <c r="D5" i="1" s="1"/>
  <c r="K6" i="7"/>
  <c r="D9" i="1" s="1" a="1"/>
  <c r="D9" i="1" s="1"/>
  <c r="O6" i="7"/>
  <c r="D13" i="1" s="1" a="1"/>
  <c r="D13" i="1" s="1"/>
  <c r="S6" i="7"/>
  <c r="D17" i="1" s="1" a="1"/>
  <c r="D17" i="1" s="1"/>
  <c r="W6" i="7"/>
  <c r="D21" i="1" s="1" a="1"/>
  <c r="D21" i="1" s="1"/>
  <c r="AA6" i="7"/>
  <c r="D25" i="1" s="1" a="1"/>
  <c r="D25" i="1" s="1"/>
  <c r="AE6" i="7"/>
  <c r="D29" i="1" s="1" a="1"/>
  <c r="D29" i="1" s="1"/>
  <c r="AI6" i="7"/>
  <c r="D33" i="1" s="1" a="1"/>
  <c r="D33" i="1" s="1"/>
  <c r="C9" i="7"/>
  <c r="BD8" i="7"/>
  <c r="BD9" i="7"/>
  <c r="BD7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A25" i="7" s="1"/>
  <c r="B26" i="7"/>
  <c r="A26" i="7" s="1"/>
  <c r="B27" i="7"/>
  <c r="A27" i="7" s="1"/>
  <c r="B28" i="7"/>
  <c r="A28" i="7" s="1"/>
  <c r="B29" i="7"/>
  <c r="A29" i="7" s="1"/>
  <c r="B30" i="7"/>
  <c r="A30" i="7" s="1"/>
  <c r="B31" i="7"/>
  <c r="A31" i="7" s="1"/>
  <c r="B32" i="7"/>
  <c r="A32" i="7" s="1"/>
  <c r="B33" i="7"/>
  <c r="A33" i="7" s="1"/>
  <c r="B34" i="7"/>
  <c r="A34" i="7" s="1"/>
  <c r="B35" i="7"/>
  <c r="A35" i="7" s="1"/>
  <c r="B36" i="7"/>
  <c r="A36" i="7" s="1"/>
  <c r="B37" i="7"/>
  <c r="A37" i="7" s="1"/>
  <c r="B38" i="7"/>
  <c r="A38" i="7" s="1"/>
  <c r="B39" i="7"/>
  <c r="A39" i="7" s="1"/>
  <c r="B40" i="7"/>
  <c r="A40" i="7" s="1"/>
  <c r="B41" i="7"/>
  <c r="A41" i="7" s="1"/>
  <c r="B42" i="7"/>
  <c r="A42" i="7" s="1"/>
  <c r="B43" i="7"/>
  <c r="A43" i="7" s="1"/>
  <c r="B44" i="7"/>
  <c r="A44" i="7" s="1"/>
  <c r="B45" i="7"/>
  <c r="A45" i="7" s="1"/>
  <c r="B46" i="7"/>
  <c r="A46" i="7" s="1"/>
  <c r="B47" i="7"/>
  <c r="A47" i="7" s="1"/>
  <c r="B48" i="7"/>
  <c r="A48" i="7" s="1"/>
  <c r="B49" i="7"/>
  <c r="A49" i="7" s="1"/>
  <c r="B50" i="7"/>
  <c r="A50" i="7" s="1"/>
  <c r="B51" i="7"/>
  <c r="A51" i="7" s="1"/>
  <c r="B52" i="7"/>
  <c r="A52" i="7" s="1"/>
  <c r="B53" i="7"/>
  <c r="A53" i="7" s="1"/>
  <c r="B54" i="7"/>
  <c r="A54" i="7" s="1"/>
  <c r="B55" i="7"/>
  <c r="A55" i="7" s="1"/>
  <c r="B56" i="7"/>
  <c r="A56" i="7" s="1"/>
  <c r="B57" i="7"/>
  <c r="A57" i="7" s="1"/>
  <c r="B58" i="7"/>
  <c r="A58" i="7" s="1"/>
  <c r="B59" i="7"/>
  <c r="A59" i="7" s="1"/>
  <c r="B60" i="7"/>
  <c r="A60" i="7" s="1"/>
  <c r="B61" i="7"/>
  <c r="A61" i="7" s="1"/>
  <c r="B62" i="7"/>
  <c r="A62" i="7" s="1"/>
  <c r="B63" i="7"/>
  <c r="A63" i="7" s="1"/>
  <c r="B64" i="7"/>
  <c r="A64" i="7" s="1"/>
  <c r="B65" i="7"/>
  <c r="A65" i="7" s="1"/>
  <c r="B66" i="7"/>
  <c r="A66" i="7" s="1"/>
  <c r="B67" i="7"/>
  <c r="A67" i="7" s="1"/>
  <c r="B68" i="7"/>
  <c r="A68" i="7" s="1"/>
  <c r="B69" i="7"/>
  <c r="A69" i="7" s="1"/>
  <c r="B70" i="7"/>
  <c r="A70" i="7" s="1"/>
  <c r="B71" i="7"/>
  <c r="A71" i="7" s="1"/>
  <c r="B72" i="7"/>
  <c r="A72" i="7" s="1"/>
  <c r="B73" i="7"/>
  <c r="A73" i="7" s="1"/>
  <c r="B74" i="7"/>
  <c r="A74" i="7" s="1"/>
  <c r="B75" i="7"/>
  <c r="A75" i="7" s="1"/>
  <c r="B76" i="7"/>
  <c r="A76" i="7" s="1"/>
  <c r="B77" i="7"/>
  <c r="A77" i="7" s="1"/>
  <c r="B78" i="7"/>
  <c r="A78" i="7" s="1"/>
  <c r="B79" i="7"/>
  <c r="A79" i="7" s="1"/>
  <c r="B80" i="7"/>
  <c r="A80" i="7" s="1"/>
  <c r="B81" i="7"/>
  <c r="A81" i="7" s="1"/>
  <c r="B82" i="7"/>
  <c r="A82" i="7" s="1"/>
  <c r="B83" i="7"/>
  <c r="A83" i="7" s="1"/>
  <c r="B84" i="7"/>
  <c r="A84" i="7" s="1"/>
  <c r="B85" i="7"/>
  <c r="A85" i="7" s="1"/>
  <c r="B86" i="7"/>
  <c r="A86" i="7" s="1"/>
  <c r="B87" i="7"/>
  <c r="A87" i="7" s="1"/>
  <c r="B88" i="7"/>
  <c r="A88" i="7" s="1"/>
  <c r="B89" i="7"/>
  <c r="A89" i="7" s="1"/>
  <c r="B90" i="7"/>
  <c r="A90" i="7" s="1"/>
  <c r="B91" i="7"/>
  <c r="A91" i="7" s="1"/>
  <c r="B92" i="7"/>
  <c r="A92" i="7" s="1"/>
  <c r="B93" i="7"/>
  <c r="A93" i="7" s="1"/>
  <c r="B94" i="7"/>
  <c r="A94" i="7" s="1"/>
  <c r="B95" i="7"/>
  <c r="A95" i="7" s="1"/>
  <c r="B96" i="7"/>
  <c r="A96" i="7" s="1"/>
  <c r="B97" i="7"/>
  <c r="A97" i="7" s="1"/>
  <c r="B98" i="7"/>
  <c r="A98" i="7" s="1"/>
  <c r="B99" i="7"/>
  <c r="A99" i="7" s="1"/>
  <c r="B100" i="7"/>
  <c r="A100" i="7" s="1"/>
  <c r="B101" i="7"/>
  <c r="A101" i="7" s="1"/>
  <c r="B102" i="7"/>
  <c r="A102" i="7" s="1"/>
  <c r="B103" i="7"/>
  <c r="A103" i="7" s="1"/>
  <c r="B104" i="7"/>
  <c r="A104" i="7" s="1"/>
  <c r="B105" i="7"/>
  <c r="A105" i="7" s="1"/>
  <c r="B106" i="7"/>
  <c r="A106" i="7" s="1"/>
  <c r="B107" i="7"/>
  <c r="A107" i="7" s="1"/>
  <c r="B108" i="7"/>
  <c r="A108" i="7" s="1"/>
  <c r="B109" i="7"/>
  <c r="A109" i="7" s="1"/>
  <c r="B110" i="7"/>
  <c r="A110" i="7" s="1"/>
  <c r="B111" i="7"/>
  <c r="A111" i="7" s="1"/>
  <c r="B112" i="7"/>
  <c r="A112" i="7" s="1"/>
  <c r="B113" i="7"/>
  <c r="A113" i="7" s="1"/>
  <c r="B114" i="7"/>
  <c r="A114" i="7" s="1"/>
  <c r="B115" i="7"/>
  <c r="A115" i="7" s="1"/>
  <c r="B116" i="7"/>
  <c r="A116" i="7" s="1"/>
  <c r="B117" i="7"/>
  <c r="A117" i="7" s="1"/>
  <c r="B118" i="7"/>
  <c r="A118" i="7" s="1"/>
  <c r="B119" i="7"/>
  <c r="A119" i="7" s="1"/>
  <c r="B120" i="7"/>
  <c r="A120" i="7" s="1"/>
  <c r="B121" i="7"/>
  <c r="A121" i="7" s="1"/>
  <c r="B122" i="7"/>
  <c r="A122" i="7" s="1"/>
  <c r="B123" i="7"/>
  <c r="A123" i="7" s="1"/>
  <c r="B124" i="7"/>
  <c r="A124" i="7" s="1"/>
  <c r="B125" i="7"/>
  <c r="A125" i="7" s="1"/>
  <c r="B126" i="7"/>
  <c r="A126" i="7" s="1"/>
  <c r="B127" i="7"/>
  <c r="A127" i="7" s="1"/>
  <c r="B128" i="7"/>
  <c r="A128" i="7" s="1"/>
  <c r="B129" i="7"/>
  <c r="A129" i="7" s="1"/>
  <c r="B130" i="7"/>
  <c r="A130" i="7" s="1"/>
  <c r="B131" i="7"/>
  <c r="A131" i="7" s="1"/>
  <c r="B132" i="7"/>
  <c r="A132" i="7" s="1"/>
  <c r="B133" i="7"/>
  <c r="A133" i="7" s="1"/>
  <c r="B134" i="7"/>
  <c r="A134" i="7" s="1"/>
  <c r="B135" i="7"/>
  <c r="A135" i="7" s="1"/>
  <c r="B136" i="7"/>
  <c r="A136" i="7" s="1"/>
  <c r="B137" i="7"/>
  <c r="A137" i="7" s="1"/>
  <c r="B138" i="7"/>
  <c r="A138" i="7" s="1"/>
  <c r="B139" i="7"/>
  <c r="A139" i="7" s="1"/>
  <c r="B140" i="7"/>
  <c r="A140" i="7" s="1"/>
  <c r="B141" i="7"/>
  <c r="A141" i="7" s="1"/>
  <c r="B142" i="7"/>
  <c r="A142" i="7" s="1"/>
  <c r="B143" i="7"/>
  <c r="A143" i="7" s="1"/>
  <c r="B144" i="7"/>
  <c r="A144" i="7" s="1"/>
  <c r="B145" i="7"/>
  <c r="A145" i="7" s="1"/>
  <c r="B146" i="7"/>
  <c r="A146" i="7" s="1"/>
  <c r="B147" i="7"/>
  <c r="A147" i="7" s="1"/>
  <c r="B148" i="7"/>
  <c r="A148" i="7" s="1"/>
  <c r="B149" i="7"/>
  <c r="A149" i="7" s="1"/>
  <c r="B150" i="7"/>
  <c r="A150" i="7" s="1"/>
  <c r="B151" i="7"/>
  <c r="A151" i="7" s="1"/>
  <c r="B152" i="7"/>
  <c r="A152" i="7" s="1"/>
  <c r="B153" i="7"/>
  <c r="A153" i="7" s="1"/>
  <c r="B154" i="7"/>
  <c r="A154" i="7" s="1"/>
  <c r="B155" i="7"/>
  <c r="A155" i="7" s="1"/>
  <c r="B156" i="7"/>
  <c r="A156" i="7" s="1"/>
  <c r="B157" i="7"/>
  <c r="A157" i="7" s="1"/>
  <c r="B158" i="7"/>
  <c r="A158" i="7" s="1"/>
  <c r="B159" i="7"/>
  <c r="A159" i="7" s="1"/>
  <c r="B160" i="7"/>
  <c r="A160" i="7" s="1"/>
  <c r="B161" i="7"/>
  <c r="A161" i="7" s="1"/>
  <c r="B162" i="7"/>
  <c r="A162" i="7" s="1"/>
  <c r="B163" i="7"/>
  <c r="A163" i="7" s="1"/>
  <c r="B164" i="7"/>
  <c r="A164" i="7" s="1"/>
  <c r="B165" i="7"/>
  <c r="A165" i="7" s="1"/>
  <c r="B166" i="7"/>
  <c r="A166" i="7" s="1"/>
  <c r="B167" i="7"/>
  <c r="A167" i="7" s="1"/>
  <c r="B168" i="7"/>
  <c r="A168" i="7" s="1"/>
  <c r="B169" i="7"/>
  <c r="A169" i="7" s="1"/>
  <c r="B170" i="7"/>
  <c r="A170" i="7" s="1"/>
  <c r="B171" i="7"/>
  <c r="A171" i="7" s="1"/>
  <c r="B172" i="7"/>
  <c r="A172" i="7" s="1"/>
  <c r="B173" i="7"/>
  <c r="A173" i="7" s="1"/>
  <c r="B174" i="7"/>
  <c r="A174" i="7" s="1"/>
  <c r="B175" i="7"/>
  <c r="A175" i="7" s="1"/>
  <c r="B176" i="7"/>
  <c r="A176" i="7" s="1"/>
  <c r="B177" i="7"/>
  <c r="A177" i="7" s="1"/>
  <c r="B178" i="7"/>
  <c r="A178" i="7" s="1"/>
  <c r="B179" i="7"/>
  <c r="A179" i="7" s="1"/>
  <c r="B180" i="7"/>
  <c r="A180" i="7" s="1"/>
  <c r="B181" i="7"/>
  <c r="A181" i="7" s="1"/>
  <c r="B182" i="7"/>
  <c r="A182" i="7" s="1"/>
  <c r="B183" i="7"/>
  <c r="A183" i="7" s="1"/>
  <c r="B184" i="7"/>
  <c r="A184" i="7" s="1"/>
  <c r="B185" i="7"/>
  <c r="A185" i="7" s="1"/>
  <c r="B186" i="7"/>
  <c r="A186" i="7" s="1"/>
  <c r="B187" i="7"/>
  <c r="A187" i="7" s="1"/>
  <c r="B188" i="7"/>
  <c r="A188" i="7" s="1"/>
  <c r="B189" i="7"/>
  <c r="A189" i="7" s="1"/>
  <c r="B190" i="7"/>
  <c r="A190" i="7" s="1"/>
  <c r="B191" i="7"/>
  <c r="A191" i="7" s="1"/>
  <c r="B192" i="7"/>
  <c r="A192" i="7" s="1"/>
  <c r="B193" i="7"/>
  <c r="A193" i="7" s="1"/>
  <c r="B194" i="7"/>
  <c r="A194" i="7" s="1"/>
  <c r="B195" i="7"/>
  <c r="A195" i="7" s="1"/>
  <c r="B196" i="7"/>
  <c r="A196" i="7" s="1"/>
  <c r="B197" i="7"/>
  <c r="A197" i="7" s="1"/>
  <c r="B198" i="7"/>
  <c r="A198" i="7" s="1"/>
  <c r="B199" i="7"/>
  <c r="A199" i="7" s="1"/>
  <c r="B200" i="7"/>
  <c r="A200" i="7" s="1"/>
  <c r="B201" i="7"/>
  <c r="A201" i="7" s="1"/>
  <c r="B202" i="7"/>
  <c r="A202" i="7" s="1"/>
  <c r="B203" i="7"/>
  <c r="A203" i="7" s="1"/>
  <c r="B204" i="7"/>
  <c r="A204" i="7" s="1"/>
  <c r="B205" i="7"/>
  <c r="A205" i="7" s="1"/>
  <c r="B206" i="7"/>
  <c r="A206" i="7" s="1"/>
  <c r="B207" i="7"/>
  <c r="A207" i="7" s="1"/>
  <c r="B208" i="7"/>
  <c r="A208" i="7" s="1"/>
  <c r="B209" i="7"/>
  <c r="A209" i="7" s="1"/>
  <c r="B210" i="7"/>
  <c r="A210" i="7" s="1"/>
  <c r="B211" i="7"/>
  <c r="A211" i="7" s="1"/>
  <c r="B212" i="7"/>
  <c r="A212" i="7" s="1"/>
  <c r="B213" i="7"/>
  <c r="A213" i="7" s="1"/>
  <c r="B214" i="7"/>
  <c r="A214" i="7" s="1"/>
  <c r="B215" i="7"/>
  <c r="A215" i="7" s="1"/>
  <c r="B216" i="7"/>
  <c r="A216" i="7" s="1"/>
  <c r="B217" i="7"/>
  <c r="A217" i="7" s="1"/>
  <c r="B218" i="7"/>
  <c r="A218" i="7" s="1"/>
  <c r="B219" i="7"/>
  <c r="A219" i="7" s="1"/>
  <c r="B220" i="7"/>
  <c r="A220" i="7" s="1"/>
  <c r="B221" i="7"/>
  <c r="A221" i="7" s="1"/>
  <c r="B222" i="7"/>
  <c r="A222" i="7" s="1"/>
  <c r="B223" i="7"/>
  <c r="A223" i="7" s="1"/>
  <c r="B224" i="7"/>
  <c r="A224" i="7" s="1"/>
  <c r="B225" i="7"/>
  <c r="A225" i="7" s="1"/>
  <c r="B226" i="7"/>
  <c r="A226" i="7" s="1"/>
  <c r="B227" i="7"/>
  <c r="A227" i="7" s="1"/>
  <c r="B228" i="7"/>
  <c r="A228" i="7" s="1"/>
  <c r="B229" i="7"/>
  <c r="A229" i="7" s="1"/>
  <c r="B230" i="7"/>
  <c r="A230" i="7" s="1"/>
  <c r="B231" i="7"/>
  <c r="A231" i="7" s="1"/>
  <c r="B232" i="7"/>
  <c r="A232" i="7" s="1"/>
  <c r="B233" i="7"/>
  <c r="A233" i="7" s="1"/>
  <c r="B234" i="7"/>
  <c r="A234" i="7" s="1"/>
  <c r="B235" i="7"/>
  <c r="A235" i="7" s="1"/>
  <c r="B236" i="7"/>
  <c r="A236" i="7" s="1"/>
  <c r="B237" i="7"/>
  <c r="A237" i="7" s="1"/>
  <c r="B238" i="7"/>
  <c r="A238" i="7" s="1"/>
  <c r="B239" i="7"/>
  <c r="A239" i="7" s="1"/>
  <c r="B240" i="7"/>
  <c r="A240" i="7" s="1"/>
  <c r="B241" i="7"/>
  <c r="A241" i="7" s="1"/>
  <c r="B242" i="7"/>
  <c r="A242" i="7" s="1"/>
  <c r="B243" i="7"/>
  <c r="A243" i="7" s="1"/>
  <c r="B244" i="7"/>
  <c r="A244" i="7" s="1"/>
  <c r="B245" i="7"/>
  <c r="A245" i="7" s="1"/>
  <c r="B246" i="7"/>
  <c r="A246" i="7" s="1"/>
  <c r="B247" i="7"/>
  <c r="A247" i="7" s="1"/>
  <c r="B248" i="7"/>
  <c r="A248" i="7" s="1"/>
  <c r="B249" i="7"/>
  <c r="A249" i="7" s="1"/>
  <c r="B250" i="7"/>
  <c r="A250" i="7" s="1"/>
  <c r="B251" i="7"/>
  <c r="A251" i="7" s="1"/>
  <c r="B252" i="7"/>
  <c r="A252" i="7" s="1"/>
  <c r="B253" i="7"/>
  <c r="A253" i="7" s="1"/>
  <c r="B254" i="7"/>
  <c r="A254" i="7" s="1"/>
  <c r="B255" i="7"/>
  <c r="A255" i="7" s="1"/>
  <c r="B256" i="7"/>
  <c r="A256" i="7" s="1"/>
  <c r="B257" i="7"/>
  <c r="A257" i="7" s="1"/>
  <c r="B258" i="7"/>
  <c r="A258" i="7" s="1"/>
  <c r="B259" i="7"/>
  <c r="A259" i="7" s="1"/>
  <c r="B260" i="7"/>
  <c r="A260" i="7" s="1"/>
  <c r="B261" i="7"/>
  <c r="A261" i="7" s="1"/>
  <c r="B262" i="7"/>
  <c r="A262" i="7" s="1"/>
  <c r="B263" i="7"/>
  <c r="A263" i="7" s="1"/>
  <c r="B264" i="7"/>
  <c r="A264" i="7" s="1"/>
  <c r="B265" i="7"/>
  <c r="A265" i="7" s="1"/>
  <c r="B266" i="7"/>
  <c r="A266" i="7" s="1"/>
  <c r="B267" i="7"/>
  <c r="A267" i="7" s="1"/>
  <c r="B268" i="7"/>
  <c r="A268" i="7" s="1"/>
  <c r="B269" i="7"/>
  <c r="A269" i="7" s="1"/>
  <c r="B270" i="7"/>
  <c r="A270" i="7" s="1"/>
  <c r="B271" i="7"/>
  <c r="A271" i="7" s="1"/>
  <c r="B272" i="7"/>
  <c r="A272" i="7" s="1"/>
  <c r="B273" i="7"/>
  <c r="A273" i="7" s="1"/>
  <c r="B274" i="7"/>
  <c r="A274" i="7" s="1"/>
  <c r="B275" i="7"/>
  <c r="A275" i="7" s="1"/>
  <c r="B276" i="7"/>
  <c r="A276" i="7" s="1"/>
  <c r="B277" i="7"/>
  <c r="A277" i="7" s="1"/>
  <c r="B278" i="7"/>
  <c r="A278" i="7" s="1"/>
  <c r="B279" i="7"/>
  <c r="A279" i="7" s="1"/>
  <c r="B280" i="7"/>
  <c r="A280" i="7" s="1"/>
  <c r="B281" i="7"/>
  <c r="A281" i="7" s="1"/>
  <c r="B282" i="7"/>
  <c r="A282" i="7" s="1"/>
  <c r="B283" i="7"/>
  <c r="A283" i="7" s="1"/>
  <c r="B284" i="7"/>
  <c r="A284" i="7" s="1"/>
  <c r="B285" i="7"/>
  <c r="A285" i="7" s="1"/>
  <c r="B286" i="7"/>
  <c r="A286" i="7" s="1"/>
  <c r="B287" i="7"/>
  <c r="A287" i="7" s="1"/>
  <c r="B288" i="7"/>
  <c r="A288" i="7" s="1"/>
  <c r="B289" i="7"/>
  <c r="A289" i="7" s="1"/>
  <c r="B290" i="7"/>
  <c r="A290" i="7" s="1"/>
  <c r="B291" i="7"/>
  <c r="A291" i="7" s="1"/>
  <c r="B292" i="7"/>
  <c r="A292" i="7" s="1"/>
  <c r="B293" i="7"/>
  <c r="A293" i="7" s="1"/>
  <c r="B294" i="7"/>
  <c r="A294" i="7" s="1"/>
  <c r="B295" i="7"/>
  <c r="A295" i="7" s="1"/>
  <c r="B296" i="7"/>
  <c r="A296" i="7" s="1"/>
  <c r="B297" i="7"/>
  <c r="A297" i="7" s="1"/>
  <c r="B298" i="7"/>
  <c r="A298" i="7" s="1"/>
  <c r="B299" i="7"/>
  <c r="A299" i="7" s="1"/>
  <c r="B300" i="7"/>
  <c r="A300" i="7" s="1"/>
  <c r="B301" i="7"/>
  <c r="A301" i="7" s="1"/>
  <c r="B302" i="7"/>
  <c r="A302" i="7" s="1"/>
  <c r="B303" i="7"/>
  <c r="A303" i="7" s="1"/>
  <c r="B304" i="7"/>
  <c r="A304" i="7" s="1"/>
  <c r="B305" i="7"/>
  <c r="A305" i="7" s="1"/>
  <c r="B306" i="7"/>
  <c r="A306" i="7" s="1"/>
  <c r="B307" i="7"/>
  <c r="A307" i="7" s="1"/>
  <c r="B308" i="7"/>
  <c r="A308" i="7" s="1"/>
  <c r="B309" i="7"/>
  <c r="A309" i="7" s="1"/>
  <c r="B310" i="7"/>
  <c r="A310" i="7" s="1"/>
  <c r="B311" i="7"/>
  <c r="A311" i="7" s="1"/>
  <c r="B312" i="7"/>
  <c r="A312" i="7" s="1"/>
  <c r="B313" i="7"/>
  <c r="A313" i="7" s="1"/>
  <c r="B314" i="7"/>
  <c r="A314" i="7" s="1"/>
  <c r="B315" i="7"/>
  <c r="A315" i="7" s="1"/>
  <c r="B316" i="7"/>
  <c r="A316" i="7" s="1"/>
  <c r="B317" i="7"/>
  <c r="A317" i="7" s="1"/>
  <c r="B318" i="7"/>
  <c r="A318" i="7" s="1"/>
  <c r="B319" i="7"/>
  <c r="A319" i="7" s="1"/>
  <c r="B320" i="7"/>
  <c r="A320" i="7" s="1"/>
  <c r="B321" i="7"/>
  <c r="A321" i="7" s="1"/>
  <c r="B322" i="7"/>
  <c r="A322" i="7" s="1"/>
  <c r="B323" i="7"/>
  <c r="A323" i="7" s="1"/>
  <c r="B324" i="7"/>
  <c r="A324" i="7" s="1"/>
  <c r="B325" i="7"/>
  <c r="A325" i="7" s="1"/>
  <c r="B326" i="7"/>
  <c r="A326" i="7" s="1"/>
  <c r="B327" i="7"/>
  <c r="A327" i="7" s="1"/>
  <c r="B328" i="7"/>
  <c r="A328" i="7" s="1"/>
  <c r="B329" i="7"/>
  <c r="A329" i="7" s="1"/>
  <c r="B330" i="7"/>
  <c r="A330" i="7" s="1"/>
  <c r="B331" i="7"/>
  <c r="A331" i="7" s="1"/>
  <c r="B332" i="7"/>
  <c r="A332" i="7" s="1"/>
  <c r="B333" i="7"/>
  <c r="A333" i="7" s="1"/>
  <c r="B334" i="7"/>
  <c r="A334" i="7" s="1"/>
  <c r="B335" i="7"/>
  <c r="A335" i="7" s="1"/>
  <c r="B336" i="7"/>
  <c r="A336" i="7" s="1"/>
  <c r="B337" i="7"/>
  <c r="A337" i="7" s="1"/>
  <c r="B338" i="7"/>
  <c r="A338" i="7" s="1"/>
  <c r="B339" i="7"/>
  <c r="A339" i="7" s="1"/>
  <c r="B340" i="7"/>
  <c r="A340" i="7" s="1"/>
  <c r="B341" i="7"/>
  <c r="A341" i="7" s="1"/>
  <c r="B342" i="7"/>
  <c r="A342" i="7" s="1"/>
  <c r="B343" i="7"/>
  <c r="A343" i="7" s="1"/>
  <c r="B344" i="7"/>
  <c r="A344" i="7" s="1"/>
  <c r="B345" i="7"/>
  <c r="A345" i="7" s="1"/>
  <c r="B346" i="7"/>
  <c r="A346" i="7" s="1"/>
  <c r="B347" i="7"/>
  <c r="A347" i="7" s="1"/>
  <c r="B348" i="7"/>
  <c r="A348" i="7" s="1"/>
  <c r="B349" i="7"/>
  <c r="A349" i="7" s="1"/>
  <c r="B350" i="7"/>
  <c r="A350" i="7" s="1"/>
  <c r="B351" i="7"/>
  <c r="A351" i="7" s="1"/>
  <c r="B352" i="7"/>
  <c r="A352" i="7" s="1"/>
  <c r="B353" i="7"/>
  <c r="A353" i="7" s="1"/>
  <c r="B354" i="7"/>
  <c r="A354" i="7" s="1"/>
  <c r="B355" i="7"/>
  <c r="A355" i="7" s="1"/>
  <c r="B356" i="7"/>
  <c r="A356" i="7" s="1"/>
  <c r="B357" i="7"/>
  <c r="A357" i="7" s="1"/>
  <c r="B358" i="7"/>
  <c r="A358" i="7" s="1"/>
  <c r="B359" i="7"/>
  <c r="A359" i="7" s="1"/>
  <c r="B360" i="7"/>
  <c r="A360" i="7" s="1"/>
  <c r="B361" i="7"/>
  <c r="A361" i="7" s="1"/>
  <c r="B362" i="7"/>
  <c r="A362" i="7" s="1"/>
  <c r="B363" i="7"/>
  <c r="A363" i="7" s="1"/>
  <c r="B364" i="7"/>
  <c r="A364" i="7" s="1"/>
  <c r="B365" i="7"/>
  <c r="A365" i="7" s="1"/>
  <c r="B366" i="7"/>
  <c r="A366" i="7" s="1"/>
  <c r="B367" i="7"/>
  <c r="A367" i="7" s="1"/>
  <c r="B368" i="7"/>
  <c r="A368" i="7" s="1"/>
  <c r="B369" i="7"/>
  <c r="A369" i="7" s="1"/>
  <c r="B370" i="7"/>
  <c r="A370" i="7" s="1"/>
  <c r="B371" i="7"/>
  <c r="A371" i="7" s="1"/>
  <c r="B372" i="7"/>
  <c r="A372" i="7" s="1"/>
  <c r="B373" i="7"/>
  <c r="A373" i="7" s="1"/>
  <c r="B374" i="7"/>
  <c r="A374" i="7" s="1"/>
  <c r="B375" i="7"/>
  <c r="A375" i="7" s="1"/>
  <c r="B376" i="7"/>
  <c r="A376" i="7" s="1"/>
  <c r="B377" i="7"/>
  <c r="A377" i="7" s="1"/>
  <c r="B378" i="7"/>
  <c r="A378" i="7" s="1"/>
  <c r="B379" i="7"/>
  <c r="A379" i="7" s="1"/>
  <c r="B380" i="7"/>
  <c r="A380" i="7" s="1"/>
  <c r="B381" i="7"/>
  <c r="A381" i="7" s="1"/>
  <c r="B382" i="7"/>
  <c r="A382" i="7" s="1"/>
  <c r="B383" i="7"/>
  <c r="A383" i="7" s="1"/>
  <c r="B384" i="7"/>
  <c r="A384" i="7" s="1"/>
  <c r="B385" i="7"/>
  <c r="A385" i="7" s="1"/>
  <c r="B386" i="7"/>
  <c r="A386" i="7" s="1"/>
  <c r="B387" i="7"/>
  <c r="A387" i="7" s="1"/>
  <c r="B388" i="7"/>
  <c r="A388" i="7" s="1"/>
  <c r="B389" i="7"/>
  <c r="A389" i="7" s="1"/>
  <c r="B390" i="7"/>
  <c r="A390" i="7" s="1"/>
  <c r="B391" i="7"/>
  <c r="A391" i="7" s="1"/>
  <c r="B392" i="7"/>
  <c r="A392" i="7" s="1"/>
  <c r="B393" i="7"/>
  <c r="A393" i="7" s="1"/>
  <c r="B394" i="7"/>
  <c r="A394" i="7" s="1"/>
  <c r="B395" i="7"/>
  <c r="A395" i="7" s="1"/>
  <c r="B396" i="7"/>
  <c r="A396" i="7" s="1"/>
  <c r="B397" i="7"/>
  <c r="A397" i="7" s="1"/>
  <c r="B398" i="7"/>
  <c r="A398" i="7" s="1"/>
  <c r="B399" i="7"/>
  <c r="A399" i="7" s="1"/>
  <c r="B400" i="7"/>
  <c r="A400" i="7" s="1"/>
  <c r="B401" i="7"/>
  <c r="A401" i="7" s="1"/>
  <c r="B402" i="7"/>
  <c r="A402" i="7" s="1"/>
  <c r="B403" i="7"/>
  <c r="A403" i="7" s="1"/>
  <c r="B404" i="7"/>
  <c r="A404" i="7" s="1"/>
  <c r="B405" i="7"/>
  <c r="A405" i="7" s="1"/>
  <c r="B406" i="7"/>
  <c r="A406" i="7" s="1"/>
  <c r="B407" i="7"/>
  <c r="A407" i="7" s="1"/>
  <c r="B408" i="7"/>
  <c r="A408" i="7" s="1"/>
  <c r="B409" i="7"/>
  <c r="A409" i="7" s="1"/>
  <c r="B410" i="7"/>
  <c r="A410" i="7" s="1"/>
  <c r="B411" i="7"/>
  <c r="A411" i="7" s="1"/>
  <c r="B412" i="7"/>
  <c r="A412" i="7" s="1"/>
  <c r="B413" i="7"/>
  <c r="A413" i="7" s="1"/>
  <c r="B414" i="7"/>
  <c r="A414" i="7" s="1"/>
  <c r="B415" i="7"/>
  <c r="A415" i="7" s="1"/>
  <c r="B416" i="7"/>
  <c r="A416" i="7" s="1"/>
  <c r="B417" i="7"/>
  <c r="A417" i="7" s="1"/>
  <c r="B418" i="7"/>
  <c r="A418" i="7" s="1"/>
  <c r="B419" i="7"/>
  <c r="A419" i="7" s="1"/>
  <c r="B420" i="7"/>
  <c r="A420" i="7" s="1"/>
  <c r="B421" i="7"/>
  <c r="A421" i="7" s="1"/>
  <c r="B422" i="7"/>
  <c r="A422" i="7" s="1"/>
  <c r="B423" i="7"/>
  <c r="A423" i="7" s="1"/>
  <c r="B424" i="7"/>
  <c r="A424" i="7" s="1"/>
  <c r="B425" i="7"/>
  <c r="A425" i="7" s="1"/>
  <c r="B426" i="7"/>
  <c r="A426" i="7" s="1"/>
  <c r="B427" i="7"/>
  <c r="A427" i="7" s="1"/>
  <c r="B428" i="7"/>
  <c r="A428" i="7" s="1"/>
  <c r="B429" i="7"/>
  <c r="A429" i="7" s="1"/>
  <c r="B430" i="7"/>
  <c r="A430" i="7" s="1"/>
  <c r="B431" i="7"/>
  <c r="A431" i="7" s="1"/>
  <c r="B432" i="7"/>
  <c r="A432" i="7" s="1"/>
  <c r="B433" i="7"/>
  <c r="A433" i="7" s="1"/>
  <c r="B434" i="7"/>
  <c r="A434" i="7" s="1"/>
  <c r="B435" i="7"/>
  <c r="A435" i="7" s="1"/>
  <c r="B436" i="7"/>
  <c r="A436" i="7" s="1"/>
  <c r="B437" i="7"/>
  <c r="A437" i="7" s="1"/>
  <c r="B438" i="7"/>
  <c r="A438" i="7" s="1"/>
  <c r="B439" i="7"/>
  <c r="A439" i="7" s="1"/>
  <c r="B440" i="7"/>
  <c r="A440" i="7" s="1"/>
  <c r="B441" i="7"/>
  <c r="A441" i="7" s="1"/>
  <c r="B442" i="7"/>
  <c r="A442" i="7" s="1"/>
  <c r="B443" i="7"/>
  <c r="A443" i="7" s="1"/>
  <c r="B444" i="7"/>
  <c r="A444" i="7" s="1"/>
  <c r="B445" i="7"/>
  <c r="A445" i="7" s="1"/>
  <c r="B446" i="7"/>
  <c r="A446" i="7" s="1"/>
  <c r="B447" i="7"/>
  <c r="A447" i="7" s="1"/>
  <c r="B448" i="7"/>
  <c r="A448" i="7" s="1"/>
  <c r="B449" i="7"/>
  <c r="A449" i="7" s="1"/>
  <c r="B450" i="7"/>
  <c r="A450" i="7" s="1"/>
  <c r="B451" i="7"/>
  <c r="A451" i="7" s="1"/>
  <c r="B452" i="7"/>
  <c r="A452" i="7" s="1"/>
  <c r="B453" i="7"/>
  <c r="A453" i="7" s="1"/>
  <c r="B454" i="7"/>
  <c r="A454" i="7" s="1"/>
  <c r="B455" i="7"/>
  <c r="A455" i="7" s="1"/>
  <c r="B456" i="7"/>
  <c r="A456" i="7" s="1"/>
  <c r="B457" i="7"/>
  <c r="A457" i="7" s="1"/>
  <c r="B458" i="7"/>
  <c r="A458" i="7" s="1"/>
  <c r="B459" i="7"/>
  <c r="A459" i="7" s="1"/>
  <c r="B460" i="7"/>
  <c r="A460" i="7" s="1"/>
  <c r="B461" i="7"/>
  <c r="A461" i="7" s="1"/>
  <c r="B462" i="7"/>
  <c r="A462" i="7" s="1"/>
  <c r="B463" i="7"/>
  <c r="A463" i="7" s="1"/>
  <c r="B464" i="7"/>
  <c r="A464" i="7" s="1"/>
  <c r="B465" i="7"/>
  <c r="A465" i="7" s="1"/>
  <c r="B466" i="7"/>
  <c r="A466" i="7" s="1"/>
  <c r="B467" i="7"/>
  <c r="A467" i="7" s="1"/>
  <c r="B468" i="7"/>
  <c r="A468" i="7" s="1"/>
  <c r="B469" i="7"/>
  <c r="A469" i="7" s="1"/>
  <c r="B470" i="7"/>
  <c r="A470" i="7" s="1"/>
  <c r="B471" i="7"/>
  <c r="A471" i="7" s="1"/>
  <c r="B472" i="7"/>
  <c r="A472" i="7" s="1"/>
  <c r="B473" i="7"/>
  <c r="A473" i="7" s="1"/>
  <c r="B474" i="7"/>
  <c r="A474" i="7" s="1"/>
  <c r="B475" i="7"/>
  <c r="A475" i="7" s="1"/>
  <c r="B476" i="7"/>
  <c r="A476" i="7" s="1"/>
  <c r="B477" i="7"/>
  <c r="A477" i="7" s="1"/>
  <c r="B478" i="7"/>
  <c r="A478" i="7" s="1"/>
  <c r="B479" i="7"/>
  <c r="A479" i="7" s="1"/>
  <c r="B480" i="7"/>
  <c r="A480" i="7" s="1"/>
  <c r="B481" i="7"/>
  <c r="A481" i="7" s="1"/>
  <c r="B482" i="7"/>
  <c r="A482" i="7" s="1"/>
  <c r="B483" i="7"/>
  <c r="A483" i="7" s="1"/>
  <c r="B484" i="7"/>
  <c r="A484" i="7" s="1"/>
  <c r="B485" i="7"/>
  <c r="A485" i="7" s="1"/>
  <c r="B486" i="7"/>
  <c r="A486" i="7" s="1"/>
  <c r="B487" i="7"/>
  <c r="A487" i="7" s="1"/>
  <c r="B488" i="7"/>
  <c r="A488" i="7" s="1"/>
  <c r="B489" i="7"/>
  <c r="A489" i="7" s="1"/>
  <c r="B490" i="7"/>
  <c r="A490" i="7" s="1"/>
  <c r="B491" i="7"/>
  <c r="A491" i="7" s="1"/>
  <c r="B492" i="7"/>
  <c r="A492" i="7" s="1"/>
  <c r="B493" i="7"/>
  <c r="A493" i="7" s="1"/>
  <c r="B494" i="7"/>
  <c r="A494" i="7" s="1"/>
  <c r="B495" i="7"/>
  <c r="A495" i="7" s="1"/>
  <c r="B496" i="7"/>
  <c r="A496" i="7" s="1"/>
  <c r="B497" i="7"/>
  <c r="A497" i="7" s="1"/>
  <c r="B498" i="7"/>
  <c r="A498" i="7" s="1"/>
  <c r="B499" i="7"/>
  <c r="A499" i="7" s="1"/>
  <c r="B500" i="7"/>
  <c r="A500" i="7" s="1"/>
  <c r="A3" i="7"/>
  <c r="Y7" i="8" l="1"/>
  <c r="S7" i="8"/>
  <c r="M7" i="8"/>
  <c r="J7" i="8"/>
  <c r="AC7" i="8"/>
  <c r="W7" i="8"/>
  <c r="Q7" i="8"/>
  <c r="K7" i="8"/>
  <c r="AB7" i="8"/>
  <c r="AD7" i="8" s="1"/>
  <c r="T7" i="8"/>
  <c r="P7" i="8"/>
  <c r="R7" i="8" s="1"/>
  <c r="Z7" i="8"/>
  <c r="N7" i="8"/>
  <c r="V7" i="8"/>
  <c r="X7" i="8" s="1"/>
  <c r="AN9" i="7"/>
  <c r="AO9" i="7"/>
  <c r="AV9" i="7" s="1"/>
  <c r="AQ9" i="7"/>
  <c r="AP9" i="7"/>
  <c r="AR9" i="7"/>
  <c r="AT9" i="7"/>
  <c r="AS9" i="7"/>
  <c r="AU9" i="7"/>
  <c r="AM9" i="7"/>
  <c r="AN7" i="7"/>
  <c r="AO7" i="7"/>
  <c r="AP7" i="7"/>
  <c r="AQ7" i="7"/>
  <c r="AR7" i="7"/>
  <c r="AS7" i="7"/>
  <c r="AT7" i="7"/>
  <c r="AM7" i="7"/>
  <c r="AU7" i="7"/>
  <c r="D2" i="1" a="1"/>
  <c r="D2" i="1" s="1"/>
  <c r="AN6" i="7"/>
  <c r="AM6" i="7"/>
  <c r="AO6" i="7"/>
  <c r="AQ6" i="7"/>
  <c r="AP6" i="7"/>
  <c r="AR6" i="7"/>
  <c r="AT6" i="7"/>
  <c r="AS6" i="7"/>
  <c r="AU6" i="7"/>
  <c r="AN8" i="7"/>
  <c r="AO8" i="7"/>
  <c r="AQ8" i="7"/>
  <c r="AV8" i="7" s="1"/>
  <c r="AP8" i="7"/>
  <c r="AR8" i="7"/>
  <c r="AT8" i="7"/>
  <c r="AS8" i="7"/>
  <c r="AW8" i="7" s="1"/>
  <c r="BE8" i="7" s="1"/>
  <c r="AM8" i="7"/>
  <c r="AU8" i="7"/>
  <c r="AV7" i="7"/>
  <c r="BD6" i="7"/>
  <c r="A21" i="7"/>
  <c r="A24" i="7"/>
  <c r="A20" i="7"/>
  <c r="A23" i="7"/>
  <c r="A19" i="7"/>
  <c r="A22" i="7"/>
  <c r="A17" i="7"/>
  <c r="A16" i="7"/>
  <c r="A12" i="7"/>
  <c r="A15" i="7"/>
  <c r="A11" i="7"/>
  <c r="A18" i="7"/>
  <c r="A14" i="7"/>
  <c r="A10" i="7"/>
  <c r="A13" i="7"/>
  <c r="O2" i="2"/>
  <c r="O3" i="2"/>
  <c r="BB8" i="7" l="1"/>
  <c r="AY8" i="7"/>
  <c r="AZ8" i="7"/>
  <c r="BC8" i="7"/>
  <c r="BA8" i="7"/>
  <c r="AX8" i="7"/>
  <c r="L7" i="8"/>
  <c r="O7" i="8"/>
  <c r="U7" i="8"/>
  <c r="AW7" i="7"/>
  <c r="BE7" i="7" s="1"/>
  <c r="AW9" i="7"/>
  <c r="BE9" i="7" s="1"/>
  <c r="AA7" i="8"/>
  <c r="BA7" i="7"/>
  <c r="AZ7" i="7"/>
  <c r="AY7" i="7"/>
  <c r="BB7" i="7"/>
  <c r="AX7" i="7"/>
  <c r="BC7" i="7"/>
  <c r="BA9" i="7"/>
  <c r="AZ9" i="7"/>
  <c r="BB9" i="7"/>
  <c r="BC9" i="7"/>
  <c r="AX9" i="7"/>
  <c r="AY9" i="7"/>
  <c r="AV6" i="7"/>
  <c r="AX6" i="7" s="1"/>
  <c r="AW6" i="7"/>
  <c r="BD82" i="7"/>
  <c r="F9" i="1"/>
  <c r="J9" i="1"/>
  <c r="G9" i="1"/>
  <c r="K9" i="1"/>
  <c r="E9" i="1"/>
  <c r="M9" i="1"/>
  <c r="H9" i="1"/>
  <c r="L9" i="1"/>
  <c r="N9" i="1"/>
  <c r="I9" i="1"/>
  <c r="F25" i="1"/>
  <c r="J25" i="1"/>
  <c r="G25" i="1"/>
  <c r="K25" i="1"/>
  <c r="E25" i="1"/>
  <c r="M25" i="1"/>
  <c r="H25" i="1"/>
  <c r="L25" i="1"/>
  <c r="N25" i="1"/>
  <c r="I25" i="1"/>
  <c r="M18" i="1"/>
  <c r="G18" i="1"/>
  <c r="K18" i="1"/>
  <c r="N18" i="1"/>
  <c r="H18" i="1"/>
  <c r="L18" i="1"/>
  <c r="I18" i="1"/>
  <c r="E18" i="1"/>
  <c r="F18" i="1"/>
  <c r="J18" i="1"/>
  <c r="M34" i="1"/>
  <c r="G34" i="1"/>
  <c r="K34" i="1"/>
  <c r="N34" i="1"/>
  <c r="H34" i="1"/>
  <c r="L34" i="1"/>
  <c r="I34" i="1"/>
  <c r="E34" i="1"/>
  <c r="F34" i="1"/>
  <c r="J34" i="1"/>
  <c r="E15" i="1"/>
  <c r="H15" i="1"/>
  <c r="L15" i="1"/>
  <c r="I15" i="1"/>
  <c r="M15" i="1"/>
  <c r="F15" i="1"/>
  <c r="J15" i="1"/>
  <c r="N15" i="1"/>
  <c r="G15" i="1"/>
  <c r="K15" i="1"/>
  <c r="E35" i="1"/>
  <c r="H35" i="1"/>
  <c r="L35" i="1"/>
  <c r="I35" i="1"/>
  <c r="M35" i="1"/>
  <c r="F35" i="1"/>
  <c r="J35" i="1"/>
  <c r="N35" i="1"/>
  <c r="G35" i="1"/>
  <c r="K35" i="1"/>
  <c r="M24" i="1"/>
  <c r="I24" i="1"/>
  <c r="E24" i="1"/>
  <c r="N24" i="1"/>
  <c r="F24" i="1"/>
  <c r="J24" i="1"/>
  <c r="G24" i="1"/>
  <c r="K24" i="1"/>
  <c r="H24" i="1"/>
  <c r="L24" i="1"/>
  <c r="M12" i="1"/>
  <c r="I12" i="1"/>
  <c r="E12" i="1"/>
  <c r="N12" i="1"/>
  <c r="F12" i="1"/>
  <c r="J12" i="1"/>
  <c r="G12" i="1"/>
  <c r="K12" i="1"/>
  <c r="H12" i="1"/>
  <c r="L12" i="1"/>
  <c r="M28" i="1"/>
  <c r="I28" i="1"/>
  <c r="E28" i="1"/>
  <c r="N28" i="1"/>
  <c r="F28" i="1"/>
  <c r="J28" i="1"/>
  <c r="G28" i="1"/>
  <c r="K28" i="1"/>
  <c r="H28" i="1"/>
  <c r="L28" i="1"/>
  <c r="F13" i="1"/>
  <c r="J13" i="1"/>
  <c r="G13" i="1"/>
  <c r="K13" i="1"/>
  <c r="E13" i="1"/>
  <c r="M13" i="1"/>
  <c r="H13" i="1"/>
  <c r="L13" i="1"/>
  <c r="N13" i="1"/>
  <c r="I13" i="1"/>
  <c r="F29" i="1"/>
  <c r="J29" i="1"/>
  <c r="G29" i="1"/>
  <c r="K29" i="1"/>
  <c r="E29" i="1"/>
  <c r="M29" i="1"/>
  <c r="H29" i="1"/>
  <c r="L29" i="1"/>
  <c r="N29" i="1"/>
  <c r="I29" i="1"/>
  <c r="M6" i="1"/>
  <c r="G6" i="1"/>
  <c r="K6" i="1"/>
  <c r="N6" i="1"/>
  <c r="H6" i="1"/>
  <c r="L6" i="1"/>
  <c r="I6" i="1"/>
  <c r="E6" i="1"/>
  <c r="F6" i="1"/>
  <c r="J6" i="1"/>
  <c r="M22" i="1"/>
  <c r="G22" i="1"/>
  <c r="K22" i="1"/>
  <c r="N22" i="1"/>
  <c r="H22" i="1"/>
  <c r="L22" i="1"/>
  <c r="I22" i="1"/>
  <c r="E22" i="1"/>
  <c r="F22" i="1"/>
  <c r="J22" i="1"/>
  <c r="E31" i="1"/>
  <c r="H31" i="1"/>
  <c r="L31" i="1"/>
  <c r="I31" i="1"/>
  <c r="M31" i="1"/>
  <c r="F31" i="1"/>
  <c r="J31" i="1"/>
  <c r="N31" i="1"/>
  <c r="G31" i="1"/>
  <c r="K31" i="1"/>
  <c r="E7" i="1"/>
  <c r="H7" i="1"/>
  <c r="L7" i="1"/>
  <c r="I7" i="1"/>
  <c r="M7" i="1"/>
  <c r="F7" i="1"/>
  <c r="J7" i="1"/>
  <c r="N7" i="1"/>
  <c r="G7" i="1"/>
  <c r="K7" i="1"/>
  <c r="M8" i="1"/>
  <c r="I8" i="1"/>
  <c r="E8" i="1"/>
  <c r="N8" i="1"/>
  <c r="F8" i="1"/>
  <c r="J8" i="1"/>
  <c r="G8" i="1"/>
  <c r="K8" i="1"/>
  <c r="H8" i="1"/>
  <c r="L8" i="1"/>
  <c r="M16" i="1"/>
  <c r="I16" i="1"/>
  <c r="E16" i="1"/>
  <c r="N16" i="1"/>
  <c r="F16" i="1"/>
  <c r="J16" i="1"/>
  <c r="G16" i="1"/>
  <c r="K16" i="1"/>
  <c r="H16" i="1"/>
  <c r="L16" i="1"/>
  <c r="M32" i="1"/>
  <c r="I32" i="1"/>
  <c r="E32" i="1"/>
  <c r="N32" i="1"/>
  <c r="F32" i="1"/>
  <c r="J32" i="1"/>
  <c r="G32" i="1"/>
  <c r="K32" i="1"/>
  <c r="H32" i="1"/>
  <c r="L32" i="1"/>
  <c r="F17" i="1"/>
  <c r="J17" i="1"/>
  <c r="G17" i="1"/>
  <c r="K17" i="1"/>
  <c r="E17" i="1"/>
  <c r="M17" i="1"/>
  <c r="H17" i="1"/>
  <c r="L17" i="1"/>
  <c r="N17" i="1"/>
  <c r="I17" i="1"/>
  <c r="F33" i="1"/>
  <c r="J33" i="1"/>
  <c r="G33" i="1"/>
  <c r="K33" i="1"/>
  <c r="E33" i="1"/>
  <c r="M33" i="1"/>
  <c r="H33" i="1"/>
  <c r="L33" i="1"/>
  <c r="N33" i="1"/>
  <c r="I33" i="1"/>
  <c r="M10" i="1"/>
  <c r="G10" i="1"/>
  <c r="K10" i="1"/>
  <c r="N10" i="1"/>
  <c r="H10" i="1"/>
  <c r="L10" i="1"/>
  <c r="I10" i="1"/>
  <c r="E10" i="1"/>
  <c r="F10" i="1"/>
  <c r="J10" i="1"/>
  <c r="M26" i="1"/>
  <c r="G26" i="1"/>
  <c r="K26" i="1"/>
  <c r="N26" i="1"/>
  <c r="H26" i="1"/>
  <c r="L26" i="1"/>
  <c r="I26" i="1"/>
  <c r="E26" i="1"/>
  <c r="F26" i="1"/>
  <c r="J26" i="1"/>
  <c r="E3" i="1"/>
  <c r="H3" i="1"/>
  <c r="L3" i="1"/>
  <c r="I3" i="1"/>
  <c r="M3" i="1"/>
  <c r="F3" i="1"/>
  <c r="J3" i="1"/>
  <c r="N3" i="1"/>
  <c r="G3" i="1"/>
  <c r="K3" i="1"/>
  <c r="E23" i="1"/>
  <c r="H23" i="1"/>
  <c r="L23" i="1"/>
  <c r="I23" i="1"/>
  <c r="M23" i="1"/>
  <c r="F23" i="1"/>
  <c r="J23" i="1"/>
  <c r="N23" i="1"/>
  <c r="G23" i="1"/>
  <c r="K23" i="1"/>
  <c r="E11" i="1"/>
  <c r="H11" i="1"/>
  <c r="L11" i="1"/>
  <c r="I11" i="1"/>
  <c r="M11" i="1"/>
  <c r="F11" i="1"/>
  <c r="J11" i="1"/>
  <c r="N11" i="1"/>
  <c r="G11" i="1"/>
  <c r="K11" i="1"/>
  <c r="BD440" i="7"/>
  <c r="BD441" i="7"/>
  <c r="BD445" i="7"/>
  <c r="BD449" i="7"/>
  <c r="BD453" i="7"/>
  <c r="BD457" i="7"/>
  <c r="BD461" i="7"/>
  <c r="BD465" i="7"/>
  <c r="BD469" i="7"/>
  <c r="BD473" i="7"/>
  <c r="BD477" i="7"/>
  <c r="BD481" i="7"/>
  <c r="BD485" i="7"/>
  <c r="BD489" i="7"/>
  <c r="BD493" i="7"/>
  <c r="BD497" i="7"/>
  <c r="M4" i="1"/>
  <c r="I4" i="1"/>
  <c r="E4" i="1"/>
  <c r="N4" i="1"/>
  <c r="F4" i="1"/>
  <c r="J4" i="1"/>
  <c r="G4" i="1"/>
  <c r="K4" i="1"/>
  <c r="H4" i="1"/>
  <c r="L4" i="1"/>
  <c r="M20" i="1"/>
  <c r="I20" i="1"/>
  <c r="E20" i="1"/>
  <c r="N20" i="1"/>
  <c r="F20" i="1"/>
  <c r="J20" i="1"/>
  <c r="G20" i="1"/>
  <c r="K20" i="1"/>
  <c r="H20" i="1"/>
  <c r="L20" i="1"/>
  <c r="M36" i="1"/>
  <c r="I36" i="1"/>
  <c r="E36" i="1"/>
  <c r="N36" i="1"/>
  <c r="F36" i="1"/>
  <c r="J36" i="1"/>
  <c r="G36" i="1"/>
  <c r="K36" i="1"/>
  <c r="H36" i="1"/>
  <c r="L36" i="1"/>
  <c r="BD418" i="7"/>
  <c r="BD414" i="7"/>
  <c r="BD402" i="7"/>
  <c r="BD398" i="7"/>
  <c r="BD386" i="7"/>
  <c r="BD382" i="7"/>
  <c r="BD370" i="7"/>
  <c r="BD366" i="7"/>
  <c r="BD354" i="7"/>
  <c r="BD350" i="7"/>
  <c r="BD338" i="7"/>
  <c r="BD334" i="7"/>
  <c r="F5" i="1"/>
  <c r="J5" i="1"/>
  <c r="G5" i="1"/>
  <c r="K5" i="1"/>
  <c r="E5" i="1"/>
  <c r="M5" i="1"/>
  <c r="H5" i="1"/>
  <c r="L5" i="1"/>
  <c r="N5" i="1"/>
  <c r="I5" i="1"/>
  <c r="F21" i="1"/>
  <c r="J21" i="1"/>
  <c r="G21" i="1"/>
  <c r="K21" i="1"/>
  <c r="E21" i="1"/>
  <c r="M21" i="1"/>
  <c r="H21" i="1"/>
  <c r="L21" i="1"/>
  <c r="N21" i="1"/>
  <c r="I21" i="1"/>
  <c r="E2" i="1"/>
  <c r="M14" i="1"/>
  <c r="G14" i="1"/>
  <c r="K14" i="1"/>
  <c r="N14" i="1"/>
  <c r="H14" i="1"/>
  <c r="L14" i="1"/>
  <c r="I14" i="1"/>
  <c r="E14" i="1"/>
  <c r="F14" i="1"/>
  <c r="J14" i="1"/>
  <c r="M30" i="1"/>
  <c r="G30" i="1"/>
  <c r="K30" i="1"/>
  <c r="N30" i="1"/>
  <c r="H30" i="1"/>
  <c r="L30" i="1"/>
  <c r="I30" i="1"/>
  <c r="E30" i="1"/>
  <c r="F30" i="1"/>
  <c r="J30" i="1"/>
  <c r="E19" i="1"/>
  <c r="H19" i="1"/>
  <c r="L19" i="1"/>
  <c r="I19" i="1"/>
  <c r="M19" i="1"/>
  <c r="F19" i="1"/>
  <c r="J19" i="1"/>
  <c r="N19" i="1"/>
  <c r="G19" i="1"/>
  <c r="K19" i="1"/>
  <c r="E27" i="1"/>
  <c r="H27" i="1"/>
  <c r="L27" i="1"/>
  <c r="I27" i="1"/>
  <c r="M27" i="1"/>
  <c r="F27" i="1"/>
  <c r="J27" i="1"/>
  <c r="N27" i="1"/>
  <c r="G27" i="1"/>
  <c r="K27" i="1"/>
  <c r="N2" i="1"/>
  <c r="I2" i="1"/>
  <c r="J2" i="1"/>
  <c r="F2" i="1"/>
  <c r="G2" i="1"/>
  <c r="K2" i="1"/>
  <c r="H2" i="1"/>
  <c r="L2" i="1"/>
  <c r="M2" i="1"/>
  <c r="BD438" i="7"/>
  <c r="BD434" i="7"/>
  <c r="BD390" i="7"/>
  <c r="BD378" i="7"/>
  <c r="BD362" i="7"/>
  <c r="BD329" i="7"/>
  <c r="BD325" i="7"/>
  <c r="BD317" i="7"/>
  <c r="BD305" i="7"/>
  <c r="BD285" i="7"/>
  <c r="BD269" i="7"/>
  <c r="BD253" i="7"/>
  <c r="BD245" i="7"/>
  <c r="BD229" i="7"/>
  <c r="BD217" i="7"/>
  <c r="BD209" i="7"/>
  <c r="BD182" i="7"/>
  <c r="BD166" i="7"/>
  <c r="BD154" i="7"/>
  <c r="BD128" i="7"/>
  <c r="BD112" i="7"/>
  <c r="BD108" i="7"/>
  <c r="BD100" i="7"/>
  <c r="BD88" i="7"/>
  <c r="BD68" i="7"/>
  <c r="BD56" i="7"/>
  <c r="BD52" i="7"/>
  <c r="BD48" i="7"/>
  <c r="BD36" i="7"/>
  <c r="BD20" i="7"/>
  <c r="BD12" i="7"/>
  <c r="BD442" i="7"/>
  <c r="BD446" i="7"/>
  <c r="BD450" i="7"/>
  <c r="BD454" i="7"/>
  <c r="BD458" i="7"/>
  <c r="BD462" i="7"/>
  <c r="BD466" i="7"/>
  <c r="BD470" i="7"/>
  <c r="BD474" i="7"/>
  <c r="BD478" i="7"/>
  <c r="BD482" i="7"/>
  <c r="BD486" i="7"/>
  <c r="BD490" i="7"/>
  <c r="BD494" i="7"/>
  <c r="BD498" i="7"/>
  <c r="BD437" i="7"/>
  <c r="BD433" i="7"/>
  <c r="BD429" i="7"/>
  <c r="BD425" i="7"/>
  <c r="BD421" i="7"/>
  <c r="BD417" i="7"/>
  <c r="BD413" i="7"/>
  <c r="BD409" i="7"/>
  <c r="BD405" i="7"/>
  <c r="BD401" i="7"/>
  <c r="BD397" i="7"/>
  <c r="BD393" i="7"/>
  <c r="BD389" i="7"/>
  <c r="BD385" i="7"/>
  <c r="BD381" i="7"/>
  <c r="BD377" i="7"/>
  <c r="BD373" i="7"/>
  <c r="BD369" i="7"/>
  <c r="BD365" i="7"/>
  <c r="BD361" i="7"/>
  <c r="BD357" i="7"/>
  <c r="BD353" i="7"/>
  <c r="BD349" i="7"/>
  <c r="BD345" i="7"/>
  <c r="BD341" i="7"/>
  <c r="BD430" i="7"/>
  <c r="BD410" i="7"/>
  <c r="BD406" i="7"/>
  <c r="BD374" i="7"/>
  <c r="BD321" i="7"/>
  <c r="BD301" i="7"/>
  <c r="BD289" i="7"/>
  <c r="BD277" i="7"/>
  <c r="BD273" i="7"/>
  <c r="BD265" i="7"/>
  <c r="BD257" i="7"/>
  <c r="BD241" i="7"/>
  <c r="BD233" i="7"/>
  <c r="BD190" i="7"/>
  <c r="BD186" i="7"/>
  <c r="BD178" i="7"/>
  <c r="BD174" i="7"/>
  <c r="BD170" i="7"/>
  <c r="BD150" i="7"/>
  <c r="BD124" i="7"/>
  <c r="BD120" i="7"/>
  <c r="BD116" i="7"/>
  <c r="BD104" i="7"/>
  <c r="BD96" i="7"/>
  <c r="BD92" i="7"/>
  <c r="BD84" i="7"/>
  <c r="BD76" i="7"/>
  <c r="BD72" i="7"/>
  <c r="BD64" i="7"/>
  <c r="BD60" i="7"/>
  <c r="BD40" i="7"/>
  <c r="BD32" i="7"/>
  <c r="BD24" i="7"/>
  <c r="BD443" i="7"/>
  <c r="BD447" i="7"/>
  <c r="BD451" i="7"/>
  <c r="BD455" i="7"/>
  <c r="BD459" i="7"/>
  <c r="BD463" i="7"/>
  <c r="BD467" i="7"/>
  <c r="BD471" i="7"/>
  <c r="BD475" i="7"/>
  <c r="BD479" i="7"/>
  <c r="BD483" i="7"/>
  <c r="BD487" i="7"/>
  <c r="BD491" i="7"/>
  <c r="BD495" i="7"/>
  <c r="BD499" i="7"/>
  <c r="BD436" i="7"/>
  <c r="BD432" i="7"/>
  <c r="BD428" i="7"/>
  <c r="BD424" i="7"/>
  <c r="BD420" i="7"/>
  <c r="BD416" i="7"/>
  <c r="BD412" i="7"/>
  <c r="BD408" i="7"/>
  <c r="BD404" i="7"/>
  <c r="BD400" i="7"/>
  <c r="BD396" i="7"/>
  <c r="BD392" i="7"/>
  <c r="BD388" i="7"/>
  <c r="BD384" i="7"/>
  <c r="BD380" i="7"/>
  <c r="BD376" i="7"/>
  <c r="BD372" i="7"/>
  <c r="BD368" i="7"/>
  <c r="BD364" i="7"/>
  <c r="BD360" i="7"/>
  <c r="BD356" i="7"/>
  <c r="BD352" i="7"/>
  <c r="BD348" i="7"/>
  <c r="BD344" i="7"/>
  <c r="BD340" i="7"/>
  <c r="BD336" i="7"/>
  <c r="BD332" i="7"/>
  <c r="BD426" i="7"/>
  <c r="BD422" i="7"/>
  <c r="BD394" i="7"/>
  <c r="BD358" i="7"/>
  <c r="BD346" i="7"/>
  <c r="BD342" i="7"/>
  <c r="BD330" i="7"/>
  <c r="BD194" i="7"/>
  <c r="BD313" i="7"/>
  <c r="BD309" i="7"/>
  <c r="BD297" i="7"/>
  <c r="BD293" i="7"/>
  <c r="BD281" i="7"/>
  <c r="BD261" i="7"/>
  <c r="BD249" i="7"/>
  <c r="BD237" i="7"/>
  <c r="BD225" i="7"/>
  <c r="BD221" i="7"/>
  <c r="BD213" i="7"/>
  <c r="BD205" i="7"/>
  <c r="BD195" i="7"/>
  <c r="BD162" i="7"/>
  <c r="BD158" i="7"/>
  <c r="BD146" i="7"/>
  <c r="BD142" i="7"/>
  <c r="BD44" i="7"/>
  <c r="BD28" i="7"/>
  <c r="BD16" i="7"/>
  <c r="BD444" i="7"/>
  <c r="BD448" i="7"/>
  <c r="BD452" i="7"/>
  <c r="BD456" i="7"/>
  <c r="BD460" i="7"/>
  <c r="BD464" i="7"/>
  <c r="BD468" i="7"/>
  <c r="BD472" i="7"/>
  <c r="BD476" i="7"/>
  <c r="BD480" i="7"/>
  <c r="BD484" i="7"/>
  <c r="BD488" i="7"/>
  <c r="BD492" i="7"/>
  <c r="BD496" i="7"/>
  <c r="BD500" i="7"/>
  <c r="BD439" i="7"/>
  <c r="BD435" i="7"/>
  <c r="BD431" i="7"/>
  <c r="BD427" i="7"/>
  <c r="BD423" i="7"/>
  <c r="BD419" i="7"/>
  <c r="BD415" i="7"/>
  <c r="BD411" i="7"/>
  <c r="BD407" i="7"/>
  <c r="BD403" i="7"/>
  <c r="BD399" i="7"/>
  <c r="BD395" i="7"/>
  <c r="BD391" i="7"/>
  <c r="BD387" i="7"/>
  <c r="BD383" i="7"/>
  <c r="BD379" i="7"/>
  <c r="BD375" i="7"/>
  <c r="BD371" i="7"/>
  <c r="BD367" i="7"/>
  <c r="BD363" i="7"/>
  <c r="BD359" i="7"/>
  <c r="BD355" i="7"/>
  <c r="BD351" i="7"/>
  <c r="BD347" i="7"/>
  <c r="BD343" i="7"/>
  <c r="BD339" i="7"/>
  <c r="BD335" i="7"/>
  <c r="BD331" i="7"/>
  <c r="BD337" i="7"/>
  <c r="BD333" i="7"/>
  <c r="BD137" i="7"/>
  <c r="BD200" i="7"/>
  <c r="BD133" i="7"/>
  <c r="BD328" i="7"/>
  <c r="BD324" i="7"/>
  <c r="BD320" i="7"/>
  <c r="BD316" i="7"/>
  <c r="BD312" i="7"/>
  <c r="BD308" i="7"/>
  <c r="BD304" i="7"/>
  <c r="BD300" i="7"/>
  <c r="BD296" i="7"/>
  <c r="BD292" i="7"/>
  <c r="BD288" i="7"/>
  <c r="BD284" i="7"/>
  <c r="BD280" i="7"/>
  <c r="BD276" i="7"/>
  <c r="BD272" i="7"/>
  <c r="BD268" i="7"/>
  <c r="BD264" i="7"/>
  <c r="BD260" i="7"/>
  <c r="BD256" i="7"/>
  <c r="BD252" i="7"/>
  <c r="BD248" i="7"/>
  <c r="BD244" i="7"/>
  <c r="BD240" i="7"/>
  <c r="BD236" i="7"/>
  <c r="BD232" i="7"/>
  <c r="BD228" i="7"/>
  <c r="BD224" i="7"/>
  <c r="BD220" i="7"/>
  <c r="BD216" i="7"/>
  <c r="BD212" i="7"/>
  <c r="BD208" i="7"/>
  <c r="BD204" i="7"/>
  <c r="BD80" i="7"/>
  <c r="BD193" i="7"/>
  <c r="BD189" i="7"/>
  <c r="BD185" i="7"/>
  <c r="BD181" i="7"/>
  <c r="BD177" i="7"/>
  <c r="BD173" i="7"/>
  <c r="BD169" i="7"/>
  <c r="BD165" i="7"/>
  <c r="BD161" i="7"/>
  <c r="BD157" i="7"/>
  <c r="BD153" i="7"/>
  <c r="BD149" i="7"/>
  <c r="BD145" i="7"/>
  <c r="BD141" i="7"/>
  <c r="BD136" i="7"/>
  <c r="BD131" i="7"/>
  <c r="BD127" i="7"/>
  <c r="BD123" i="7"/>
  <c r="BD119" i="7"/>
  <c r="BD115" i="7"/>
  <c r="BD111" i="7"/>
  <c r="BD107" i="7"/>
  <c r="BD103" i="7"/>
  <c r="BD99" i="7"/>
  <c r="BD95" i="7"/>
  <c r="BD91" i="7"/>
  <c r="BD87" i="7"/>
  <c r="BD83" i="7"/>
  <c r="BD81" i="7"/>
  <c r="BD75" i="7"/>
  <c r="BD71" i="7"/>
  <c r="BD67" i="7"/>
  <c r="BD63" i="7"/>
  <c r="BD59" i="7"/>
  <c r="BD55" i="7"/>
  <c r="BD51" i="7"/>
  <c r="BD47" i="7"/>
  <c r="BD43" i="7"/>
  <c r="BD39" i="7"/>
  <c r="BD35" i="7"/>
  <c r="BD31" i="7"/>
  <c r="BD27" i="7"/>
  <c r="BD23" i="7"/>
  <c r="BD19" i="7"/>
  <c r="BD15" i="7"/>
  <c r="BD11" i="7"/>
  <c r="BD198" i="7"/>
  <c r="BD327" i="7"/>
  <c r="BD323" i="7"/>
  <c r="BD319" i="7"/>
  <c r="BD315" i="7"/>
  <c r="BD311" i="7"/>
  <c r="BD307" i="7"/>
  <c r="BD303" i="7"/>
  <c r="BD299" i="7"/>
  <c r="BD295" i="7"/>
  <c r="BD291" i="7"/>
  <c r="BD287" i="7"/>
  <c r="BD283" i="7"/>
  <c r="BD279" i="7"/>
  <c r="BD275" i="7"/>
  <c r="BD271" i="7"/>
  <c r="BD267" i="7"/>
  <c r="BD263" i="7"/>
  <c r="BD259" i="7"/>
  <c r="BD255" i="7"/>
  <c r="BD251" i="7"/>
  <c r="BD247" i="7"/>
  <c r="BD243" i="7"/>
  <c r="BD239" i="7"/>
  <c r="BD235" i="7"/>
  <c r="BD231" i="7"/>
  <c r="BD227" i="7"/>
  <c r="BD223" i="7"/>
  <c r="BD219" i="7"/>
  <c r="BD215" i="7"/>
  <c r="BD211" i="7"/>
  <c r="BD207" i="7"/>
  <c r="BD203" i="7"/>
  <c r="BD199" i="7"/>
  <c r="BD192" i="7"/>
  <c r="BD188" i="7"/>
  <c r="BD184" i="7"/>
  <c r="BD180" i="7"/>
  <c r="BD176" i="7"/>
  <c r="BD172" i="7"/>
  <c r="BD168" i="7"/>
  <c r="BD164" i="7"/>
  <c r="BD160" i="7"/>
  <c r="BD156" i="7"/>
  <c r="BD152" i="7"/>
  <c r="BD148" i="7"/>
  <c r="BD144" i="7"/>
  <c r="BD140" i="7"/>
  <c r="BD134" i="7"/>
  <c r="BD130" i="7"/>
  <c r="BD126" i="7"/>
  <c r="BD122" i="7"/>
  <c r="BD118" i="7"/>
  <c r="BD114" i="7"/>
  <c r="BD110" i="7"/>
  <c r="BD106" i="7"/>
  <c r="BD102" i="7"/>
  <c r="BD98" i="7"/>
  <c r="BD94" i="7"/>
  <c r="BD90" i="7"/>
  <c r="BD86" i="7"/>
  <c r="BD79" i="7"/>
  <c r="BD78" i="7"/>
  <c r="BD74" i="7"/>
  <c r="BD70" i="7"/>
  <c r="BD66" i="7"/>
  <c r="BD62" i="7"/>
  <c r="BD58" i="7"/>
  <c r="BD54" i="7"/>
  <c r="BD50" i="7"/>
  <c r="BD46" i="7"/>
  <c r="BD42" i="7"/>
  <c r="BD38" i="7"/>
  <c r="BD34" i="7"/>
  <c r="BD30" i="7"/>
  <c r="BD26" i="7"/>
  <c r="BD22" i="7"/>
  <c r="BD18" i="7"/>
  <c r="BD14" i="7"/>
  <c r="BD10" i="7"/>
  <c r="BD196" i="7"/>
  <c r="BD135" i="7"/>
  <c r="BD201" i="7"/>
  <c r="BD326" i="7"/>
  <c r="BD322" i="7"/>
  <c r="BD318" i="7"/>
  <c r="BD314" i="7"/>
  <c r="BD310" i="7"/>
  <c r="BD306" i="7"/>
  <c r="BD302" i="7"/>
  <c r="BD298" i="7"/>
  <c r="BD294" i="7"/>
  <c r="BD290" i="7"/>
  <c r="BD286" i="7"/>
  <c r="BD282" i="7"/>
  <c r="BD278" i="7"/>
  <c r="BD274" i="7"/>
  <c r="BD270" i="7"/>
  <c r="BD266" i="7"/>
  <c r="BD262" i="7"/>
  <c r="BD258" i="7"/>
  <c r="BD254" i="7"/>
  <c r="BD250" i="7"/>
  <c r="BD246" i="7"/>
  <c r="BD242" i="7"/>
  <c r="BD238" i="7"/>
  <c r="BD234" i="7"/>
  <c r="BD230" i="7"/>
  <c r="BD226" i="7"/>
  <c r="BD222" i="7"/>
  <c r="BD218" i="7"/>
  <c r="BD214" i="7"/>
  <c r="BD210" i="7"/>
  <c r="BD206" i="7"/>
  <c r="BD202" i="7"/>
  <c r="BD197" i="7"/>
  <c r="BD191" i="7"/>
  <c r="BD187" i="7"/>
  <c r="BD183" i="7"/>
  <c r="BD179" i="7"/>
  <c r="BD175" i="7"/>
  <c r="BD171" i="7"/>
  <c r="BD167" i="7"/>
  <c r="BD163" i="7"/>
  <c r="BD159" i="7"/>
  <c r="BD155" i="7"/>
  <c r="BD151" i="7"/>
  <c r="BD147" i="7"/>
  <c r="BD143" i="7"/>
  <c r="BD139" i="7"/>
  <c r="BD138" i="7"/>
  <c r="BD132" i="7"/>
  <c r="BD129" i="7"/>
  <c r="BD125" i="7"/>
  <c r="BD121" i="7"/>
  <c r="BD117" i="7"/>
  <c r="BD113" i="7"/>
  <c r="BD109" i="7"/>
  <c r="BD105" i="7"/>
  <c r="BD101" i="7"/>
  <c r="BD97" i="7"/>
  <c r="BD93" i="7"/>
  <c r="BD89" i="7"/>
  <c r="BD85" i="7"/>
  <c r="BD77" i="7"/>
  <c r="BD73" i="7"/>
  <c r="BD69" i="7"/>
  <c r="BD65" i="7"/>
  <c r="BD61" i="7"/>
  <c r="BD57" i="7"/>
  <c r="BD53" i="7"/>
  <c r="BD49" i="7"/>
  <c r="BD45" i="7"/>
  <c r="BD41" i="7"/>
  <c r="BD37" i="7"/>
  <c r="BD33" i="7"/>
  <c r="BD29" i="7"/>
  <c r="BD25" i="7"/>
  <c r="BD21" i="7"/>
  <c r="BD17" i="7"/>
  <c r="BD13" i="7"/>
  <c r="E7" i="8"/>
  <c r="H7" i="8" s="1"/>
  <c r="D7" i="8"/>
  <c r="G7" i="8" s="1"/>
  <c r="BE6" i="7" l="1"/>
  <c r="AY6" i="7"/>
  <c r="AZ6" i="7"/>
  <c r="BA6" i="7"/>
  <c r="BB6" i="7"/>
  <c r="BC6" i="7"/>
  <c r="AF7" i="8"/>
  <c r="P11" i="1"/>
  <c r="AW33" i="7"/>
  <c r="AW49" i="7"/>
  <c r="AW65" i="7"/>
  <c r="AW101" i="7"/>
  <c r="AW117" i="7"/>
  <c r="AW132" i="7"/>
  <c r="AW197" i="7"/>
  <c r="AW214" i="7"/>
  <c r="AW230" i="7"/>
  <c r="AW246" i="7"/>
  <c r="AW262" i="7"/>
  <c r="AW278" i="7"/>
  <c r="AW294" i="7"/>
  <c r="AW310" i="7"/>
  <c r="AW326" i="7"/>
  <c r="AW331" i="7"/>
  <c r="AW347" i="7"/>
  <c r="AW363" i="7"/>
  <c r="AW379" i="7"/>
  <c r="AW395" i="7"/>
  <c r="AW411" i="7"/>
  <c r="AW427" i="7"/>
  <c r="AW500" i="7"/>
  <c r="AW484" i="7"/>
  <c r="AW468" i="7"/>
  <c r="O22" i="1"/>
  <c r="P28" i="1"/>
  <c r="O25" i="1"/>
  <c r="P20" i="1"/>
  <c r="P30" i="1"/>
  <c r="P4" i="1"/>
  <c r="O26" i="1"/>
  <c r="P32" i="1"/>
  <c r="O13" i="1"/>
  <c r="P34" i="1"/>
  <c r="P2" i="1"/>
  <c r="P26" i="1"/>
  <c r="O33" i="1"/>
  <c r="O4" i="1"/>
  <c r="O23" i="1"/>
  <c r="P17" i="1"/>
  <c r="O32" i="1"/>
  <c r="P22" i="1"/>
  <c r="O29" i="1"/>
  <c r="P13" i="1"/>
  <c r="O28" i="1"/>
  <c r="P25" i="1"/>
  <c r="P19" i="1"/>
  <c r="O14" i="1"/>
  <c r="O5" i="1"/>
  <c r="P36" i="1"/>
  <c r="O20" i="1"/>
  <c r="O11" i="1"/>
  <c r="P33" i="1"/>
  <c r="P8" i="1"/>
  <c r="P31" i="1"/>
  <c r="P29" i="1"/>
  <c r="P24" i="1"/>
  <c r="P15" i="1"/>
  <c r="O18" i="1"/>
  <c r="P27" i="1"/>
  <c r="O19" i="1"/>
  <c r="O30" i="1"/>
  <c r="P14" i="1"/>
  <c r="O2" i="1"/>
  <c r="O21" i="1"/>
  <c r="P5" i="1"/>
  <c r="O36" i="1"/>
  <c r="P3" i="1"/>
  <c r="O10" i="1"/>
  <c r="P16" i="1"/>
  <c r="O8" i="1"/>
  <c r="P7" i="1"/>
  <c r="O31" i="1"/>
  <c r="O6" i="1"/>
  <c r="P12" i="1"/>
  <c r="O24" i="1"/>
  <c r="P35" i="1"/>
  <c r="O15" i="1"/>
  <c r="O34" i="1"/>
  <c r="P18" i="1"/>
  <c r="O9" i="1"/>
  <c r="O27" i="1"/>
  <c r="P21" i="1"/>
  <c r="P23" i="1"/>
  <c r="O3" i="1"/>
  <c r="P10" i="1"/>
  <c r="O17" i="1"/>
  <c r="O16" i="1"/>
  <c r="O7" i="1"/>
  <c r="P6" i="1"/>
  <c r="O12" i="1"/>
  <c r="O35" i="1"/>
  <c r="P9" i="1"/>
  <c r="AE7" i="8"/>
  <c r="AW452" i="7"/>
  <c r="AW467" i="7"/>
  <c r="AW337" i="7"/>
  <c r="AW357" i="7"/>
  <c r="AW377" i="7"/>
  <c r="AW393" i="7"/>
  <c r="AW44" i="7"/>
  <c r="AW72" i="7"/>
  <c r="AW120" i="7"/>
  <c r="AW174" i="7"/>
  <c r="AW241" i="7"/>
  <c r="AW257" i="7"/>
  <c r="AW378" i="7"/>
  <c r="AW402" i="7"/>
  <c r="AW98" i="7"/>
  <c r="AW114" i="7"/>
  <c r="AW148" i="7"/>
  <c r="AW164" i="7"/>
  <c r="AW180" i="7"/>
  <c r="AW247" i="7"/>
  <c r="AW263" i="7"/>
  <c r="AW279" i="7"/>
  <c r="AW311" i="7"/>
  <c r="AW327" i="7"/>
  <c r="AW340" i="7"/>
  <c r="AW356" i="7"/>
  <c r="AW372" i="7"/>
  <c r="AW388" i="7"/>
  <c r="AW404" i="7"/>
  <c r="AW420" i="7"/>
  <c r="AW436" i="7"/>
  <c r="AW471" i="7"/>
  <c r="AW447" i="7"/>
  <c r="AW158" i="7"/>
  <c r="AW217" i="7"/>
  <c r="AW305" i="7"/>
  <c r="AW334" i="7"/>
  <c r="AW418" i="7"/>
  <c r="AW136" i="7"/>
  <c r="AW153" i="7"/>
  <c r="AW169" i="7"/>
  <c r="AW185" i="7"/>
  <c r="AW204" i="7"/>
  <c r="AW220" i="7"/>
  <c r="AW236" i="7"/>
  <c r="AW252" i="7"/>
  <c r="AW268" i="7"/>
  <c r="AW284" i="7"/>
  <c r="AW300" i="7"/>
  <c r="AW316" i="7"/>
  <c r="AW133" i="7"/>
  <c r="AW369" i="7"/>
  <c r="AW409" i="7"/>
  <c r="AW12" i="7"/>
  <c r="AW32" i="7"/>
  <c r="AW84" i="7"/>
  <c r="AW100" i="7"/>
  <c r="AW128" i="7"/>
  <c r="AW162" i="7"/>
  <c r="AW261" i="7"/>
  <c r="AW293" i="7"/>
  <c r="AW382" i="7"/>
  <c r="AW481" i="7"/>
  <c r="AW425" i="7"/>
  <c r="AW478" i="7"/>
  <c r="AW398" i="7"/>
  <c r="AW489" i="7"/>
  <c r="AW211" i="7"/>
  <c r="AW227" i="7"/>
  <c r="AW352" i="7"/>
  <c r="AW368" i="7"/>
  <c r="AW384" i="7"/>
  <c r="AW479" i="7"/>
  <c r="AW338" i="7"/>
  <c r="AW465" i="7"/>
  <c r="AW19" i="7"/>
  <c r="AW35" i="7"/>
  <c r="AW51" i="7"/>
  <c r="AW83" i="7"/>
  <c r="AW99" i="7"/>
  <c r="AW115" i="7"/>
  <c r="AW131" i="7"/>
  <c r="AW269" i="7"/>
  <c r="AW457" i="7"/>
  <c r="AW135" i="7"/>
  <c r="AW429" i="7"/>
  <c r="AW454" i="7"/>
  <c r="AW30" i="7"/>
  <c r="AW46" i="7"/>
  <c r="AW22" i="7"/>
  <c r="AW38" i="7"/>
  <c r="AW54" i="7"/>
  <c r="AW203" i="7"/>
  <c r="AW219" i="7"/>
  <c r="AW235" i="7"/>
  <c r="AW295" i="7"/>
  <c r="AW434" i="7"/>
  <c r="AW11" i="7"/>
  <c r="AW107" i="7"/>
  <c r="AW123" i="7"/>
  <c r="AW13" i="7"/>
  <c r="AW29" i="7"/>
  <c r="AW45" i="7"/>
  <c r="AW61" i="7"/>
  <c r="AW77" i="7"/>
  <c r="AW97" i="7"/>
  <c r="AW113" i="7"/>
  <c r="AW129" i="7"/>
  <c r="AW139" i="7"/>
  <c r="AW151" i="7"/>
  <c r="AW155" i="7"/>
  <c r="AW167" i="7"/>
  <c r="AW171" i="7"/>
  <c r="AW183" i="7"/>
  <c r="AW187" i="7"/>
  <c r="AW210" i="7"/>
  <c r="AW226" i="7"/>
  <c r="AW242" i="7"/>
  <c r="AW258" i="7"/>
  <c r="AW381" i="7"/>
  <c r="AW306" i="7"/>
  <c r="AW322" i="7"/>
  <c r="AW196" i="7"/>
  <c r="AW343" i="7"/>
  <c r="AW375" i="7"/>
  <c r="AW391" i="7"/>
  <c r="AW407" i="7"/>
  <c r="AW423" i="7"/>
  <c r="AW439" i="7"/>
  <c r="AW488" i="7"/>
  <c r="AW159" i="7"/>
  <c r="AW175" i="7"/>
  <c r="AW191" i="7"/>
  <c r="AW143" i="7"/>
  <c r="AW218" i="7"/>
  <c r="AW17" i="7"/>
  <c r="AW21" i="7"/>
  <c r="AW37" i="7"/>
  <c r="AW69" i="7"/>
  <c r="AW85" i="7"/>
  <c r="AW89" i="7"/>
  <c r="AW105" i="7"/>
  <c r="AW121" i="7"/>
  <c r="AW138" i="7"/>
  <c r="AW147" i="7"/>
  <c r="AW163" i="7"/>
  <c r="AW179" i="7"/>
  <c r="AW202" i="7"/>
  <c r="AW234" i="7"/>
  <c r="AW250" i="7"/>
  <c r="AW266" i="7"/>
  <c r="AW282" i="7"/>
  <c r="AW298" i="7"/>
  <c r="AW314" i="7"/>
  <c r="AW201" i="7"/>
  <c r="AW25" i="7"/>
  <c r="AW41" i="7"/>
  <c r="AW53" i="7"/>
  <c r="AW57" i="7"/>
  <c r="AW73" i="7"/>
  <c r="AW93" i="7"/>
  <c r="AW109" i="7"/>
  <c r="AW125" i="7"/>
  <c r="AW206" i="7"/>
  <c r="AW222" i="7"/>
  <c r="AW238" i="7"/>
  <c r="AW254" i="7"/>
  <c r="AW270" i="7"/>
  <c r="AW274" i="7"/>
  <c r="AW286" i="7"/>
  <c r="AW290" i="7"/>
  <c r="AW302" i="7"/>
  <c r="AW318" i="7"/>
  <c r="AW339" i="7"/>
  <c r="AW351" i="7"/>
  <c r="AW355" i="7"/>
  <c r="AW371" i="7"/>
  <c r="AW383" i="7"/>
  <c r="AW387" i="7"/>
  <c r="AW399" i="7"/>
  <c r="AW403" i="7"/>
  <c r="AW415" i="7"/>
  <c r="AW335" i="7"/>
  <c r="AW359" i="7"/>
  <c r="AW367" i="7"/>
  <c r="AW496" i="7"/>
  <c r="AW480" i="7"/>
  <c r="AW464" i="7"/>
  <c r="AW448" i="7"/>
  <c r="AW495" i="7"/>
  <c r="AW487" i="7"/>
  <c r="AW459" i="7"/>
  <c r="AW345" i="7"/>
  <c r="AW349" i="7"/>
  <c r="AW361" i="7"/>
  <c r="AW413" i="7"/>
  <c r="AW474" i="7"/>
  <c r="AW446" i="7"/>
  <c r="AW24" i="7"/>
  <c r="AW48" i="7"/>
  <c r="AW76" i="7"/>
  <c r="AW142" i="7"/>
  <c r="AW178" i="7"/>
  <c r="AW245" i="7"/>
  <c r="AW325" i="7"/>
  <c r="AW362" i="7"/>
  <c r="AW386" i="7"/>
  <c r="AW477" i="7"/>
  <c r="AW18" i="7"/>
  <c r="AW34" i="7"/>
  <c r="AW50" i="7"/>
  <c r="AW58" i="7"/>
  <c r="AW66" i="7"/>
  <c r="AW70" i="7"/>
  <c r="AW79" i="7"/>
  <c r="AW86" i="7"/>
  <c r="AW90" i="7"/>
  <c r="AW102" i="7"/>
  <c r="AW118" i="7"/>
  <c r="AW122" i="7"/>
  <c r="AW134" i="7"/>
  <c r="AW152" i="7"/>
  <c r="AW168" i="7"/>
  <c r="AW184" i="7"/>
  <c r="AW251" i="7"/>
  <c r="AW267" i="7"/>
  <c r="AW283" i="7"/>
  <c r="AW299" i="7"/>
  <c r="AW315" i="7"/>
  <c r="AW198" i="7"/>
  <c r="AW344" i="7"/>
  <c r="AW360" i="7"/>
  <c r="AW376" i="7"/>
  <c r="AW392" i="7"/>
  <c r="AW400" i="7"/>
  <c r="AW408" i="7"/>
  <c r="AW424" i="7"/>
  <c r="AW499" i="7"/>
  <c r="AW463" i="7"/>
  <c r="AW397" i="7"/>
  <c r="AW498" i="7"/>
  <c r="AW490" i="7"/>
  <c r="AW205" i="7"/>
  <c r="AW221" i="7"/>
  <c r="AW309" i="7"/>
  <c r="AW438" i="7"/>
  <c r="AW445" i="7"/>
  <c r="AW23" i="7"/>
  <c r="AW27" i="7"/>
  <c r="AW39" i="7"/>
  <c r="AW43" i="7"/>
  <c r="AW55" i="7"/>
  <c r="AW59" i="7"/>
  <c r="AW71" i="7"/>
  <c r="AW75" i="7"/>
  <c r="AW87" i="7"/>
  <c r="AW91" i="7"/>
  <c r="AW141" i="7"/>
  <c r="AW157" i="7"/>
  <c r="AW173" i="7"/>
  <c r="AW189" i="7"/>
  <c r="AW208" i="7"/>
  <c r="AW224" i="7"/>
  <c r="AW240" i="7"/>
  <c r="AW256" i="7"/>
  <c r="AW272" i="7"/>
  <c r="AW288" i="7"/>
  <c r="AW304" i="7"/>
  <c r="AW320" i="7"/>
  <c r="AW200" i="7"/>
  <c r="AW433" i="7"/>
  <c r="AW437" i="7"/>
  <c r="AW482" i="7"/>
  <c r="AW458" i="7"/>
  <c r="AW16" i="7"/>
  <c r="AW60" i="7"/>
  <c r="AW88" i="7"/>
  <c r="AW104" i="7"/>
  <c r="AW190" i="7"/>
  <c r="AW265" i="7"/>
  <c r="AW297" i="7"/>
  <c r="AW194" i="7"/>
  <c r="AW342" i="7"/>
  <c r="AW394" i="7"/>
  <c r="AW414" i="7"/>
  <c r="AW422" i="7"/>
  <c r="AW430" i="7"/>
  <c r="AW461" i="7"/>
  <c r="AW440" i="7"/>
  <c r="AW419" i="7"/>
  <c r="AW431" i="7"/>
  <c r="AW435" i="7"/>
  <c r="AW492" i="7"/>
  <c r="AW476" i="7"/>
  <c r="AW460" i="7"/>
  <c r="AW444" i="7"/>
  <c r="AW483" i="7"/>
  <c r="AW451" i="7"/>
  <c r="AW137" i="7"/>
  <c r="AW333" i="7"/>
  <c r="AW365" i="7"/>
  <c r="AW385" i="7"/>
  <c r="AW470" i="7"/>
  <c r="AW450" i="7"/>
  <c r="AW36" i="7"/>
  <c r="AW52" i="7"/>
  <c r="AW112" i="7"/>
  <c r="AW146" i="7"/>
  <c r="AW233" i="7"/>
  <c r="AW249" i="7"/>
  <c r="AW253" i="7"/>
  <c r="AW273" i="7"/>
  <c r="AW329" i="7"/>
  <c r="AW366" i="7"/>
  <c r="AW390" i="7"/>
  <c r="AW473" i="7"/>
  <c r="AW74" i="7"/>
  <c r="AW106" i="7"/>
  <c r="AW140" i="7"/>
  <c r="AW156" i="7"/>
  <c r="AW172" i="7"/>
  <c r="AW188" i="7"/>
  <c r="AW199" i="7"/>
  <c r="AW215" i="7"/>
  <c r="AW231" i="7"/>
  <c r="AW271" i="7"/>
  <c r="AW303" i="7"/>
  <c r="AW332" i="7"/>
  <c r="AW348" i="7"/>
  <c r="AW364" i="7"/>
  <c r="AW380" i="7"/>
  <c r="AW396" i="7"/>
  <c r="AW412" i="7"/>
  <c r="AW428" i="7"/>
  <c r="AW491" i="7"/>
  <c r="AW455" i="7"/>
  <c r="AW486" i="7"/>
  <c r="AW150" i="7"/>
  <c r="AW154" i="7"/>
  <c r="AW209" i="7"/>
  <c r="AW225" i="7"/>
  <c r="AW313" i="7"/>
  <c r="AW346" i="7"/>
  <c r="AW497" i="7"/>
  <c r="AW441" i="7"/>
  <c r="AW15" i="7"/>
  <c r="AW47" i="7"/>
  <c r="AW81" i="7"/>
  <c r="AW103" i="7"/>
  <c r="AW119" i="7"/>
  <c r="AW145" i="7"/>
  <c r="AW161" i="7"/>
  <c r="AW177" i="7"/>
  <c r="AW193" i="7"/>
  <c r="AW212" i="7"/>
  <c r="AW228" i="7"/>
  <c r="AW244" i="7"/>
  <c r="AW260" i="7"/>
  <c r="AW276" i="7"/>
  <c r="AW292" i="7"/>
  <c r="AW308" i="7"/>
  <c r="AW324" i="7"/>
  <c r="AW341" i="7"/>
  <c r="AW20" i="7"/>
  <c r="AW64" i="7"/>
  <c r="AW92" i="7"/>
  <c r="AW108" i="7"/>
  <c r="AW166" i="7"/>
  <c r="AW277" i="7"/>
  <c r="AW317" i="7"/>
  <c r="AW358" i="7"/>
  <c r="AW406" i="7"/>
  <c r="AW426" i="7"/>
  <c r="AW453" i="7"/>
  <c r="AW472" i="7"/>
  <c r="AW456" i="7"/>
  <c r="AW475" i="7"/>
  <c r="AW443" i="7"/>
  <c r="AW353" i="7"/>
  <c r="AW373" i="7"/>
  <c r="AW389" i="7"/>
  <c r="AW417" i="7"/>
  <c r="AW421" i="7"/>
  <c r="AW466" i="7"/>
  <c r="AW442" i="7"/>
  <c r="AW40" i="7"/>
  <c r="AW56" i="7"/>
  <c r="AW116" i="7"/>
  <c r="AW170" i="7"/>
  <c r="AW237" i="7"/>
  <c r="AW281" i="7"/>
  <c r="AW285" i="7"/>
  <c r="AW82" i="7"/>
  <c r="AW354" i="7"/>
  <c r="AW374" i="7"/>
  <c r="AW469" i="7"/>
  <c r="AW10" i="7"/>
  <c r="AW14" i="7"/>
  <c r="AW26" i="7"/>
  <c r="AW42" i="7"/>
  <c r="AW62" i="7"/>
  <c r="AW78" i="7"/>
  <c r="AW94" i="7"/>
  <c r="AW110" i="7"/>
  <c r="AW126" i="7"/>
  <c r="AW130" i="7"/>
  <c r="AW144" i="7"/>
  <c r="AW160" i="7"/>
  <c r="AW176" i="7"/>
  <c r="AW192" i="7"/>
  <c r="AW207" i="7"/>
  <c r="AW223" i="7"/>
  <c r="AW239" i="7"/>
  <c r="AW243" i="7"/>
  <c r="AW255" i="7"/>
  <c r="AW259" i="7"/>
  <c r="AW275" i="7"/>
  <c r="AW287" i="7"/>
  <c r="AW291" i="7"/>
  <c r="AW307" i="7"/>
  <c r="AW319" i="7"/>
  <c r="AW323" i="7"/>
  <c r="AW336" i="7"/>
  <c r="AW416" i="7"/>
  <c r="AW432" i="7"/>
  <c r="AW401" i="7"/>
  <c r="AW405" i="7"/>
  <c r="AW494" i="7"/>
  <c r="AW213" i="7"/>
  <c r="AW301" i="7"/>
  <c r="AW330" i="7"/>
  <c r="AW350" i="7"/>
  <c r="AW493" i="7"/>
  <c r="AW31" i="7"/>
  <c r="AW63" i="7"/>
  <c r="AW67" i="7"/>
  <c r="AW95" i="7"/>
  <c r="AW111" i="7"/>
  <c r="AW127" i="7"/>
  <c r="AW149" i="7"/>
  <c r="AW165" i="7"/>
  <c r="AW181" i="7"/>
  <c r="AW80" i="7"/>
  <c r="AW216" i="7"/>
  <c r="AW232" i="7"/>
  <c r="AW248" i="7"/>
  <c r="AW264" i="7"/>
  <c r="AW280" i="7"/>
  <c r="AW296" i="7"/>
  <c r="AW312" i="7"/>
  <c r="AW328" i="7"/>
  <c r="AW462" i="7"/>
  <c r="AW28" i="7"/>
  <c r="AW68" i="7"/>
  <c r="AW96" i="7"/>
  <c r="AW124" i="7"/>
  <c r="AW182" i="7"/>
  <c r="AW186" i="7"/>
  <c r="AW195" i="7"/>
  <c r="AW229" i="7"/>
  <c r="AW289" i="7"/>
  <c r="AW321" i="7"/>
  <c r="AW370" i="7"/>
  <c r="AW410" i="7"/>
  <c r="AW485" i="7"/>
  <c r="AW449" i="7"/>
  <c r="AV396" i="7"/>
  <c r="AY396" i="7" s="1"/>
  <c r="AV209" i="7"/>
  <c r="BE209" i="7" s="1"/>
  <c r="AV43" i="7"/>
  <c r="BA43" i="7" s="1"/>
  <c r="AV107" i="7"/>
  <c r="BA107" i="7" s="1"/>
  <c r="AV177" i="7"/>
  <c r="AX177" i="7" s="1"/>
  <c r="AV244" i="7"/>
  <c r="AY244" i="7" s="1"/>
  <c r="AV324" i="7"/>
  <c r="AV64" i="7"/>
  <c r="AY64" i="7" s="1"/>
  <c r="AV166" i="7"/>
  <c r="AV394" i="7"/>
  <c r="BA394" i="7" s="1"/>
  <c r="AV440" i="7"/>
  <c r="F7" i="8"/>
  <c r="I7" i="8" s="1"/>
  <c r="AV473" i="7"/>
  <c r="BB473" i="7" s="1"/>
  <c r="AV70" i="7"/>
  <c r="BB70" i="7" s="1"/>
  <c r="AV118" i="7"/>
  <c r="AZ118" i="7" s="1"/>
  <c r="AV176" i="7"/>
  <c r="BA176" i="7" s="1"/>
  <c r="AV235" i="7"/>
  <c r="AY235" i="7" s="1"/>
  <c r="AV291" i="7"/>
  <c r="AZ291" i="7" s="1"/>
  <c r="AV384" i="7"/>
  <c r="AZ384" i="7" s="1"/>
  <c r="AV479" i="7"/>
  <c r="AY479" i="7" s="1"/>
  <c r="AV447" i="7"/>
  <c r="BE447" i="7" s="1"/>
  <c r="AV101" i="7"/>
  <c r="AY101" i="7" s="1"/>
  <c r="AV159" i="7"/>
  <c r="AY159" i="7" s="1"/>
  <c r="AV214" i="7"/>
  <c r="AV278" i="7"/>
  <c r="BE278" i="7" s="1"/>
  <c r="AV500" i="7"/>
  <c r="AV337" i="7"/>
  <c r="BB337" i="7" s="1"/>
  <c r="AV421" i="7"/>
  <c r="AV331" i="7"/>
  <c r="BE331" i="7" s="1"/>
  <c r="AV379" i="7"/>
  <c r="BB379" i="7" s="1"/>
  <c r="AV452" i="7"/>
  <c r="BA452" i="7" s="1"/>
  <c r="AV466" i="7"/>
  <c r="BB466" i="7" s="1"/>
  <c r="AV442" i="7"/>
  <c r="AX442" i="7" s="1"/>
  <c r="AV117" i="7"/>
  <c r="BE117" i="7" s="1"/>
  <c r="AV175" i="7"/>
  <c r="AY175" i="7" s="1"/>
  <c r="AV230" i="7"/>
  <c r="BE230" i="7" s="1"/>
  <c r="AV294" i="7"/>
  <c r="BB294" i="7" s="1"/>
  <c r="AV343" i="7"/>
  <c r="AV407" i="7"/>
  <c r="BB407" i="7" s="1"/>
  <c r="AV488" i="7"/>
  <c r="AV495" i="7"/>
  <c r="BB495" i="7" s="1"/>
  <c r="AV373" i="7"/>
  <c r="AV56" i="7"/>
  <c r="AV34" i="7"/>
  <c r="AX34" i="7" s="1"/>
  <c r="AV86" i="7"/>
  <c r="AZ86" i="7" s="1"/>
  <c r="AV134" i="7"/>
  <c r="BB134" i="7" s="1"/>
  <c r="AV192" i="7"/>
  <c r="BA192" i="7" s="1"/>
  <c r="AV239" i="7"/>
  <c r="BA239" i="7" s="1"/>
  <c r="AV336" i="7"/>
  <c r="AV400" i="7"/>
  <c r="BA400" i="7" s="1"/>
  <c r="AV412" i="7"/>
  <c r="BE412" i="7" s="1"/>
  <c r="AV213" i="7"/>
  <c r="AV225" i="7"/>
  <c r="AX225" i="7" s="1"/>
  <c r="AV11" i="7"/>
  <c r="AY11" i="7" s="1"/>
  <c r="AV59" i="7"/>
  <c r="BE59" i="7" s="1"/>
  <c r="AV123" i="7"/>
  <c r="AV193" i="7"/>
  <c r="AY193" i="7" s="1"/>
  <c r="AV260" i="7"/>
  <c r="AZ260" i="7" s="1"/>
  <c r="AV458" i="7"/>
  <c r="BB458" i="7" s="1"/>
  <c r="AV88" i="7"/>
  <c r="AV297" i="7"/>
  <c r="AY297" i="7" s="1"/>
  <c r="AV406" i="7"/>
  <c r="AZ406" i="7" s="1"/>
  <c r="AV17" i="7"/>
  <c r="BB17" i="7" s="1"/>
  <c r="AV65" i="7"/>
  <c r="AZ65" i="7" s="1"/>
  <c r="AV132" i="7"/>
  <c r="AV191" i="7"/>
  <c r="BB191" i="7" s="1"/>
  <c r="AV246" i="7"/>
  <c r="AV310" i="7"/>
  <c r="BB310" i="7" s="1"/>
  <c r="AV347" i="7"/>
  <c r="BE347" i="7" s="1"/>
  <c r="AV423" i="7"/>
  <c r="AV472" i="7"/>
  <c r="AV467" i="7"/>
  <c r="AZ467" i="7" s="1"/>
  <c r="AV377" i="7"/>
  <c r="BB377" i="7" s="1"/>
  <c r="AV146" i="7"/>
  <c r="BA146" i="7" s="1"/>
  <c r="AV38" i="7"/>
  <c r="AV98" i="7"/>
  <c r="BB98" i="7" s="1"/>
  <c r="AV144" i="7"/>
  <c r="AZ144" i="7" s="1"/>
  <c r="AV207" i="7"/>
  <c r="AY207" i="7" s="1"/>
  <c r="AV255" i="7"/>
  <c r="BA255" i="7" s="1"/>
  <c r="AV352" i="7"/>
  <c r="BB352" i="7" s="1"/>
  <c r="AV416" i="7"/>
  <c r="AY416" i="7" s="1"/>
  <c r="AV428" i="7"/>
  <c r="BA428" i="7" s="1"/>
  <c r="AV301" i="7"/>
  <c r="BA301" i="7" s="1"/>
  <c r="AV27" i="7"/>
  <c r="BA27" i="7" s="1"/>
  <c r="AV75" i="7"/>
  <c r="AV81" i="7"/>
  <c r="BA81" i="7" s="1"/>
  <c r="AV145" i="7"/>
  <c r="AZ145" i="7" s="1"/>
  <c r="AV212" i="7"/>
  <c r="BB212" i="7" s="1"/>
  <c r="AV276" i="7"/>
  <c r="AV20" i="7"/>
  <c r="AY20" i="7" s="1"/>
  <c r="AV104" i="7"/>
  <c r="AY104" i="7" s="1"/>
  <c r="AV317" i="7"/>
  <c r="AY317" i="7" s="1"/>
  <c r="AV426" i="7"/>
  <c r="BB426" i="7" s="1"/>
  <c r="AV85" i="7"/>
  <c r="AZ85" i="7" s="1"/>
  <c r="AV143" i="7"/>
  <c r="AX143" i="7" s="1"/>
  <c r="AV197" i="7"/>
  <c r="AZ197" i="7" s="1"/>
  <c r="AV262" i="7"/>
  <c r="AV326" i="7"/>
  <c r="AV375" i="7"/>
  <c r="AX375" i="7" s="1"/>
  <c r="AV427" i="7"/>
  <c r="AV468" i="7"/>
  <c r="BE468" i="7" s="1"/>
  <c r="AV443" i="7"/>
  <c r="AX443" i="7" s="1"/>
  <c r="AY337" i="7"/>
  <c r="AV389" i="7"/>
  <c r="BB389" i="7" s="1"/>
  <c r="AV170" i="7"/>
  <c r="BB170" i="7" s="1"/>
  <c r="AV174" i="7"/>
  <c r="AX174" i="7" s="1"/>
  <c r="AV241" i="7"/>
  <c r="AZ241" i="7" s="1"/>
  <c r="AV257" i="7"/>
  <c r="AV285" i="7"/>
  <c r="AX285" i="7" s="1"/>
  <c r="AV354" i="7"/>
  <c r="BA354" i="7" s="1"/>
  <c r="AV378" i="7"/>
  <c r="BB378" i="7" s="1"/>
  <c r="AV398" i="7"/>
  <c r="BA398" i="7" s="1"/>
  <c r="AV54" i="7"/>
  <c r="AV102" i="7"/>
  <c r="AX102" i="7" s="1"/>
  <c r="AV160" i="7"/>
  <c r="BA160" i="7" s="1"/>
  <c r="AV223" i="7"/>
  <c r="BA223" i="7" s="1"/>
  <c r="AV271" i="7"/>
  <c r="AY271" i="7" s="1"/>
  <c r="AV368" i="7"/>
  <c r="AZ368" i="7" s="1"/>
  <c r="AV432" i="7"/>
  <c r="AZ432" i="7" s="1"/>
  <c r="AV491" i="7"/>
  <c r="AV309" i="7"/>
  <c r="BB309" i="7" s="1"/>
  <c r="AV346" i="7"/>
  <c r="BB346" i="7" s="1"/>
  <c r="AV438" i="7"/>
  <c r="BE438" i="7" s="1"/>
  <c r="AV445" i="7"/>
  <c r="AV39" i="7"/>
  <c r="AX39" i="7" s="1"/>
  <c r="AV91" i="7"/>
  <c r="BA91" i="7" s="1"/>
  <c r="AV161" i="7"/>
  <c r="AZ161" i="7" s="1"/>
  <c r="AV228" i="7"/>
  <c r="AY228" i="7" s="1"/>
  <c r="AV308" i="7"/>
  <c r="AY308" i="7" s="1"/>
  <c r="AV60" i="7"/>
  <c r="AV108" i="7"/>
  <c r="AV358" i="7"/>
  <c r="AV461" i="7"/>
  <c r="AZ461" i="7" s="1"/>
  <c r="AV21" i="7"/>
  <c r="AV37" i="7"/>
  <c r="AV53" i="7"/>
  <c r="AV69" i="7"/>
  <c r="AV89" i="7"/>
  <c r="AV105" i="7"/>
  <c r="AV121" i="7"/>
  <c r="AV147" i="7"/>
  <c r="AV163" i="7"/>
  <c r="AV179" i="7"/>
  <c r="AV218" i="7"/>
  <c r="AV282" i="7"/>
  <c r="AV298" i="7"/>
  <c r="AV314" i="7"/>
  <c r="AV201" i="7"/>
  <c r="AV335" i="7"/>
  <c r="AV351" i="7"/>
  <c r="AV363" i="7"/>
  <c r="AV367" i="7"/>
  <c r="AV383" i="7"/>
  <c r="AV395" i="7"/>
  <c r="BE395" i="7" s="1"/>
  <c r="AV399" i="7"/>
  <c r="AV411" i="7"/>
  <c r="BE411" i="7" s="1"/>
  <c r="AV415" i="7"/>
  <c r="AV431" i="7"/>
  <c r="AV496" i="7"/>
  <c r="AV484" i="7"/>
  <c r="AV480" i="7"/>
  <c r="AV464" i="7"/>
  <c r="AV448" i="7"/>
  <c r="AV357" i="7"/>
  <c r="AV470" i="7"/>
  <c r="AV446" i="7"/>
  <c r="AV40" i="7"/>
  <c r="AV116" i="7"/>
  <c r="AV237" i="7"/>
  <c r="AV253" i="7"/>
  <c r="AV281" i="7"/>
  <c r="AV374" i="7"/>
  <c r="AZ38" i="7"/>
  <c r="AX118" i="7"/>
  <c r="AZ213" i="7"/>
  <c r="AV49" i="7"/>
  <c r="AV25" i="7"/>
  <c r="AV41" i="7"/>
  <c r="AV57" i="7"/>
  <c r="AV73" i="7"/>
  <c r="AV93" i="7"/>
  <c r="AV109" i="7"/>
  <c r="AV125" i="7"/>
  <c r="AV151" i="7"/>
  <c r="BB159" i="7"/>
  <c r="AV167" i="7"/>
  <c r="AV183" i="7"/>
  <c r="AV202" i="7"/>
  <c r="AV206" i="7"/>
  <c r="AV222" i="7"/>
  <c r="AV234" i="7"/>
  <c r="AV238" i="7"/>
  <c r="AV250" i="7"/>
  <c r="AV254" i="7"/>
  <c r="AV266" i="7"/>
  <c r="AV270" i="7"/>
  <c r="AV286" i="7"/>
  <c r="AV302" i="7"/>
  <c r="AV318" i="7"/>
  <c r="AV339" i="7"/>
  <c r="AV387" i="7"/>
  <c r="AV403" i="7"/>
  <c r="AV419" i="7"/>
  <c r="AV435" i="7"/>
  <c r="AV492" i="7"/>
  <c r="BE492" i="7" s="1"/>
  <c r="AV476" i="7"/>
  <c r="AV460" i="7"/>
  <c r="AV444" i="7"/>
  <c r="AV487" i="7"/>
  <c r="AV483" i="7"/>
  <c r="BE483" i="7" s="1"/>
  <c r="AV459" i="7"/>
  <c r="AV451" i="7"/>
  <c r="AV137" i="7"/>
  <c r="AV345" i="7"/>
  <c r="AV349" i="7"/>
  <c r="AV361" i="7"/>
  <c r="AV365" i="7"/>
  <c r="AY56" i="7"/>
  <c r="AV33" i="7"/>
  <c r="BE33" i="7" s="1"/>
  <c r="AV13" i="7"/>
  <c r="AV29" i="7"/>
  <c r="AV45" i="7"/>
  <c r="AV61" i="7"/>
  <c r="AV77" i="7"/>
  <c r="AV97" i="7"/>
  <c r="AV113" i="7"/>
  <c r="AV129" i="7"/>
  <c r="AV138" i="7"/>
  <c r="AV139" i="7"/>
  <c r="AV155" i="7"/>
  <c r="AV171" i="7"/>
  <c r="AX175" i="7"/>
  <c r="AV187" i="7"/>
  <c r="AV210" i="7"/>
  <c r="AV226" i="7"/>
  <c r="AV242" i="7"/>
  <c r="BE242" i="7" s="1"/>
  <c r="AV258" i="7"/>
  <c r="AV274" i="7"/>
  <c r="AV290" i="7"/>
  <c r="AZ294" i="7"/>
  <c r="AV306" i="7"/>
  <c r="BE306" i="7" s="1"/>
  <c r="AV322" i="7"/>
  <c r="AV135" i="7"/>
  <c r="AV196" i="7"/>
  <c r="AV355" i="7"/>
  <c r="AV359" i="7"/>
  <c r="AV371" i="7"/>
  <c r="AV391" i="7"/>
  <c r="AV439" i="7"/>
  <c r="AV456" i="7"/>
  <c r="AV475" i="7"/>
  <c r="AV333" i="7"/>
  <c r="AV353" i="7"/>
  <c r="AV36" i="7"/>
  <c r="AV249" i="7"/>
  <c r="AY384" i="7"/>
  <c r="AX301" i="7"/>
  <c r="AV402" i="7"/>
  <c r="BE402" i="7" s="1"/>
  <c r="AV10" i="7"/>
  <c r="AV14" i="7"/>
  <c r="AV22" i="7"/>
  <c r="AV26" i="7"/>
  <c r="AV30" i="7"/>
  <c r="AV42" i="7"/>
  <c r="AV46" i="7"/>
  <c r="AV58" i="7"/>
  <c r="AV62" i="7"/>
  <c r="AV74" i="7"/>
  <c r="AV78" i="7"/>
  <c r="AV90" i="7"/>
  <c r="AV94" i="7"/>
  <c r="AV106" i="7"/>
  <c r="AV110" i="7"/>
  <c r="AV122" i="7"/>
  <c r="AV126" i="7"/>
  <c r="AV148" i="7"/>
  <c r="AV164" i="7"/>
  <c r="AV180" i="7"/>
  <c r="AV211" i="7"/>
  <c r="AV227" i="7"/>
  <c r="AV243" i="7"/>
  <c r="AV259" i="7"/>
  <c r="AV275" i="7"/>
  <c r="AV307" i="7"/>
  <c r="AV311" i="7"/>
  <c r="AV323" i="7"/>
  <c r="AV340" i="7"/>
  <c r="AV372" i="7"/>
  <c r="AV388" i="7"/>
  <c r="AV381" i="7"/>
  <c r="AV393" i="7"/>
  <c r="BE393" i="7" s="1"/>
  <c r="AV413" i="7"/>
  <c r="AV425" i="7"/>
  <c r="AV429" i="7"/>
  <c r="AV454" i="7"/>
  <c r="AV24" i="7"/>
  <c r="AV44" i="7"/>
  <c r="AV48" i="7"/>
  <c r="AV72" i="7"/>
  <c r="AV120" i="7"/>
  <c r="AV178" i="7"/>
  <c r="AV269" i="7"/>
  <c r="AV82" i="7"/>
  <c r="BE82" i="7" s="1"/>
  <c r="AV362" i="7"/>
  <c r="AV386" i="7"/>
  <c r="AV469" i="7"/>
  <c r="AV79" i="7"/>
  <c r="AV168" i="7"/>
  <c r="AV184" i="7"/>
  <c r="AV199" i="7"/>
  <c r="AV215" i="7"/>
  <c r="AV231" i="7"/>
  <c r="AV247" i="7"/>
  <c r="AV263" i="7"/>
  <c r="AV279" i="7"/>
  <c r="BE279" i="7" s="1"/>
  <c r="AV283" i="7"/>
  <c r="AV295" i="7"/>
  <c r="AV299" i="7"/>
  <c r="AV315" i="7"/>
  <c r="AV327" i="7"/>
  <c r="AV198" i="7"/>
  <c r="AV356" i="7"/>
  <c r="AV392" i="7"/>
  <c r="AV455" i="7"/>
  <c r="AV486" i="7"/>
  <c r="AV385" i="7"/>
  <c r="AV417" i="7"/>
  <c r="BE417" i="7" s="1"/>
  <c r="AV474" i="7"/>
  <c r="AV450" i="7"/>
  <c r="AV52" i="7"/>
  <c r="AV76" i="7"/>
  <c r="AV112" i="7"/>
  <c r="AV142" i="7"/>
  <c r="AV233" i="7"/>
  <c r="AV245" i="7"/>
  <c r="AV273" i="7"/>
  <c r="AV325" i="7"/>
  <c r="AV329" i="7"/>
  <c r="AV366" i="7"/>
  <c r="BE366" i="7" s="1"/>
  <c r="AV390" i="7"/>
  <c r="AV489" i="7"/>
  <c r="AV477" i="7"/>
  <c r="AV457" i="7"/>
  <c r="AV18" i="7"/>
  <c r="AV50" i="7"/>
  <c r="AV66" i="7"/>
  <c r="AV114" i="7"/>
  <c r="AV130" i="7"/>
  <c r="AV140" i="7"/>
  <c r="AV152" i="7"/>
  <c r="AV156" i="7"/>
  <c r="AV172" i="7"/>
  <c r="AV188" i="7"/>
  <c r="AV203" i="7"/>
  <c r="AV219" i="7"/>
  <c r="BE219" i="7" s="1"/>
  <c r="AV251" i="7"/>
  <c r="AV267" i="7"/>
  <c r="AV287" i="7"/>
  <c r="AV303" i="7"/>
  <c r="AV319" i="7"/>
  <c r="AV332" i="7"/>
  <c r="AV344" i="7"/>
  <c r="AV348" i="7"/>
  <c r="BE348" i="7" s="1"/>
  <c r="AV360" i="7"/>
  <c r="AV364" i="7"/>
  <c r="AV376" i="7"/>
  <c r="AV380" i="7"/>
  <c r="AV408" i="7"/>
  <c r="AV424" i="7"/>
  <c r="AV499" i="7"/>
  <c r="AV401" i="7"/>
  <c r="AV490" i="7"/>
  <c r="AZ27" i="7"/>
  <c r="AV313" i="7"/>
  <c r="BE313" i="7" s="1"/>
  <c r="AV330" i="7"/>
  <c r="AV350" i="7"/>
  <c r="AV497" i="7"/>
  <c r="AV441" i="7"/>
  <c r="AV15" i="7"/>
  <c r="AV31" i="7"/>
  <c r="AV47" i="7"/>
  <c r="AV63" i="7"/>
  <c r="AV95" i="7"/>
  <c r="AV111" i="7"/>
  <c r="AV127" i="7"/>
  <c r="AV149" i="7"/>
  <c r="AV165" i="7"/>
  <c r="BE165" i="7" s="1"/>
  <c r="AV181" i="7"/>
  <c r="AV80" i="7"/>
  <c r="AV216" i="7"/>
  <c r="AV232" i="7"/>
  <c r="AV264" i="7"/>
  <c r="AV292" i="7"/>
  <c r="AV328" i="7"/>
  <c r="AV341" i="7"/>
  <c r="AV369" i="7"/>
  <c r="AV437" i="7"/>
  <c r="AV482" i="7"/>
  <c r="AV68" i="7"/>
  <c r="AV92" i="7"/>
  <c r="BE92" i="7" s="1"/>
  <c r="AV96" i="7"/>
  <c r="BB104" i="7"/>
  <c r="AV124" i="7"/>
  <c r="AV182" i="7"/>
  <c r="AV195" i="7"/>
  <c r="AV229" i="7"/>
  <c r="AV277" i="7"/>
  <c r="BE277" i="7" s="1"/>
  <c r="AV289" i="7"/>
  <c r="AV321" i="7"/>
  <c r="BE321" i="7" s="1"/>
  <c r="AV370" i="7"/>
  <c r="AV410" i="7"/>
  <c r="AV430" i="7"/>
  <c r="AV404" i="7"/>
  <c r="AV420" i="7"/>
  <c r="AV436" i="7"/>
  <c r="AV405" i="7"/>
  <c r="AV498" i="7"/>
  <c r="AV150" i="7"/>
  <c r="AV217" i="7"/>
  <c r="AV305" i="7"/>
  <c r="AV334" i="7"/>
  <c r="AV418" i="7"/>
  <c r="AV493" i="7"/>
  <c r="AV19" i="7"/>
  <c r="AV35" i="7"/>
  <c r="AV51" i="7"/>
  <c r="AV67" i="7"/>
  <c r="AV83" i="7"/>
  <c r="AV99" i="7"/>
  <c r="AV115" i="7"/>
  <c r="BE115" i="7" s="1"/>
  <c r="AV131" i="7"/>
  <c r="BE131" i="7" s="1"/>
  <c r="AV136" i="7"/>
  <c r="AV153" i="7"/>
  <c r="AV169" i="7"/>
  <c r="AV185" i="7"/>
  <c r="AV220" i="7"/>
  <c r="AV236" i="7"/>
  <c r="BE236" i="7" s="1"/>
  <c r="AV248" i="7"/>
  <c r="AV252" i="7"/>
  <c r="AV268" i="7"/>
  <c r="AV280" i="7"/>
  <c r="AV284" i="7"/>
  <c r="AV296" i="7"/>
  <c r="AV300" i="7"/>
  <c r="AV312" i="7"/>
  <c r="AV316" i="7"/>
  <c r="BE316" i="7" s="1"/>
  <c r="AV133" i="7"/>
  <c r="AV478" i="7"/>
  <c r="AV28" i="7"/>
  <c r="AV32" i="7"/>
  <c r="AV84" i="7"/>
  <c r="AV128" i="7"/>
  <c r="BE128" i="7" s="1"/>
  <c r="AZ297" i="7"/>
  <c r="AV194" i="7"/>
  <c r="AV382" i="7"/>
  <c r="AV414" i="7"/>
  <c r="AV453" i="7"/>
  <c r="AV449" i="7"/>
  <c r="AV471" i="7"/>
  <c r="AV463" i="7"/>
  <c r="BE463" i="7" s="1"/>
  <c r="AV397" i="7"/>
  <c r="AV494" i="7"/>
  <c r="AV154" i="7"/>
  <c r="AV158" i="7"/>
  <c r="AV205" i="7"/>
  <c r="AV221" i="7"/>
  <c r="AV338" i="7"/>
  <c r="AV434" i="7"/>
  <c r="AV465" i="7"/>
  <c r="AV23" i="7"/>
  <c r="AV55" i="7"/>
  <c r="AV71" i="7"/>
  <c r="AV87" i="7"/>
  <c r="AV103" i="7"/>
  <c r="AV119" i="7"/>
  <c r="AV141" i="7"/>
  <c r="AV157" i="7"/>
  <c r="AV173" i="7"/>
  <c r="AV189" i="7"/>
  <c r="AV204" i="7"/>
  <c r="AV208" i="7"/>
  <c r="AV224" i="7"/>
  <c r="BB228" i="7"/>
  <c r="AV240" i="7"/>
  <c r="AV256" i="7"/>
  <c r="BE256" i="7" s="1"/>
  <c r="AV272" i="7"/>
  <c r="AV288" i="7"/>
  <c r="AV304" i="7"/>
  <c r="AV320" i="7"/>
  <c r="AV200" i="7"/>
  <c r="AV409" i="7"/>
  <c r="AV433" i="7"/>
  <c r="AV462" i="7"/>
  <c r="AV12" i="7"/>
  <c r="AV16" i="7"/>
  <c r="AV100" i="7"/>
  <c r="AV162" i="7"/>
  <c r="AV186" i="7"/>
  <c r="AV190" i="7"/>
  <c r="AV261" i="7"/>
  <c r="AV265" i="7"/>
  <c r="AV293" i="7"/>
  <c r="BE293" i="7" s="1"/>
  <c r="AV342" i="7"/>
  <c r="AV422" i="7"/>
  <c r="BE422" i="7" s="1"/>
  <c r="AV485" i="7"/>
  <c r="BE485" i="7" s="1"/>
  <c r="AV481" i="7"/>
  <c r="AG7" i="8" l="1"/>
  <c r="AX64" i="7"/>
  <c r="BE324" i="7"/>
  <c r="BE245" i="7"/>
  <c r="BB244" i="7"/>
  <c r="AZ11" i="7"/>
  <c r="AZ416" i="7"/>
  <c r="AY495" i="7"/>
  <c r="BB297" i="7"/>
  <c r="BE328" i="7"/>
  <c r="BE372" i="7"/>
  <c r="AX291" i="7"/>
  <c r="BE166" i="7"/>
  <c r="AX394" i="7"/>
  <c r="AZ193" i="7"/>
  <c r="AY145" i="7"/>
  <c r="BA309" i="7"/>
  <c r="AY39" i="7"/>
  <c r="BE79" i="7"/>
  <c r="AZ98" i="7"/>
  <c r="BA368" i="7"/>
  <c r="BE210" i="7"/>
  <c r="BE129" i="7"/>
  <c r="AZ495" i="7"/>
  <c r="AX294" i="7"/>
  <c r="BE445" i="7"/>
  <c r="BE54" i="7"/>
  <c r="BE262" i="7"/>
  <c r="AY442" i="7"/>
  <c r="BE423" i="7"/>
  <c r="BA331" i="7"/>
  <c r="BE421" i="7"/>
  <c r="BB308" i="7"/>
  <c r="BB145" i="7"/>
  <c r="AZ39" i="7"/>
  <c r="BE122" i="7"/>
  <c r="BE58" i="7"/>
  <c r="AZ174" i="7"/>
  <c r="BB291" i="7"/>
  <c r="BE333" i="7"/>
  <c r="BE113" i="7"/>
  <c r="BE202" i="7"/>
  <c r="AY85" i="7"/>
  <c r="AX70" i="7"/>
  <c r="BE427" i="7"/>
  <c r="BE276" i="7"/>
  <c r="BE75" i="7"/>
  <c r="BE132" i="7"/>
  <c r="BE56" i="7"/>
  <c r="BE465" i="7"/>
  <c r="BE251" i="7"/>
  <c r="BE18" i="7"/>
  <c r="BE474" i="7"/>
  <c r="BE47" i="7"/>
  <c r="AY192" i="7"/>
  <c r="AY352" i="7"/>
  <c r="AZ337" i="7"/>
  <c r="BA118" i="7"/>
  <c r="AX104" i="7"/>
  <c r="BB193" i="7"/>
  <c r="BB27" i="7"/>
  <c r="AX309" i="7"/>
  <c r="BA39" i="7"/>
  <c r="AX98" i="7"/>
  <c r="BB384" i="7"/>
  <c r="BB368" i="7"/>
  <c r="BA352" i="7"/>
  <c r="BB443" i="7"/>
  <c r="BB452" i="7"/>
  <c r="BB118" i="7"/>
  <c r="AX337" i="7"/>
  <c r="BB85" i="7"/>
  <c r="BA384" i="7"/>
  <c r="AZ308" i="7"/>
  <c r="AY27" i="7"/>
  <c r="AX354" i="7"/>
  <c r="AZ352" i="7"/>
  <c r="AZ452" i="7"/>
  <c r="AX467" i="7"/>
  <c r="AY452" i="7"/>
  <c r="AZ159" i="7"/>
  <c r="BE195" i="7"/>
  <c r="BE96" i="7"/>
  <c r="BE380" i="7"/>
  <c r="BE303" i="7"/>
  <c r="BE76" i="7"/>
  <c r="BE315" i="7"/>
  <c r="BE454" i="7"/>
  <c r="AX56" i="7"/>
  <c r="AY400" i="7"/>
  <c r="BE403" i="7"/>
  <c r="BE163" i="7"/>
  <c r="BE342" i="7"/>
  <c r="BE162" i="7"/>
  <c r="BE288" i="7"/>
  <c r="AY260" i="7"/>
  <c r="BE137" i="7"/>
  <c r="BE374" i="7"/>
  <c r="AZ426" i="7"/>
  <c r="AZ276" i="7"/>
  <c r="BB406" i="7"/>
  <c r="BE498" i="7"/>
  <c r="BE341" i="7"/>
  <c r="BE264" i="7"/>
  <c r="BE311" i="7"/>
  <c r="BB144" i="7"/>
  <c r="AX407" i="7"/>
  <c r="BE481" i="7"/>
  <c r="AY406" i="7"/>
  <c r="BE190" i="7"/>
  <c r="BE433" i="7"/>
  <c r="BE204" i="7"/>
  <c r="AX426" i="7"/>
  <c r="AY276" i="7"/>
  <c r="BE136" i="7"/>
  <c r="BE405" i="7"/>
  <c r="BE80" i="7"/>
  <c r="BE330" i="7"/>
  <c r="BA75" i="7"/>
  <c r="BE376" i="7"/>
  <c r="BE66" i="7"/>
  <c r="BE199" i="7"/>
  <c r="BE269" i="7"/>
  <c r="AX416" i="7"/>
  <c r="AZ192" i="7"/>
  <c r="BA144" i="7"/>
  <c r="BE183" i="7"/>
  <c r="BE151" i="7"/>
  <c r="BE93" i="7"/>
  <c r="BE49" i="7"/>
  <c r="BE281" i="7"/>
  <c r="BE431" i="7"/>
  <c r="BE367" i="7"/>
  <c r="BE105" i="7"/>
  <c r="BE346" i="7"/>
  <c r="BE368" i="7"/>
  <c r="BE241" i="7"/>
  <c r="BE143" i="7"/>
  <c r="BE212" i="7"/>
  <c r="BE98" i="7"/>
  <c r="BE310" i="7"/>
  <c r="BE336" i="7"/>
  <c r="BE134" i="7"/>
  <c r="BE154" i="7"/>
  <c r="BE133" i="7"/>
  <c r="BE83" i="7"/>
  <c r="AX260" i="7"/>
  <c r="AX11" i="7"/>
  <c r="BE94" i="7"/>
  <c r="BE391" i="7"/>
  <c r="BE322" i="7"/>
  <c r="AZ400" i="7"/>
  <c r="BA56" i="7"/>
  <c r="BE16" i="7"/>
  <c r="BE224" i="7"/>
  <c r="BE157" i="7"/>
  <c r="BE221" i="7"/>
  <c r="BE32" i="7"/>
  <c r="BE268" i="7"/>
  <c r="BE217" i="7"/>
  <c r="BE436" i="7"/>
  <c r="BE430" i="7"/>
  <c r="BE370" i="7"/>
  <c r="BE63" i="7"/>
  <c r="AZ43" i="7"/>
  <c r="BA11" i="7"/>
  <c r="BE424" i="7"/>
  <c r="BE140" i="7"/>
  <c r="BE489" i="7"/>
  <c r="BE325" i="7"/>
  <c r="BE44" i="7"/>
  <c r="BE323" i="7"/>
  <c r="BE180" i="7"/>
  <c r="BE90" i="7"/>
  <c r="BE26" i="7"/>
  <c r="BB416" i="7"/>
  <c r="BA416" i="7"/>
  <c r="BA98" i="7"/>
  <c r="AY368" i="7"/>
  <c r="BA336" i="7"/>
  <c r="BB192" i="7"/>
  <c r="AY144" i="7"/>
  <c r="AZ377" i="7"/>
  <c r="BB347" i="7"/>
  <c r="AZ310" i="7"/>
  <c r="BE274" i="7"/>
  <c r="BE97" i="7"/>
  <c r="BB400" i="7"/>
  <c r="AZ223" i="7"/>
  <c r="BE345" i="7"/>
  <c r="BE460" i="7"/>
  <c r="BE222" i="7"/>
  <c r="AY132" i="7"/>
  <c r="BE41" i="7"/>
  <c r="BE253" i="7"/>
  <c r="BB427" i="7"/>
  <c r="BE363" i="7"/>
  <c r="BE314" i="7"/>
  <c r="BE358" i="7"/>
  <c r="BE145" i="7"/>
  <c r="BE301" i="7"/>
  <c r="BE255" i="7"/>
  <c r="BE38" i="7"/>
  <c r="BE472" i="7"/>
  <c r="BE246" i="7"/>
  <c r="BE86" i="7"/>
  <c r="BE294" i="7"/>
  <c r="BB276" i="7"/>
  <c r="BE127" i="7"/>
  <c r="BE390" i="7"/>
  <c r="BE112" i="7"/>
  <c r="AZ438" i="7"/>
  <c r="BE353" i="7"/>
  <c r="BE371" i="7"/>
  <c r="AZ132" i="7"/>
  <c r="BE29" i="7"/>
  <c r="AX400" i="7"/>
  <c r="BB223" i="7"/>
  <c r="BE318" i="7"/>
  <c r="BE250" i="7"/>
  <c r="BE470" i="7"/>
  <c r="BE448" i="7"/>
  <c r="AX132" i="7"/>
  <c r="BE37" i="7"/>
  <c r="BE108" i="7"/>
  <c r="BE491" i="7"/>
  <c r="BE488" i="7"/>
  <c r="BE235" i="7"/>
  <c r="BE124" i="7"/>
  <c r="BE156" i="7"/>
  <c r="BE114" i="7"/>
  <c r="BE457" i="7"/>
  <c r="BE392" i="7"/>
  <c r="BE215" i="7"/>
  <c r="BE72" i="7"/>
  <c r="AY331" i="7"/>
  <c r="BE121" i="7"/>
  <c r="BE153" i="7"/>
  <c r="BE229" i="7"/>
  <c r="BB59" i="7"/>
  <c r="BE307" i="7"/>
  <c r="BE42" i="7"/>
  <c r="BE339" i="7"/>
  <c r="BE261" i="7"/>
  <c r="BE173" i="7"/>
  <c r="AZ228" i="7"/>
  <c r="BA209" i="7"/>
  <c r="BA285" i="7"/>
  <c r="AY170" i="7"/>
  <c r="BB108" i="7"/>
  <c r="BE304" i="7"/>
  <c r="BE55" i="7"/>
  <c r="AY108" i="7"/>
  <c r="BE99" i="7"/>
  <c r="BE410" i="7"/>
  <c r="AZ108" i="7"/>
  <c r="BE437" i="7"/>
  <c r="BE216" i="7"/>
  <c r="AZ177" i="7"/>
  <c r="BE497" i="7"/>
  <c r="BE499" i="7"/>
  <c r="BE152" i="7"/>
  <c r="BE469" i="7"/>
  <c r="BE211" i="7"/>
  <c r="BE30" i="7"/>
  <c r="BE456" i="7"/>
  <c r="BE45" i="7"/>
  <c r="AZ170" i="7"/>
  <c r="BE286" i="7"/>
  <c r="BA235" i="7"/>
  <c r="BE446" i="7"/>
  <c r="BE201" i="7"/>
  <c r="BE69" i="7"/>
  <c r="BE161" i="7"/>
  <c r="BE257" i="7"/>
  <c r="BE407" i="7"/>
  <c r="AZ458" i="7"/>
  <c r="BE23" i="7"/>
  <c r="BE471" i="7"/>
  <c r="AY458" i="7"/>
  <c r="BE284" i="7"/>
  <c r="AY177" i="7"/>
  <c r="BE19" i="7"/>
  <c r="BE305" i="7"/>
  <c r="BE369" i="7"/>
  <c r="BE292" i="7"/>
  <c r="BE350" i="7"/>
  <c r="AX209" i="7"/>
  <c r="BE332" i="7"/>
  <c r="BE267" i="7"/>
  <c r="BE142" i="7"/>
  <c r="BE450" i="7"/>
  <c r="BE198" i="7"/>
  <c r="BE295" i="7"/>
  <c r="BE247" i="7"/>
  <c r="BE425" i="7"/>
  <c r="AZ209" i="7"/>
  <c r="BE259" i="7"/>
  <c r="AZ285" i="7"/>
  <c r="BE196" i="7"/>
  <c r="BE258" i="7"/>
  <c r="BE187" i="7"/>
  <c r="BE155" i="7"/>
  <c r="BB447" i="7"/>
  <c r="BE444" i="7"/>
  <c r="BE238" i="7"/>
  <c r="BE109" i="7"/>
  <c r="BE415" i="7"/>
  <c r="BE383" i="7"/>
  <c r="BE218" i="7"/>
  <c r="BE53" i="7"/>
  <c r="BE60" i="7"/>
  <c r="BE65" i="7"/>
  <c r="BE265" i="7"/>
  <c r="BB166" i="7"/>
  <c r="BE462" i="7"/>
  <c r="BE240" i="7"/>
  <c r="BB177" i="7"/>
  <c r="BE87" i="7"/>
  <c r="BE494" i="7"/>
  <c r="AY166" i="7"/>
  <c r="BE84" i="7"/>
  <c r="BE280" i="7"/>
  <c r="BE220" i="7"/>
  <c r="BE67" i="7"/>
  <c r="AX166" i="7"/>
  <c r="AX20" i="7"/>
  <c r="BE149" i="7"/>
  <c r="BE490" i="7"/>
  <c r="BE273" i="7"/>
  <c r="BE455" i="7"/>
  <c r="BE327" i="7"/>
  <c r="BE362" i="7"/>
  <c r="BB209" i="7"/>
  <c r="BE388" i="7"/>
  <c r="BE110" i="7"/>
  <c r="BB445" i="7"/>
  <c r="BB285" i="7"/>
  <c r="BB442" i="7"/>
  <c r="AZ473" i="7"/>
  <c r="BE349" i="7"/>
  <c r="BE435" i="7"/>
  <c r="BE266" i="7"/>
  <c r="BE357" i="7"/>
  <c r="BE496" i="7"/>
  <c r="BE179" i="7"/>
  <c r="AZ166" i="7"/>
  <c r="BE326" i="7"/>
  <c r="BE379" i="7"/>
  <c r="BE500" i="7"/>
  <c r="AX271" i="7"/>
  <c r="BA54" i="7"/>
  <c r="BE466" i="7"/>
  <c r="AX331" i="7"/>
  <c r="BE478" i="7"/>
  <c r="BE334" i="7"/>
  <c r="BE233" i="7"/>
  <c r="BE381" i="7"/>
  <c r="BE46" i="7"/>
  <c r="BB438" i="7"/>
  <c r="AZ354" i="7"/>
  <c r="BA174" i="7"/>
  <c r="BA442" i="7"/>
  <c r="BA473" i="7"/>
  <c r="BE475" i="7"/>
  <c r="AX488" i="7"/>
  <c r="BE135" i="7"/>
  <c r="BB197" i="7"/>
  <c r="BE61" i="7"/>
  <c r="AY447" i="7"/>
  <c r="BA271" i="7"/>
  <c r="BB354" i="7"/>
  <c r="BE487" i="7"/>
  <c r="AZ331" i="7"/>
  <c r="BE167" i="7"/>
  <c r="BE125" i="7"/>
  <c r="AZ235" i="7"/>
  <c r="AZ54" i="7"/>
  <c r="AZ443" i="7"/>
  <c r="BE351" i="7"/>
  <c r="BE282" i="7"/>
  <c r="BE308" i="7"/>
  <c r="BE91" i="7"/>
  <c r="AY473" i="7"/>
  <c r="BE170" i="7"/>
  <c r="BE426" i="7"/>
  <c r="BE377" i="7"/>
  <c r="BE175" i="7"/>
  <c r="BE479" i="7"/>
  <c r="BE176" i="7"/>
  <c r="BC394" i="7"/>
  <c r="AZ244" i="7"/>
  <c r="BE189" i="7"/>
  <c r="BE103" i="7"/>
  <c r="AZ358" i="7"/>
  <c r="BE35" i="7"/>
  <c r="BE404" i="7"/>
  <c r="BE232" i="7"/>
  <c r="AX59" i="7"/>
  <c r="BE203" i="7"/>
  <c r="BE329" i="7"/>
  <c r="BE263" i="7"/>
  <c r="AY412" i="7"/>
  <c r="BE300" i="7"/>
  <c r="BE169" i="7"/>
  <c r="BE482" i="7"/>
  <c r="BE95" i="7"/>
  <c r="BA59" i="7"/>
  <c r="AX412" i="7"/>
  <c r="BE50" i="7"/>
  <c r="BE486" i="7"/>
  <c r="BE386" i="7"/>
  <c r="BE178" i="7"/>
  <c r="AZ491" i="7"/>
  <c r="AZ412" i="7"/>
  <c r="BE227" i="7"/>
  <c r="BE148" i="7"/>
  <c r="BE74" i="7"/>
  <c r="AX438" i="7"/>
  <c r="BA438" i="7"/>
  <c r="AX473" i="7"/>
  <c r="BE36" i="7"/>
  <c r="BE290" i="7"/>
  <c r="AX191" i="7"/>
  <c r="BE138" i="7"/>
  <c r="AZ447" i="7"/>
  <c r="BB271" i="7"/>
  <c r="AX223" i="7"/>
  <c r="BA170" i="7"/>
  <c r="AZ442" i="7"/>
  <c r="BE365" i="7"/>
  <c r="BB423" i="7"/>
  <c r="BE387" i="7"/>
  <c r="BE254" i="7"/>
  <c r="AX235" i="7"/>
  <c r="AX54" i="7"/>
  <c r="BE116" i="7"/>
  <c r="AX377" i="7"/>
  <c r="BE480" i="7"/>
  <c r="AZ407" i="7"/>
  <c r="AY347" i="7"/>
  <c r="AY278" i="7"/>
  <c r="BE309" i="7"/>
  <c r="BE160" i="7"/>
  <c r="BE389" i="7"/>
  <c r="AX278" i="7"/>
  <c r="BE85" i="7"/>
  <c r="BE27" i="7"/>
  <c r="BE225" i="7"/>
  <c r="BE343" i="7"/>
  <c r="BE384" i="7"/>
  <c r="BE107" i="7"/>
  <c r="BE100" i="7"/>
  <c r="BE320" i="7"/>
  <c r="BE414" i="7"/>
  <c r="BB60" i="7"/>
  <c r="AX161" i="7"/>
  <c r="BE344" i="7"/>
  <c r="AY491" i="7"/>
  <c r="BE409" i="7"/>
  <c r="BB394" i="7"/>
  <c r="BE28" i="7"/>
  <c r="BE296" i="7"/>
  <c r="AY161" i="7"/>
  <c r="BE493" i="7"/>
  <c r="AZ394" i="7"/>
  <c r="BE289" i="7"/>
  <c r="BE182" i="7"/>
  <c r="BE441" i="7"/>
  <c r="AZ59" i="7"/>
  <c r="BB491" i="7"/>
  <c r="BE319" i="7"/>
  <c r="BE172" i="7"/>
  <c r="BE283" i="7"/>
  <c r="BE231" i="7"/>
  <c r="BE168" i="7"/>
  <c r="BE120" i="7"/>
  <c r="BE24" i="7"/>
  <c r="BA491" i="7"/>
  <c r="BA412" i="7"/>
  <c r="BE340" i="7"/>
  <c r="BE275" i="7"/>
  <c r="BE126" i="7"/>
  <c r="BE62" i="7"/>
  <c r="BE10" i="7"/>
  <c r="AY438" i="7"/>
  <c r="BB174" i="7"/>
  <c r="AX81" i="7"/>
  <c r="AX423" i="7"/>
  <c r="BB331" i="7"/>
  <c r="BB278" i="7"/>
  <c r="AX447" i="7"/>
  <c r="BA447" i="7"/>
  <c r="BB56" i="7"/>
  <c r="AX466" i="7"/>
  <c r="BE361" i="7"/>
  <c r="BB488" i="7"/>
  <c r="AZ347" i="7"/>
  <c r="AZ278" i="7"/>
  <c r="BE57" i="7"/>
  <c r="BB235" i="7"/>
  <c r="AY54" i="7"/>
  <c r="BE484" i="7"/>
  <c r="AY423" i="7"/>
  <c r="BE335" i="7"/>
  <c r="AZ230" i="7"/>
  <c r="BE461" i="7"/>
  <c r="AY209" i="7"/>
  <c r="BE102" i="7"/>
  <c r="BE378" i="7"/>
  <c r="BE17" i="7"/>
  <c r="BE88" i="7"/>
  <c r="BE123" i="7"/>
  <c r="BE213" i="7"/>
  <c r="BE239" i="7"/>
  <c r="BE101" i="7"/>
  <c r="BE373" i="7"/>
  <c r="AX88" i="7"/>
  <c r="BE12" i="7"/>
  <c r="BE272" i="7"/>
  <c r="BE208" i="7"/>
  <c r="BE205" i="7"/>
  <c r="BE449" i="7"/>
  <c r="BE194" i="7"/>
  <c r="BE312" i="7"/>
  <c r="BE185" i="7"/>
  <c r="AZ123" i="7"/>
  <c r="BE68" i="7"/>
  <c r="BB43" i="7"/>
  <c r="BE287" i="7"/>
  <c r="BE477" i="7"/>
  <c r="BE52" i="7"/>
  <c r="BE385" i="7"/>
  <c r="BE356" i="7"/>
  <c r="BE299" i="7"/>
  <c r="BE48" i="7"/>
  <c r="BE429" i="7"/>
  <c r="BE243" i="7"/>
  <c r="BE164" i="7"/>
  <c r="BE78" i="7"/>
  <c r="BE22" i="7"/>
  <c r="AX445" i="7"/>
  <c r="BA445" i="7"/>
  <c r="BA378" i="7"/>
  <c r="BB241" i="7"/>
  <c r="AZ81" i="7"/>
  <c r="AZ301" i="7"/>
  <c r="BA291" i="7"/>
  <c r="BE249" i="7"/>
  <c r="AZ500" i="7"/>
  <c r="AX343" i="7"/>
  <c r="AY326" i="7"/>
  <c r="BE171" i="7"/>
  <c r="BE139" i="7"/>
  <c r="AY117" i="7"/>
  <c r="AZ255" i="7"/>
  <c r="AZ239" i="7"/>
  <c r="AX241" i="7"/>
  <c r="AZ373" i="7"/>
  <c r="BE451" i="7"/>
  <c r="BB500" i="7"/>
  <c r="BE419" i="7"/>
  <c r="AY379" i="7"/>
  <c r="BE302" i="7"/>
  <c r="BE270" i="7"/>
  <c r="AY246" i="7"/>
  <c r="BE206" i="7"/>
  <c r="BB117" i="7"/>
  <c r="AY213" i="7"/>
  <c r="BA213" i="7"/>
  <c r="BA102" i="7"/>
  <c r="BA86" i="7"/>
  <c r="BA70" i="7"/>
  <c r="BA38" i="7"/>
  <c r="BE237" i="7"/>
  <c r="BE399" i="7"/>
  <c r="AZ343" i="7"/>
  <c r="BE89" i="7"/>
  <c r="AX324" i="7"/>
  <c r="BE271" i="7"/>
  <c r="BE354" i="7"/>
  <c r="BE174" i="7"/>
  <c r="BE443" i="7"/>
  <c r="AX379" i="7"/>
  <c r="AX101" i="7"/>
  <c r="BE428" i="7"/>
  <c r="BE458" i="7"/>
  <c r="AY70" i="7"/>
  <c r="BA500" i="7"/>
  <c r="AY60" i="7"/>
  <c r="BE200" i="7"/>
  <c r="BE141" i="7"/>
  <c r="BE71" i="7"/>
  <c r="BE434" i="7"/>
  <c r="BE158" i="7"/>
  <c r="BE397" i="7"/>
  <c r="BE453" i="7"/>
  <c r="BE252" i="7"/>
  <c r="BE51" i="7"/>
  <c r="BE418" i="7"/>
  <c r="BE150" i="7"/>
  <c r="BE420" i="7"/>
  <c r="BE111" i="7"/>
  <c r="BE31" i="7"/>
  <c r="AX43" i="7"/>
  <c r="BE401" i="7"/>
  <c r="BE364" i="7"/>
  <c r="BE188" i="7"/>
  <c r="BE184" i="7"/>
  <c r="BE106" i="7"/>
  <c r="BE14" i="7"/>
  <c r="AY445" i="7"/>
  <c r="BA241" i="7"/>
  <c r="BB81" i="7"/>
  <c r="AY301" i="7"/>
  <c r="AY291" i="7"/>
  <c r="AX373" i="7"/>
  <c r="BE439" i="7"/>
  <c r="BE359" i="7"/>
  <c r="BE77" i="7"/>
  <c r="AY17" i="7"/>
  <c r="BB255" i="7"/>
  <c r="AY239" i="7"/>
  <c r="AY378" i="7"/>
  <c r="BE459" i="7"/>
  <c r="BE476" i="7"/>
  <c r="BB326" i="7"/>
  <c r="AY143" i="7"/>
  <c r="BE73" i="7"/>
  <c r="BE25" i="7"/>
  <c r="BB213" i="7"/>
  <c r="AY86" i="7"/>
  <c r="AZ70" i="7"/>
  <c r="BB38" i="7"/>
  <c r="BE464" i="7"/>
  <c r="AX500" i="7"/>
  <c r="BE298" i="7"/>
  <c r="AZ117" i="7"/>
  <c r="BE21" i="7"/>
  <c r="BE375" i="7"/>
  <c r="BE317" i="7"/>
  <c r="AY43" i="7"/>
  <c r="BE260" i="7"/>
  <c r="BA379" i="7"/>
  <c r="BB358" i="7"/>
  <c r="BE186" i="7"/>
  <c r="AZ20" i="7"/>
  <c r="BB324" i="7"/>
  <c r="BE119" i="7"/>
  <c r="BE338" i="7"/>
  <c r="BE382" i="7"/>
  <c r="AZ324" i="7"/>
  <c r="BE248" i="7"/>
  <c r="AY358" i="7"/>
  <c r="AZ60" i="7"/>
  <c r="AY324" i="7"/>
  <c r="BE181" i="7"/>
  <c r="BE15" i="7"/>
  <c r="BE408" i="7"/>
  <c r="BE360" i="7"/>
  <c r="BE130" i="7"/>
  <c r="BE413" i="7"/>
  <c r="AZ445" i="7"/>
  <c r="AX378" i="7"/>
  <c r="AY81" i="7"/>
  <c r="BB301" i="7"/>
  <c r="AZ427" i="7"/>
  <c r="AZ379" i="7"/>
  <c r="BE355" i="7"/>
  <c r="BE226" i="7"/>
  <c r="BB101" i="7"/>
  <c r="BE13" i="7"/>
  <c r="AY255" i="7"/>
  <c r="BB239" i="7"/>
  <c r="AY427" i="7"/>
  <c r="BB343" i="7"/>
  <c r="BE234" i="7"/>
  <c r="AZ101" i="7"/>
  <c r="AX213" i="7"/>
  <c r="BB102" i="7"/>
  <c r="AX86" i="7"/>
  <c r="AX38" i="7"/>
  <c r="BE40" i="7"/>
  <c r="AY373" i="7"/>
  <c r="BE147" i="7"/>
  <c r="BE39" i="7"/>
  <c r="BE398" i="7"/>
  <c r="AY500" i="7"/>
  <c r="BE104" i="7"/>
  <c r="BE352" i="7"/>
  <c r="BE467" i="7"/>
  <c r="BE193" i="7"/>
  <c r="BA101" i="7"/>
  <c r="AZ326" i="7"/>
  <c r="AZ17" i="7"/>
  <c r="BE207" i="7"/>
  <c r="BE146" i="7"/>
  <c r="BE495" i="7"/>
  <c r="BA166" i="7"/>
  <c r="BE291" i="7"/>
  <c r="BE43" i="7"/>
  <c r="AY467" i="7"/>
  <c r="BB175" i="7"/>
  <c r="BE228" i="7"/>
  <c r="AX384" i="7"/>
  <c r="BE223" i="7"/>
  <c r="BE285" i="7"/>
  <c r="BE416" i="7"/>
  <c r="BE144" i="7"/>
  <c r="BE406" i="7"/>
  <c r="BE394" i="7"/>
  <c r="BE11" i="7"/>
  <c r="AZ191" i="7"/>
  <c r="BE191" i="7"/>
  <c r="BE442" i="7"/>
  <c r="BE473" i="7"/>
  <c r="BE440" i="7"/>
  <c r="AY197" i="7"/>
  <c r="BE197" i="7"/>
  <c r="BA214" i="7"/>
  <c r="BE214" i="7"/>
  <c r="BA244" i="7"/>
  <c r="BE244" i="7"/>
  <c r="AX452" i="7"/>
  <c r="BE452" i="7"/>
  <c r="BA337" i="7"/>
  <c r="BE337" i="7"/>
  <c r="BA159" i="7"/>
  <c r="BE159" i="7"/>
  <c r="AY118" i="7"/>
  <c r="BE118" i="7"/>
  <c r="BA177" i="7"/>
  <c r="BE177" i="7"/>
  <c r="AZ102" i="7"/>
  <c r="AY310" i="7"/>
  <c r="BB143" i="7"/>
  <c r="BE432" i="7"/>
  <c r="BA278" i="7"/>
  <c r="BE20" i="7"/>
  <c r="BE81" i="7"/>
  <c r="BE297" i="7"/>
  <c r="BE400" i="7"/>
  <c r="BE192" i="7"/>
  <c r="BE34" i="7"/>
  <c r="BA324" i="7"/>
  <c r="BE70" i="7"/>
  <c r="BE64" i="7"/>
  <c r="BE396" i="7"/>
  <c r="BC485" i="7"/>
  <c r="BC293" i="7"/>
  <c r="BC119" i="7"/>
  <c r="BC338" i="7"/>
  <c r="BC154" i="7"/>
  <c r="BC463" i="7"/>
  <c r="BC422" i="7"/>
  <c r="BC342" i="7"/>
  <c r="BC265" i="7"/>
  <c r="BC100" i="7"/>
  <c r="BC16" i="7"/>
  <c r="BC433" i="7"/>
  <c r="BC320" i="7"/>
  <c r="BC189" i="7"/>
  <c r="BC157" i="7"/>
  <c r="BC103" i="7"/>
  <c r="BC23" i="7"/>
  <c r="BC221" i="7"/>
  <c r="BC471" i="7"/>
  <c r="BC414" i="7"/>
  <c r="BC128" i="7"/>
  <c r="BC316" i="7"/>
  <c r="BC296" i="7"/>
  <c r="BC268" i="7"/>
  <c r="BC131" i="7"/>
  <c r="BC83" i="7"/>
  <c r="BC19" i="7"/>
  <c r="BC305" i="7"/>
  <c r="BC405" i="7"/>
  <c r="BC321" i="7"/>
  <c r="BC229" i="7"/>
  <c r="BC124" i="7"/>
  <c r="BC92" i="7"/>
  <c r="BC369" i="7"/>
  <c r="BC216" i="7"/>
  <c r="BC63" i="7"/>
  <c r="BC441" i="7"/>
  <c r="BC313" i="7"/>
  <c r="BC499" i="7"/>
  <c r="BC380" i="7"/>
  <c r="BC348" i="7"/>
  <c r="BC303" i="7"/>
  <c r="BC219" i="7"/>
  <c r="BC156" i="7"/>
  <c r="BC114" i="7"/>
  <c r="BC457" i="7"/>
  <c r="BC366" i="7"/>
  <c r="BC245" i="7"/>
  <c r="BC76" i="7"/>
  <c r="BC417" i="7"/>
  <c r="BC392" i="7"/>
  <c r="BC315" i="7"/>
  <c r="BC279" i="7"/>
  <c r="BC215" i="7"/>
  <c r="BC79" i="7"/>
  <c r="BC82" i="7"/>
  <c r="BC72" i="7"/>
  <c r="BC454" i="7"/>
  <c r="BC393" i="7"/>
  <c r="BC323" i="7"/>
  <c r="BC259" i="7"/>
  <c r="BC180" i="7"/>
  <c r="BC122" i="7"/>
  <c r="BC90" i="7"/>
  <c r="BC58" i="7"/>
  <c r="BC26" i="7"/>
  <c r="BC402" i="7"/>
  <c r="BC36" i="7"/>
  <c r="BC475" i="7"/>
  <c r="BC135" i="7"/>
  <c r="BC306" i="7"/>
  <c r="BC274" i="7"/>
  <c r="BC210" i="7"/>
  <c r="BC129" i="7"/>
  <c r="BC97" i="7"/>
  <c r="BC45" i="7"/>
  <c r="BC349" i="7"/>
  <c r="BC483" i="7"/>
  <c r="BC492" i="7"/>
  <c r="BC387" i="7"/>
  <c r="BC339" i="7"/>
  <c r="BC250" i="7"/>
  <c r="BC222" i="7"/>
  <c r="BC125" i="7"/>
  <c r="BC93" i="7"/>
  <c r="BC57" i="7"/>
  <c r="BC49" i="7"/>
  <c r="BC281" i="7"/>
  <c r="BC40" i="7"/>
  <c r="BC464" i="7"/>
  <c r="BC415" i="7"/>
  <c r="BC395" i="7"/>
  <c r="BC363" i="7"/>
  <c r="BC335" i="7"/>
  <c r="BC314" i="7"/>
  <c r="BC282" i="7"/>
  <c r="BC163" i="7"/>
  <c r="BC53" i="7"/>
  <c r="BC461" i="7"/>
  <c r="AX244" i="7"/>
  <c r="BC91" i="7"/>
  <c r="BC346" i="7"/>
  <c r="BC432" i="7"/>
  <c r="BC271" i="7"/>
  <c r="BC54" i="7"/>
  <c r="BC354" i="7"/>
  <c r="BC174" i="7"/>
  <c r="BC443" i="7"/>
  <c r="BC427" i="7"/>
  <c r="BC326" i="7"/>
  <c r="BC143" i="7"/>
  <c r="BC317" i="7"/>
  <c r="BC212" i="7"/>
  <c r="BC416" i="7"/>
  <c r="BC144" i="7"/>
  <c r="BC377" i="7"/>
  <c r="BC347" i="7"/>
  <c r="AX159" i="7"/>
  <c r="BC88" i="7"/>
  <c r="BC123" i="7"/>
  <c r="BC225" i="7"/>
  <c r="BC336" i="7"/>
  <c r="BC134" i="7"/>
  <c r="BC34" i="7"/>
  <c r="BC488" i="7"/>
  <c r="BC230" i="7"/>
  <c r="BC379" i="7"/>
  <c r="BC500" i="7"/>
  <c r="BC101" i="7"/>
  <c r="BC291" i="7"/>
  <c r="BC70" i="7"/>
  <c r="BC64" i="7"/>
  <c r="BC107" i="7"/>
  <c r="BC396" i="7"/>
  <c r="BC141" i="7"/>
  <c r="BC158" i="7"/>
  <c r="BC186" i="7"/>
  <c r="BC288" i="7"/>
  <c r="BC256" i="7"/>
  <c r="BC224" i="7"/>
  <c r="BC382" i="7"/>
  <c r="BC481" i="7"/>
  <c r="BC261" i="7"/>
  <c r="BC162" i="7"/>
  <c r="BC12" i="7"/>
  <c r="BC409" i="7"/>
  <c r="BC272" i="7"/>
  <c r="BC240" i="7"/>
  <c r="BC208" i="7"/>
  <c r="BC87" i="7"/>
  <c r="BC465" i="7"/>
  <c r="BC205" i="7"/>
  <c r="BC494" i="7"/>
  <c r="BC449" i="7"/>
  <c r="BC194" i="7"/>
  <c r="BC32" i="7"/>
  <c r="BC478" i="7"/>
  <c r="BC312" i="7"/>
  <c r="BC284" i="7"/>
  <c r="BC236" i="7"/>
  <c r="BC185" i="7"/>
  <c r="BC153" i="7"/>
  <c r="BC67" i="7"/>
  <c r="BC493" i="7"/>
  <c r="BC217" i="7"/>
  <c r="BC436" i="7"/>
  <c r="BC430" i="7"/>
  <c r="BC195" i="7"/>
  <c r="BC68" i="7"/>
  <c r="BC341" i="7"/>
  <c r="BC292" i="7"/>
  <c r="BC80" i="7"/>
  <c r="BC165" i="7"/>
  <c r="BC127" i="7"/>
  <c r="BC47" i="7"/>
  <c r="BC497" i="7"/>
  <c r="BC490" i="7"/>
  <c r="BC424" i="7"/>
  <c r="BC376" i="7"/>
  <c r="BC344" i="7"/>
  <c r="BC287" i="7"/>
  <c r="BC203" i="7"/>
  <c r="BC152" i="7"/>
  <c r="BC66" i="7"/>
  <c r="BC477" i="7"/>
  <c r="BC329" i="7"/>
  <c r="BC233" i="7"/>
  <c r="BC52" i="7"/>
  <c r="BC385" i="7"/>
  <c r="BC356" i="7"/>
  <c r="BC299" i="7"/>
  <c r="BC263" i="7"/>
  <c r="BC199" i="7"/>
  <c r="BC469" i="7"/>
  <c r="BC269" i="7"/>
  <c r="BC48" i="7"/>
  <c r="BC429" i="7"/>
  <c r="BC381" i="7"/>
  <c r="BC388" i="7"/>
  <c r="BC311" i="7"/>
  <c r="BC243" i="7"/>
  <c r="BC164" i="7"/>
  <c r="BC110" i="7"/>
  <c r="BC78" i="7"/>
  <c r="BC46" i="7"/>
  <c r="BC22" i="7"/>
  <c r="BC249" i="7"/>
  <c r="BC333" i="7"/>
  <c r="BC371" i="7"/>
  <c r="BC258" i="7"/>
  <c r="BC171" i="7"/>
  <c r="BC139" i="7"/>
  <c r="BC29" i="7"/>
  <c r="BC33" i="7"/>
  <c r="BC345" i="7"/>
  <c r="BC451" i="7"/>
  <c r="BC487" i="7"/>
  <c r="BC460" i="7"/>
  <c r="BC419" i="7"/>
  <c r="BC302" i="7"/>
  <c r="BC270" i="7"/>
  <c r="BC206" i="7"/>
  <c r="BC183" i="7"/>
  <c r="BC151" i="7"/>
  <c r="BC41" i="7"/>
  <c r="BC253" i="7"/>
  <c r="BC446" i="7"/>
  <c r="BC357" i="7"/>
  <c r="BC480" i="7"/>
  <c r="BC431" i="7"/>
  <c r="BC411" i="7"/>
  <c r="BC383" i="7"/>
  <c r="BC351" i="7"/>
  <c r="BC121" i="7"/>
  <c r="BC89" i="7"/>
  <c r="BC37" i="7"/>
  <c r="BC358" i="7"/>
  <c r="BC60" i="7"/>
  <c r="BC228" i="7"/>
  <c r="BC39" i="7"/>
  <c r="BC309" i="7"/>
  <c r="BC223" i="7"/>
  <c r="BC285" i="7"/>
  <c r="BC170" i="7"/>
  <c r="BC104" i="7"/>
  <c r="BC145" i="7"/>
  <c r="BC27" i="7"/>
  <c r="BC352" i="7"/>
  <c r="BC98" i="7"/>
  <c r="BC467" i="7"/>
  <c r="BC310" i="7"/>
  <c r="BC132" i="7"/>
  <c r="BC458" i="7"/>
  <c r="BC59" i="7"/>
  <c r="BC213" i="7"/>
  <c r="BC239" i="7"/>
  <c r="BC56" i="7"/>
  <c r="BC407" i="7"/>
  <c r="BC175" i="7"/>
  <c r="BC442" i="7"/>
  <c r="BC331" i="7"/>
  <c r="BC278" i="7"/>
  <c r="BC447" i="7"/>
  <c r="BC235" i="7"/>
  <c r="BC473" i="7"/>
  <c r="BC440" i="7"/>
  <c r="BC324" i="7"/>
  <c r="BC43" i="7"/>
  <c r="BC200" i="7"/>
  <c r="BC304" i="7"/>
  <c r="BC204" i="7"/>
  <c r="BC71" i="7"/>
  <c r="BC397" i="7"/>
  <c r="BC28" i="7"/>
  <c r="BC133" i="7"/>
  <c r="BC280" i="7"/>
  <c r="BC252" i="7"/>
  <c r="BC115" i="7"/>
  <c r="BC51" i="7"/>
  <c r="BC418" i="7"/>
  <c r="BC150" i="7"/>
  <c r="BC420" i="7"/>
  <c r="BC370" i="7"/>
  <c r="BC289" i="7"/>
  <c r="BC182" i="7"/>
  <c r="BC482" i="7"/>
  <c r="BC328" i="7"/>
  <c r="BC232" i="7"/>
  <c r="BC111" i="7"/>
  <c r="BC31" i="7"/>
  <c r="BC350" i="7"/>
  <c r="BC401" i="7"/>
  <c r="BC364" i="7"/>
  <c r="BC332" i="7"/>
  <c r="BC267" i="7"/>
  <c r="BC188" i="7"/>
  <c r="BC140" i="7"/>
  <c r="BC50" i="7"/>
  <c r="BC489" i="7"/>
  <c r="BC325" i="7"/>
  <c r="BC142" i="7"/>
  <c r="BC450" i="7"/>
  <c r="BC486" i="7"/>
  <c r="BC198" i="7"/>
  <c r="BC295" i="7"/>
  <c r="BC247" i="7"/>
  <c r="BC184" i="7"/>
  <c r="BC386" i="7"/>
  <c r="BC178" i="7"/>
  <c r="BC44" i="7"/>
  <c r="BC425" i="7"/>
  <c r="BC372" i="7"/>
  <c r="BC307" i="7"/>
  <c r="BC227" i="7"/>
  <c r="BC148" i="7"/>
  <c r="BC106" i="7"/>
  <c r="BC74" i="7"/>
  <c r="BC42" i="7"/>
  <c r="BC14" i="7"/>
  <c r="BC439" i="7"/>
  <c r="BC391" i="7"/>
  <c r="BC359" i="7"/>
  <c r="BC322" i="7"/>
  <c r="BC290" i="7"/>
  <c r="BC242" i="7"/>
  <c r="BC138" i="7"/>
  <c r="BC113" i="7"/>
  <c r="BC77" i="7"/>
  <c r="BC365" i="7"/>
  <c r="BC459" i="7"/>
  <c r="BC476" i="7"/>
  <c r="BC435" i="7"/>
  <c r="BC266" i="7"/>
  <c r="BC238" i="7"/>
  <c r="BC202" i="7"/>
  <c r="BC109" i="7"/>
  <c r="BC73" i="7"/>
  <c r="BC25" i="7"/>
  <c r="BC237" i="7"/>
  <c r="BC470" i="7"/>
  <c r="BC448" i="7"/>
  <c r="BC484" i="7"/>
  <c r="BC201" i="7"/>
  <c r="BC298" i="7"/>
  <c r="BC179" i="7"/>
  <c r="BC147" i="7"/>
  <c r="BC21" i="7"/>
  <c r="BC445" i="7"/>
  <c r="BC368" i="7"/>
  <c r="BC160" i="7"/>
  <c r="BC398" i="7"/>
  <c r="BC257" i="7"/>
  <c r="BC389" i="7"/>
  <c r="BC468" i="7"/>
  <c r="BC375" i="7"/>
  <c r="BC262" i="7"/>
  <c r="BC85" i="7"/>
  <c r="BC20" i="7"/>
  <c r="BC81" i="7"/>
  <c r="BC301" i="7"/>
  <c r="BC255" i="7"/>
  <c r="BC38" i="7"/>
  <c r="BC472" i="7"/>
  <c r="BC246" i="7"/>
  <c r="BC65" i="7"/>
  <c r="BC406" i="7"/>
  <c r="BC260" i="7"/>
  <c r="BC11" i="7"/>
  <c r="BC412" i="7"/>
  <c r="BC86" i="7"/>
  <c r="BC373" i="7"/>
  <c r="BC343" i="7"/>
  <c r="BC117" i="7"/>
  <c r="BC466" i="7"/>
  <c r="BC421" i="7"/>
  <c r="BC214" i="7"/>
  <c r="BC479" i="7"/>
  <c r="BC176" i="7"/>
  <c r="AY394" i="7"/>
  <c r="BC244" i="7"/>
  <c r="BC190" i="7"/>
  <c r="BC173" i="7"/>
  <c r="BC434" i="7"/>
  <c r="BC453" i="7"/>
  <c r="BC462" i="7"/>
  <c r="BC55" i="7"/>
  <c r="BC84" i="7"/>
  <c r="BC300" i="7"/>
  <c r="BC248" i="7"/>
  <c r="BC220" i="7"/>
  <c r="BC169" i="7"/>
  <c r="BC136" i="7"/>
  <c r="BC99" i="7"/>
  <c r="BC35" i="7"/>
  <c r="BC334" i="7"/>
  <c r="BC498" i="7"/>
  <c r="BC404" i="7"/>
  <c r="BC410" i="7"/>
  <c r="BC277" i="7"/>
  <c r="BC96" i="7"/>
  <c r="BC437" i="7"/>
  <c r="BC264" i="7"/>
  <c r="BC181" i="7"/>
  <c r="BC149" i="7"/>
  <c r="BC95" i="7"/>
  <c r="BC15" i="7"/>
  <c r="BC330" i="7"/>
  <c r="BC408" i="7"/>
  <c r="BC360" i="7"/>
  <c r="BC319" i="7"/>
  <c r="BC251" i="7"/>
  <c r="BC172" i="7"/>
  <c r="BC130" i="7"/>
  <c r="BC18" i="7"/>
  <c r="BC390" i="7"/>
  <c r="BC273" i="7"/>
  <c r="BC112" i="7"/>
  <c r="BC474" i="7"/>
  <c r="BC455" i="7"/>
  <c r="BC327" i="7"/>
  <c r="BC283" i="7"/>
  <c r="BC231" i="7"/>
  <c r="BC168" i="7"/>
  <c r="BC362" i="7"/>
  <c r="BC120" i="7"/>
  <c r="BC24" i="7"/>
  <c r="BC413" i="7"/>
  <c r="BC340" i="7"/>
  <c r="BC275" i="7"/>
  <c r="BC211" i="7"/>
  <c r="BC126" i="7"/>
  <c r="BC94" i="7"/>
  <c r="BC62" i="7"/>
  <c r="BC30" i="7"/>
  <c r="BC10" i="7"/>
  <c r="BC353" i="7"/>
  <c r="BC456" i="7"/>
  <c r="BC355" i="7"/>
  <c r="BC196" i="7"/>
  <c r="BC226" i="7"/>
  <c r="BC187" i="7"/>
  <c r="BC155" i="7"/>
  <c r="BC61" i="7"/>
  <c r="BC13" i="7"/>
  <c r="BC361" i="7"/>
  <c r="BC137" i="7"/>
  <c r="BC444" i="7"/>
  <c r="BC403" i="7"/>
  <c r="BC318" i="7"/>
  <c r="BC286" i="7"/>
  <c r="BC254" i="7"/>
  <c r="BC234" i="7"/>
  <c r="BC167" i="7"/>
  <c r="BC374" i="7"/>
  <c r="BC116" i="7"/>
  <c r="BC496" i="7"/>
  <c r="BC399" i="7"/>
  <c r="BC367" i="7"/>
  <c r="BC218" i="7"/>
  <c r="BC105" i="7"/>
  <c r="BC69" i="7"/>
  <c r="BC108" i="7"/>
  <c r="BC308" i="7"/>
  <c r="BC161" i="7"/>
  <c r="BC438" i="7"/>
  <c r="BC491" i="7"/>
  <c r="BC102" i="7"/>
  <c r="BC378" i="7"/>
  <c r="BC241" i="7"/>
  <c r="BC197" i="7"/>
  <c r="BC426" i="7"/>
  <c r="BC276" i="7"/>
  <c r="BC75" i="7"/>
  <c r="BC428" i="7"/>
  <c r="BC207" i="7"/>
  <c r="BC146" i="7"/>
  <c r="BC423" i="7"/>
  <c r="BC191" i="7"/>
  <c r="BC17" i="7"/>
  <c r="BC297" i="7"/>
  <c r="BC193" i="7"/>
  <c r="BC400" i="7"/>
  <c r="BC192" i="7"/>
  <c r="BC495" i="7"/>
  <c r="BC294" i="7"/>
  <c r="BC452" i="7"/>
  <c r="BC337" i="7"/>
  <c r="BC159" i="7"/>
  <c r="BC384" i="7"/>
  <c r="BC118" i="7"/>
  <c r="BC166" i="7"/>
  <c r="BC177" i="7"/>
  <c r="BC209" i="7"/>
  <c r="BB461" i="7"/>
  <c r="BB317" i="7"/>
  <c r="BB64" i="7"/>
  <c r="AZ317" i="7"/>
  <c r="AY123" i="7"/>
  <c r="AY107" i="7"/>
  <c r="AZ91" i="7"/>
  <c r="AZ75" i="7"/>
  <c r="BB225" i="7"/>
  <c r="BB396" i="7"/>
  <c r="AX346" i="7"/>
  <c r="BA346" i="7"/>
  <c r="AZ479" i="7"/>
  <c r="AY34" i="7"/>
  <c r="AX257" i="7"/>
  <c r="AZ466" i="7"/>
  <c r="AZ336" i="7"/>
  <c r="BB176" i="7"/>
  <c r="AZ160" i="7"/>
  <c r="AZ398" i="7"/>
  <c r="AY421" i="7"/>
  <c r="BB262" i="7"/>
  <c r="BB230" i="7"/>
  <c r="AY432" i="7"/>
  <c r="BA432" i="7"/>
  <c r="AX207" i="7"/>
  <c r="AZ421" i="7"/>
  <c r="AZ389" i="7"/>
  <c r="AZ468" i="7"/>
  <c r="AZ262" i="7"/>
  <c r="AZ214" i="7"/>
  <c r="AX134" i="7"/>
  <c r="AY468" i="7"/>
  <c r="AZ488" i="7"/>
  <c r="AX396" i="7"/>
  <c r="AX214" i="7"/>
  <c r="AX421" i="7"/>
  <c r="AY466" i="7"/>
  <c r="AX440" i="7"/>
  <c r="AY440" i="7"/>
  <c r="AZ212" i="7"/>
  <c r="BB88" i="7"/>
  <c r="AZ107" i="7"/>
  <c r="BB91" i="7"/>
  <c r="BB75" i="7"/>
  <c r="BB428" i="7"/>
  <c r="AZ396" i="7"/>
  <c r="AZ225" i="7"/>
  <c r="AY428" i="7"/>
  <c r="BA396" i="7"/>
  <c r="AY346" i="7"/>
  <c r="AX479" i="7"/>
  <c r="BA479" i="7"/>
  <c r="AZ34" i="7"/>
  <c r="AY257" i="7"/>
  <c r="BB146" i="7"/>
  <c r="BA466" i="7"/>
  <c r="BB336" i="7"/>
  <c r="AY176" i="7"/>
  <c r="AX160" i="7"/>
  <c r="AY398" i="7"/>
  <c r="AY389" i="7"/>
  <c r="BB468" i="7"/>
  <c r="BB65" i="7"/>
  <c r="BB432" i="7"/>
  <c r="BA207" i="7"/>
  <c r="AZ257" i="7"/>
  <c r="BB421" i="7"/>
  <c r="BA389" i="7"/>
  <c r="AZ472" i="7"/>
  <c r="BA134" i="7"/>
  <c r="BB472" i="7"/>
  <c r="AZ375" i="7"/>
  <c r="AY262" i="7"/>
  <c r="AY214" i="7"/>
  <c r="BB440" i="7"/>
  <c r="BB107" i="7"/>
  <c r="BA440" i="7"/>
  <c r="AZ64" i="7"/>
  <c r="AY461" i="7"/>
  <c r="AX123" i="7"/>
  <c r="AY88" i="7"/>
  <c r="AZ440" i="7"/>
  <c r="AY212" i="7"/>
  <c r="AX107" i="7"/>
  <c r="AX91" i="7"/>
  <c r="AX75" i="7"/>
  <c r="BA225" i="7"/>
  <c r="AZ428" i="7"/>
  <c r="AZ346" i="7"/>
  <c r="BB479" i="7"/>
  <c r="BA34" i="7"/>
  <c r="BA257" i="7"/>
  <c r="AX146" i="7"/>
  <c r="AY336" i="7"/>
  <c r="AZ176" i="7"/>
  <c r="BB160" i="7"/>
  <c r="BB398" i="7"/>
  <c r="AY472" i="7"/>
  <c r="AZ246" i="7"/>
  <c r="BB214" i="7"/>
  <c r="AY65" i="7"/>
  <c r="AX432" i="7"/>
  <c r="BB207" i="7"/>
  <c r="BA421" i="7"/>
  <c r="BB375" i="7"/>
  <c r="AY230" i="7"/>
  <c r="AZ134" i="7"/>
  <c r="AX246" i="7"/>
  <c r="AX65" i="7"/>
  <c r="AX176" i="7"/>
  <c r="BA64" i="7"/>
  <c r="BA358" i="7"/>
  <c r="AX358" i="7"/>
  <c r="BA60" i="7"/>
  <c r="AX60" i="7"/>
  <c r="BA228" i="7"/>
  <c r="AX228" i="7"/>
  <c r="BB39" i="7"/>
  <c r="AY309" i="7"/>
  <c r="AZ309" i="7"/>
  <c r="AZ271" i="7"/>
  <c r="AY102" i="7"/>
  <c r="AZ378" i="7"/>
  <c r="AY241" i="7"/>
  <c r="BA85" i="7"/>
  <c r="AX85" i="7"/>
  <c r="BA104" i="7"/>
  <c r="AZ104" i="7"/>
  <c r="BA145" i="7"/>
  <c r="AX145" i="7"/>
  <c r="AX144" i="7"/>
  <c r="BA423" i="7"/>
  <c r="AZ423" i="7"/>
  <c r="BA191" i="7"/>
  <c r="AY191" i="7"/>
  <c r="BA17" i="7"/>
  <c r="AX17" i="7"/>
  <c r="BA458" i="7"/>
  <c r="AX458" i="7"/>
  <c r="AY59" i="7"/>
  <c r="AX239" i="7"/>
  <c r="AZ56" i="7"/>
  <c r="BA407" i="7"/>
  <c r="AY407" i="7"/>
  <c r="BA175" i="7"/>
  <c r="AZ175" i="7"/>
  <c r="AY223" i="7"/>
  <c r="BB54" i="7"/>
  <c r="AY354" i="7"/>
  <c r="AY174" i="7"/>
  <c r="BA443" i="7"/>
  <c r="AY443" i="7"/>
  <c r="BA427" i="7"/>
  <c r="AX427" i="7"/>
  <c r="BA326" i="7"/>
  <c r="AX326" i="7"/>
  <c r="BA197" i="7"/>
  <c r="AX197" i="7"/>
  <c r="BA20" i="7"/>
  <c r="BB20" i="7"/>
  <c r="AX27" i="7"/>
  <c r="AX352" i="7"/>
  <c r="AY98" i="7"/>
  <c r="BA377" i="7"/>
  <c r="AY377" i="7"/>
  <c r="BA347" i="7"/>
  <c r="AX347" i="7"/>
  <c r="BA406" i="7"/>
  <c r="AX406" i="7"/>
  <c r="BA260" i="7"/>
  <c r="BB260" i="7"/>
  <c r="BB11" i="7"/>
  <c r="BB412" i="7"/>
  <c r="BB86" i="7"/>
  <c r="BA373" i="7"/>
  <c r="BB373" i="7"/>
  <c r="BA343" i="7"/>
  <c r="AY343" i="7"/>
  <c r="BA117" i="7"/>
  <c r="AX117" i="7"/>
  <c r="BA108" i="7"/>
  <c r="AX108" i="7"/>
  <c r="BA308" i="7"/>
  <c r="AX308" i="7"/>
  <c r="BA161" i="7"/>
  <c r="BB161" i="7"/>
  <c r="AX491" i="7"/>
  <c r="AX368" i="7"/>
  <c r="AY285" i="7"/>
  <c r="AX170" i="7"/>
  <c r="BA143" i="7"/>
  <c r="AZ143" i="7"/>
  <c r="BA426" i="7"/>
  <c r="AY426" i="7"/>
  <c r="BA276" i="7"/>
  <c r="AX276" i="7"/>
  <c r="AX255" i="7"/>
  <c r="AY38" i="7"/>
  <c r="BA467" i="7"/>
  <c r="BB467" i="7"/>
  <c r="BA310" i="7"/>
  <c r="AX310" i="7"/>
  <c r="BA132" i="7"/>
  <c r="BB132" i="7"/>
  <c r="BA297" i="7"/>
  <c r="AX297" i="7"/>
  <c r="BA193" i="7"/>
  <c r="AX193" i="7"/>
  <c r="AX192" i="7"/>
  <c r="BA495" i="7"/>
  <c r="AX495" i="7"/>
  <c r="BA294" i="7"/>
  <c r="AY294" i="7"/>
  <c r="BA461" i="7"/>
  <c r="AX461" i="7"/>
  <c r="AY91" i="7"/>
  <c r="AY160" i="7"/>
  <c r="AX398" i="7"/>
  <c r="BB257" i="7"/>
  <c r="AX389" i="7"/>
  <c r="BA468" i="7"/>
  <c r="AX468" i="7"/>
  <c r="BA375" i="7"/>
  <c r="AY375" i="7"/>
  <c r="BA262" i="7"/>
  <c r="AX262" i="7"/>
  <c r="BA317" i="7"/>
  <c r="AX317" i="7"/>
  <c r="BA212" i="7"/>
  <c r="AX212" i="7"/>
  <c r="AY75" i="7"/>
  <c r="AX428" i="7"/>
  <c r="AZ207" i="7"/>
  <c r="AZ146" i="7"/>
  <c r="AY146" i="7"/>
  <c r="BA472" i="7"/>
  <c r="AX472" i="7"/>
  <c r="BA246" i="7"/>
  <c r="BB246" i="7"/>
  <c r="BA65" i="7"/>
  <c r="BA88" i="7"/>
  <c r="AZ88" i="7"/>
  <c r="BA123" i="7"/>
  <c r="BB123" i="7"/>
  <c r="AY225" i="7"/>
  <c r="AX336" i="7"/>
  <c r="AY134" i="7"/>
  <c r="BB34" i="7"/>
  <c r="BA488" i="7"/>
  <c r="AY488" i="7"/>
  <c r="BA230" i="7"/>
  <c r="AX230" i="7"/>
  <c r="BA481" i="7"/>
  <c r="AX481" i="7"/>
  <c r="AZ481" i="7"/>
  <c r="AY481" i="7"/>
  <c r="BB481" i="7"/>
  <c r="BA119" i="7"/>
  <c r="AZ119" i="7"/>
  <c r="AX119" i="7"/>
  <c r="AY119" i="7"/>
  <c r="BB119" i="7"/>
  <c r="BA338" i="7"/>
  <c r="AX338" i="7"/>
  <c r="BB338" i="7"/>
  <c r="AZ338" i="7"/>
  <c r="AY338" i="7"/>
  <c r="BA463" i="7"/>
  <c r="AX463" i="7"/>
  <c r="AY463" i="7"/>
  <c r="BB463" i="7"/>
  <c r="AZ463" i="7"/>
  <c r="BA194" i="7"/>
  <c r="AY194" i="7"/>
  <c r="AX194" i="7"/>
  <c r="BB194" i="7"/>
  <c r="AZ194" i="7"/>
  <c r="BA328" i="7"/>
  <c r="AZ328" i="7"/>
  <c r="AX328" i="7"/>
  <c r="AY328" i="7"/>
  <c r="BB328" i="7"/>
  <c r="BA80" i="7"/>
  <c r="AY80" i="7"/>
  <c r="AZ80" i="7"/>
  <c r="AX80" i="7"/>
  <c r="BB80" i="7"/>
  <c r="BA127" i="7"/>
  <c r="BB127" i="7"/>
  <c r="AZ127" i="7"/>
  <c r="AX127" i="7"/>
  <c r="AY127" i="7"/>
  <c r="BA287" i="7"/>
  <c r="AX287" i="7"/>
  <c r="BB287" i="7"/>
  <c r="AZ287" i="7"/>
  <c r="AY287" i="7"/>
  <c r="BA299" i="7"/>
  <c r="BB299" i="7"/>
  <c r="AX299" i="7"/>
  <c r="AZ299" i="7"/>
  <c r="AY299" i="7"/>
  <c r="BA199" i="7"/>
  <c r="AZ199" i="7"/>
  <c r="AY199" i="7"/>
  <c r="AX199" i="7"/>
  <c r="BB199" i="7"/>
  <c r="BA269" i="7"/>
  <c r="AZ269" i="7"/>
  <c r="AX269" i="7"/>
  <c r="AY269" i="7"/>
  <c r="BB269" i="7"/>
  <c r="BA372" i="7"/>
  <c r="AY372" i="7"/>
  <c r="BB372" i="7"/>
  <c r="AX372" i="7"/>
  <c r="AZ372" i="7"/>
  <c r="BA106" i="7"/>
  <c r="AX106" i="7"/>
  <c r="BB106" i="7"/>
  <c r="AY106" i="7"/>
  <c r="AZ106" i="7"/>
  <c r="BA42" i="7"/>
  <c r="AY42" i="7"/>
  <c r="AZ42" i="7"/>
  <c r="BB42" i="7"/>
  <c r="AX42" i="7"/>
  <c r="BA14" i="7"/>
  <c r="AZ14" i="7"/>
  <c r="AX14" i="7"/>
  <c r="AY14" i="7"/>
  <c r="BB14" i="7"/>
  <c r="BA97" i="7"/>
  <c r="AY97" i="7"/>
  <c r="AX97" i="7"/>
  <c r="BB97" i="7"/>
  <c r="AZ97" i="7"/>
  <c r="BA13" i="7"/>
  <c r="AX13" i="7"/>
  <c r="AZ13" i="7"/>
  <c r="BB13" i="7"/>
  <c r="AY13" i="7"/>
  <c r="BA451" i="7"/>
  <c r="BB451" i="7"/>
  <c r="AX451" i="7"/>
  <c r="AY451" i="7"/>
  <c r="AZ451" i="7"/>
  <c r="BA487" i="7"/>
  <c r="AZ487" i="7"/>
  <c r="AY487" i="7"/>
  <c r="AX487" i="7"/>
  <c r="BB487" i="7"/>
  <c r="BA460" i="7"/>
  <c r="AZ460" i="7"/>
  <c r="AY460" i="7"/>
  <c r="AX460" i="7"/>
  <c r="BB460" i="7"/>
  <c r="BA248" i="7"/>
  <c r="AZ248" i="7"/>
  <c r="BB248" i="7"/>
  <c r="AX248" i="7"/>
  <c r="AY248" i="7"/>
  <c r="BA220" i="7"/>
  <c r="AX220" i="7"/>
  <c r="AY220" i="7"/>
  <c r="AZ220" i="7"/>
  <c r="BB220" i="7"/>
  <c r="BA229" i="7"/>
  <c r="AY229" i="7"/>
  <c r="AZ229" i="7"/>
  <c r="AX229" i="7"/>
  <c r="BB229" i="7"/>
  <c r="BA92" i="7"/>
  <c r="AZ92" i="7"/>
  <c r="AY92" i="7"/>
  <c r="BB92" i="7"/>
  <c r="AX92" i="7"/>
  <c r="BA437" i="7"/>
  <c r="AY437" i="7"/>
  <c r="BB437" i="7"/>
  <c r="AX437" i="7"/>
  <c r="AZ437" i="7"/>
  <c r="BA499" i="7"/>
  <c r="AZ499" i="7"/>
  <c r="BB499" i="7"/>
  <c r="AX499" i="7"/>
  <c r="AY499" i="7"/>
  <c r="BA408" i="7"/>
  <c r="AY408" i="7"/>
  <c r="BB408" i="7"/>
  <c r="AX408" i="7"/>
  <c r="AZ408" i="7"/>
  <c r="BA364" i="7"/>
  <c r="AX364" i="7"/>
  <c r="BB364" i="7"/>
  <c r="AZ364" i="7"/>
  <c r="AY364" i="7"/>
  <c r="BA332" i="7"/>
  <c r="AY332" i="7"/>
  <c r="AZ332" i="7"/>
  <c r="BB332" i="7"/>
  <c r="AX332" i="7"/>
  <c r="BA267" i="7"/>
  <c r="AY267" i="7"/>
  <c r="AX267" i="7"/>
  <c r="BB267" i="7"/>
  <c r="AZ267" i="7"/>
  <c r="BA188" i="7"/>
  <c r="AX188" i="7"/>
  <c r="BB188" i="7"/>
  <c r="AY188" i="7"/>
  <c r="AZ188" i="7"/>
  <c r="BA140" i="7"/>
  <c r="AY140" i="7"/>
  <c r="AZ140" i="7"/>
  <c r="BB140" i="7"/>
  <c r="AX140" i="7"/>
  <c r="BA50" i="7"/>
  <c r="BB50" i="7"/>
  <c r="AZ50" i="7"/>
  <c r="AX50" i="7"/>
  <c r="AY50" i="7"/>
  <c r="BA489" i="7"/>
  <c r="AY489" i="7"/>
  <c r="AX489" i="7"/>
  <c r="BB489" i="7"/>
  <c r="AZ489" i="7"/>
  <c r="BA325" i="7"/>
  <c r="AY325" i="7"/>
  <c r="AX325" i="7"/>
  <c r="BB325" i="7"/>
  <c r="AZ325" i="7"/>
  <c r="BA142" i="7"/>
  <c r="AX142" i="7"/>
  <c r="AY142" i="7"/>
  <c r="BB142" i="7"/>
  <c r="AZ142" i="7"/>
  <c r="BA450" i="7"/>
  <c r="AX450" i="7"/>
  <c r="BB450" i="7"/>
  <c r="AY450" i="7"/>
  <c r="AZ450" i="7"/>
  <c r="BA486" i="7"/>
  <c r="AY486" i="7"/>
  <c r="AX486" i="7"/>
  <c r="AZ486" i="7"/>
  <c r="BB486" i="7"/>
  <c r="BA198" i="7"/>
  <c r="AY198" i="7"/>
  <c r="AX198" i="7"/>
  <c r="AZ198" i="7"/>
  <c r="BB198" i="7"/>
  <c r="BA295" i="7"/>
  <c r="BB295" i="7"/>
  <c r="AY295" i="7"/>
  <c r="AX295" i="7"/>
  <c r="AZ295" i="7"/>
  <c r="BA247" i="7"/>
  <c r="BB247" i="7"/>
  <c r="AX247" i="7"/>
  <c r="AZ247" i="7"/>
  <c r="AY247" i="7"/>
  <c r="BA184" i="7"/>
  <c r="AX184" i="7"/>
  <c r="BB184" i="7"/>
  <c r="AY184" i="7"/>
  <c r="AZ184" i="7"/>
  <c r="BA386" i="7"/>
  <c r="BB386" i="7"/>
  <c r="AX386" i="7"/>
  <c r="AY386" i="7"/>
  <c r="AZ386" i="7"/>
  <c r="BA178" i="7"/>
  <c r="BB178" i="7"/>
  <c r="AX178" i="7"/>
  <c r="AZ178" i="7"/>
  <c r="AY178" i="7"/>
  <c r="BA44" i="7"/>
  <c r="AY44" i="7"/>
  <c r="AZ44" i="7"/>
  <c r="BB44" i="7"/>
  <c r="AX44" i="7"/>
  <c r="BA425" i="7"/>
  <c r="AY425" i="7"/>
  <c r="BB425" i="7"/>
  <c r="AZ425" i="7"/>
  <c r="AX425" i="7"/>
  <c r="BA340" i="7"/>
  <c r="AZ340" i="7"/>
  <c r="AY340" i="7"/>
  <c r="AX340" i="7"/>
  <c r="BB340" i="7"/>
  <c r="BA275" i="7"/>
  <c r="AZ275" i="7"/>
  <c r="BB275" i="7"/>
  <c r="AX275" i="7"/>
  <c r="AY275" i="7"/>
  <c r="BA211" i="7"/>
  <c r="AZ211" i="7"/>
  <c r="AX211" i="7"/>
  <c r="AY211" i="7"/>
  <c r="BB211" i="7"/>
  <c r="BA126" i="7"/>
  <c r="AY126" i="7"/>
  <c r="BB126" i="7"/>
  <c r="AZ126" i="7"/>
  <c r="AX126" i="7"/>
  <c r="BA94" i="7"/>
  <c r="AZ94" i="7"/>
  <c r="AX94" i="7"/>
  <c r="BB94" i="7"/>
  <c r="AY94" i="7"/>
  <c r="BA62" i="7"/>
  <c r="BB62" i="7"/>
  <c r="AZ62" i="7"/>
  <c r="AY62" i="7"/>
  <c r="AX62" i="7"/>
  <c r="BA30" i="7"/>
  <c r="BB30" i="7"/>
  <c r="AZ30" i="7"/>
  <c r="AX30" i="7"/>
  <c r="AY30" i="7"/>
  <c r="BA10" i="7"/>
  <c r="AX10" i="7"/>
  <c r="AZ10" i="7"/>
  <c r="AY10" i="7"/>
  <c r="BB10" i="7"/>
  <c r="BA249" i="7"/>
  <c r="AY249" i="7"/>
  <c r="AZ249" i="7"/>
  <c r="AX249" i="7"/>
  <c r="BB249" i="7"/>
  <c r="BA353" i="7"/>
  <c r="AY353" i="7"/>
  <c r="AX353" i="7"/>
  <c r="AZ353" i="7"/>
  <c r="BB353" i="7"/>
  <c r="BA456" i="7"/>
  <c r="BB456" i="7"/>
  <c r="AX456" i="7"/>
  <c r="AZ456" i="7"/>
  <c r="AY456" i="7"/>
  <c r="BA371" i="7"/>
  <c r="AZ371" i="7"/>
  <c r="AY371" i="7"/>
  <c r="AX371" i="7"/>
  <c r="BB371" i="7"/>
  <c r="BA171" i="7"/>
  <c r="AY171" i="7"/>
  <c r="BB171" i="7"/>
  <c r="AX171" i="7"/>
  <c r="AZ171" i="7"/>
  <c r="BA139" i="7"/>
  <c r="AZ139" i="7"/>
  <c r="AY139" i="7"/>
  <c r="AX139" i="7"/>
  <c r="BB139" i="7"/>
  <c r="BA45" i="7"/>
  <c r="AX45" i="7"/>
  <c r="AY45" i="7"/>
  <c r="BB45" i="7"/>
  <c r="AZ45" i="7"/>
  <c r="BA365" i="7"/>
  <c r="AZ365" i="7"/>
  <c r="BB365" i="7"/>
  <c r="AX365" i="7"/>
  <c r="AY365" i="7"/>
  <c r="BA459" i="7"/>
  <c r="BB459" i="7"/>
  <c r="AZ459" i="7"/>
  <c r="AY459" i="7"/>
  <c r="AX459" i="7"/>
  <c r="BA492" i="7"/>
  <c r="AZ492" i="7"/>
  <c r="AY492" i="7"/>
  <c r="AX492" i="7"/>
  <c r="BB492" i="7"/>
  <c r="BA387" i="7"/>
  <c r="BB387" i="7"/>
  <c r="AX387" i="7"/>
  <c r="AY387" i="7"/>
  <c r="AZ387" i="7"/>
  <c r="BA318" i="7"/>
  <c r="AZ318" i="7"/>
  <c r="AY318" i="7"/>
  <c r="AX318" i="7"/>
  <c r="BB318" i="7"/>
  <c r="BA286" i="7"/>
  <c r="AZ286" i="7"/>
  <c r="BB286" i="7"/>
  <c r="AX286" i="7"/>
  <c r="AY286" i="7"/>
  <c r="BA238" i="7"/>
  <c r="BB238" i="7"/>
  <c r="AX238" i="7"/>
  <c r="AY238" i="7"/>
  <c r="AZ238" i="7"/>
  <c r="BA125" i="7"/>
  <c r="AX125" i="7"/>
  <c r="AY125" i="7"/>
  <c r="BB125" i="7"/>
  <c r="AZ125" i="7"/>
  <c r="BA93" i="7"/>
  <c r="BB93" i="7"/>
  <c r="AX93" i="7"/>
  <c r="AY93" i="7"/>
  <c r="AZ93" i="7"/>
  <c r="BA57" i="7"/>
  <c r="AX57" i="7"/>
  <c r="AY57" i="7"/>
  <c r="AZ57" i="7"/>
  <c r="BB57" i="7"/>
  <c r="BA49" i="7"/>
  <c r="AY49" i="7"/>
  <c r="AX49" i="7"/>
  <c r="AZ49" i="7"/>
  <c r="BB49" i="7"/>
  <c r="BA253" i="7"/>
  <c r="BB253" i="7"/>
  <c r="AZ253" i="7"/>
  <c r="AX253" i="7"/>
  <c r="AY253" i="7"/>
  <c r="BA446" i="7"/>
  <c r="BB446" i="7"/>
  <c r="AZ446" i="7"/>
  <c r="AY446" i="7"/>
  <c r="AX446" i="7"/>
  <c r="BA357" i="7"/>
  <c r="AY357" i="7"/>
  <c r="BB357" i="7"/>
  <c r="AZ357" i="7"/>
  <c r="AX357" i="7"/>
  <c r="BA351" i="7"/>
  <c r="BB351" i="7"/>
  <c r="AZ351" i="7"/>
  <c r="AY351" i="7"/>
  <c r="AX351" i="7"/>
  <c r="BA218" i="7"/>
  <c r="BB218" i="7"/>
  <c r="AZ218" i="7"/>
  <c r="AX218" i="7"/>
  <c r="AY218" i="7"/>
  <c r="BA179" i="7"/>
  <c r="AY179" i="7"/>
  <c r="BB179" i="7"/>
  <c r="AX179" i="7"/>
  <c r="AZ179" i="7"/>
  <c r="BA147" i="7"/>
  <c r="AX147" i="7"/>
  <c r="AZ147" i="7"/>
  <c r="AY147" i="7"/>
  <c r="BB147" i="7"/>
  <c r="BA37" i="7"/>
  <c r="AZ37" i="7"/>
  <c r="BB37" i="7"/>
  <c r="AX37" i="7"/>
  <c r="AY37" i="7"/>
  <c r="BA162" i="7"/>
  <c r="AX162" i="7"/>
  <c r="BB162" i="7"/>
  <c r="AZ162" i="7"/>
  <c r="AY162" i="7"/>
  <c r="BA433" i="7"/>
  <c r="AX433" i="7"/>
  <c r="AZ433" i="7"/>
  <c r="BB433" i="7"/>
  <c r="AY433" i="7"/>
  <c r="BA189" i="7"/>
  <c r="AX189" i="7"/>
  <c r="BB189" i="7"/>
  <c r="AZ189" i="7"/>
  <c r="AY189" i="7"/>
  <c r="BA128" i="7"/>
  <c r="BB128" i="7"/>
  <c r="AZ128" i="7"/>
  <c r="AY128" i="7"/>
  <c r="AX128" i="7"/>
  <c r="BA84" i="7"/>
  <c r="AY84" i="7"/>
  <c r="AX84" i="7"/>
  <c r="BB84" i="7"/>
  <c r="AZ84" i="7"/>
  <c r="BA28" i="7"/>
  <c r="BB28" i="7"/>
  <c r="AX28" i="7"/>
  <c r="AY28" i="7"/>
  <c r="AZ28" i="7"/>
  <c r="BA133" i="7"/>
  <c r="AY133" i="7"/>
  <c r="AX133" i="7"/>
  <c r="BB133" i="7"/>
  <c r="AZ133" i="7"/>
  <c r="BA280" i="7"/>
  <c r="BB280" i="7"/>
  <c r="AZ280" i="7"/>
  <c r="AX280" i="7"/>
  <c r="AY280" i="7"/>
  <c r="BA252" i="7"/>
  <c r="AY252" i="7"/>
  <c r="AZ252" i="7"/>
  <c r="BB252" i="7"/>
  <c r="AX252" i="7"/>
  <c r="BA185" i="7"/>
  <c r="AZ185" i="7"/>
  <c r="AX185" i="7"/>
  <c r="AY185" i="7"/>
  <c r="BB185" i="7"/>
  <c r="BA153" i="7"/>
  <c r="AZ153" i="7"/>
  <c r="AX153" i="7"/>
  <c r="AY153" i="7"/>
  <c r="BB153" i="7"/>
  <c r="BA321" i="7"/>
  <c r="AY321" i="7"/>
  <c r="AZ321" i="7"/>
  <c r="AX321" i="7"/>
  <c r="BB321" i="7"/>
  <c r="BA277" i="7"/>
  <c r="BB277" i="7"/>
  <c r="AZ277" i="7"/>
  <c r="AY277" i="7"/>
  <c r="AX277" i="7"/>
  <c r="BA344" i="7"/>
  <c r="AZ344" i="7"/>
  <c r="AX344" i="7"/>
  <c r="AY344" i="7"/>
  <c r="BB344" i="7"/>
  <c r="BA203" i="7"/>
  <c r="AY203" i="7"/>
  <c r="AX203" i="7"/>
  <c r="BB203" i="7"/>
  <c r="AZ203" i="7"/>
  <c r="BA66" i="7"/>
  <c r="AZ66" i="7"/>
  <c r="AY66" i="7"/>
  <c r="AX66" i="7"/>
  <c r="BB66" i="7"/>
  <c r="BA263" i="7"/>
  <c r="AY263" i="7"/>
  <c r="AZ263" i="7"/>
  <c r="AX263" i="7"/>
  <c r="BB263" i="7"/>
  <c r="BA469" i="7"/>
  <c r="AY469" i="7"/>
  <c r="BB469" i="7"/>
  <c r="AX469" i="7"/>
  <c r="AZ469" i="7"/>
  <c r="BA48" i="7"/>
  <c r="AX48" i="7"/>
  <c r="AY48" i="7"/>
  <c r="BB48" i="7"/>
  <c r="AZ48" i="7"/>
  <c r="BA429" i="7"/>
  <c r="AY429" i="7"/>
  <c r="AX429" i="7"/>
  <c r="BB429" i="7"/>
  <c r="AZ429" i="7"/>
  <c r="BA381" i="7"/>
  <c r="AX381" i="7"/>
  <c r="AY381" i="7"/>
  <c r="BB381" i="7"/>
  <c r="AZ381" i="7"/>
  <c r="BA227" i="7"/>
  <c r="BB227" i="7"/>
  <c r="AZ227" i="7"/>
  <c r="AY227" i="7"/>
  <c r="AX227" i="7"/>
  <c r="BA74" i="7"/>
  <c r="BB74" i="7"/>
  <c r="AZ74" i="7"/>
  <c r="AY74" i="7"/>
  <c r="AX74" i="7"/>
  <c r="BA135" i="7"/>
  <c r="AZ135" i="7"/>
  <c r="AY135" i="7"/>
  <c r="AX135" i="7"/>
  <c r="BB135" i="7"/>
  <c r="BA129" i="7"/>
  <c r="AX129" i="7"/>
  <c r="AY129" i="7"/>
  <c r="AZ129" i="7"/>
  <c r="BB129" i="7"/>
  <c r="BA61" i="7"/>
  <c r="AX61" i="7"/>
  <c r="AY61" i="7"/>
  <c r="AZ61" i="7"/>
  <c r="BB61" i="7"/>
  <c r="BA403" i="7"/>
  <c r="BB403" i="7"/>
  <c r="AX403" i="7"/>
  <c r="AY403" i="7"/>
  <c r="AZ403" i="7"/>
  <c r="BA266" i="7"/>
  <c r="BB266" i="7"/>
  <c r="AX266" i="7"/>
  <c r="AZ266" i="7"/>
  <c r="AY266" i="7"/>
  <c r="BA464" i="7"/>
  <c r="AY464" i="7"/>
  <c r="BB464" i="7"/>
  <c r="AZ464" i="7"/>
  <c r="AX464" i="7"/>
  <c r="BA431" i="7"/>
  <c r="AY431" i="7"/>
  <c r="AZ431" i="7"/>
  <c r="AX431" i="7"/>
  <c r="BB431" i="7"/>
  <c r="BA383" i="7"/>
  <c r="BB383" i="7"/>
  <c r="AZ383" i="7"/>
  <c r="AX383" i="7"/>
  <c r="AY383" i="7"/>
  <c r="BA314" i="7"/>
  <c r="BB314" i="7"/>
  <c r="AZ314" i="7"/>
  <c r="AY314" i="7"/>
  <c r="AX314" i="7"/>
  <c r="BA121" i="7"/>
  <c r="BB121" i="7"/>
  <c r="AZ121" i="7"/>
  <c r="AY121" i="7"/>
  <c r="AX121" i="7"/>
  <c r="BA89" i="7"/>
  <c r="AY89" i="7"/>
  <c r="BB89" i="7"/>
  <c r="AX89" i="7"/>
  <c r="AZ89" i="7"/>
  <c r="BA485" i="7"/>
  <c r="AY485" i="7"/>
  <c r="AX485" i="7"/>
  <c r="BB485" i="7"/>
  <c r="AZ485" i="7"/>
  <c r="BA190" i="7"/>
  <c r="AX190" i="7"/>
  <c r="AY190" i="7"/>
  <c r="BB190" i="7"/>
  <c r="AZ190" i="7"/>
  <c r="BA12" i="7"/>
  <c r="AY12" i="7"/>
  <c r="AX12" i="7"/>
  <c r="AZ12" i="7"/>
  <c r="BB12" i="7"/>
  <c r="BA409" i="7"/>
  <c r="AZ409" i="7"/>
  <c r="AX409" i="7"/>
  <c r="AY409" i="7"/>
  <c r="BB409" i="7"/>
  <c r="BA272" i="7"/>
  <c r="AX272" i="7"/>
  <c r="AY272" i="7"/>
  <c r="AZ272" i="7"/>
  <c r="BB272" i="7"/>
  <c r="BA240" i="7"/>
  <c r="AX240" i="7"/>
  <c r="BB240" i="7"/>
  <c r="AZ240" i="7"/>
  <c r="AY240" i="7"/>
  <c r="BA23" i="7"/>
  <c r="AZ23" i="7"/>
  <c r="AX23" i="7"/>
  <c r="BB23" i="7"/>
  <c r="AY23" i="7"/>
  <c r="BA51" i="7"/>
  <c r="AY51" i="7"/>
  <c r="AZ51" i="7"/>
  <c r="AX51" i="7"/>
  <c r="BB51" i="7"/>
  <c r="BA124" i="7"/>
  <c r="AZ124" i="7"/>
  <c r="AY124" i="7"/>
  <c r="AX124" i="7"/>
  <c r="BB124" i="7"/>
  <c r="BA264" i="7"/>
  <c r="AZ264" i="7"/>
  <c r="AX264" i="7"/>
  <c r="AY264" i="7"/>
  <c r="BB264" i="7"/>
  <c r="BA293" i="7"/>
  <c r="AX293" i="7"/>
  <c r="AY293" i="7"/>
  <c r="AZ293" i="7"/>
  <c r="BB293" i="7"/>
  <c r="BA186" i="7"/>
  <c r="AY186" i="7"/>
  <c r="AZ186" i="7"/>
  <c r="BB186" i="7"/>
  <c r="AX186" i="7"/>
  <c r="BA200" i="7"/>
  <c r="AY200" i="7"/>
  <c r="BB200" i="7"/>
  <c r="AZ200" i="7"/>
  <c r="AX200" i="7"/>
  <c r="BA304" i="7"/>
  <c r="AY304" i="7"/>
  <c r="BB304" i="7"/>
  <c r="AZ304" i="7"/>
  <c r="AX304" i="7"/>
  <c r="BA204" i="7"/>
  <c r="AX204" i="7"/>
  <c r="AY204" i="7"/>
  <c r="AZ204" i="7"/>
  <c r="BB204" i="7"/>
  <c r="BA173" i="7"/>
  <c r="AX173" i="7"/>
  <c r="AZ173" i="7"/>
  <c r="AY173" i="7"/>
  <c r="BB173" i="7"/>
  <c r="BA141" i="7"/>
  <c r="AZ141" i="7"/>
  <c r="AY141" i="7"/>
  <c r="BB141" i="7"/>
  <c r="AX141" i="7"/>
  <c r="BA87" i="7"/>
  <c r="AY87" i="7"/>
  <c r="AX87" i="7"/>
  <c r="AZ87" i="7"/>
  <c r="BB87" i="7"/>
  <c r="BA465" i="7"/>
  <c r="AX465" i="7"/>
  <c r="BB465" i="7"/>
  <c r="AZ465" i="7"/>
  <c r="AY465" i="7"/>
  <c r="BA205" i="7"/>
  <c r="AX205" i="7"/>
  <c r="BB205" i="7"/>
  <c r="AZ205" i="7"/>
  <c r="AY205" i="7"/>
  <c r="BA494" i="7"/>
  <c r="AY494" i="7"/>
  <c r="BB494" i="7"/>
  <c r="AZ494" i="7"/>
  <c r="AX494" i="7"/>
  <c r="BA382" i="7"/>
  <c r="AY382" i="7"/>
  <c r="AX382" i="7"/>
  <c r="BB382" i="7"/>
  <c r="AZ382" i="7"/>
  <c r="BA316" i="7"/>
  <c r="AY316" i="7"/>
  <c r="AX316" i="7"/>
  <c r="BB316" i="7"/>
  <c r="AZ316" i="7"/>
  <c r="BA296" i="7"/>
  <c r="BB296" i="7"/>
  <c r="AZ296" i="7"/>
  <c r="AX296" i="7"/>
  <c r="AY296" i="7"/>
  <c r="BA268" i="7"/>
  <c r="AX268" i="7"/>
  <c r="AY268" i="7"/>
  <c r="AZ268" i="7"/>
  <c r="BB268" i="7"/>
  <c r="BA169" i="7"/>
  <c r="AY169" i="7"/>
  <c r="AX169" i="7"/>
  <c r="BB169" i="7"/>
  <c r="AZ169" i="7"/>
  <c r="BA136" i="7"/>
  <c r="AY136" i="7"/>
  <c r="AX136" i="7"/>
  <c r="BB136" i="7"/>
  <c r="AZ136" i="7"/>
  <c r="BA99" i="7"/>
  <c r="AZ99" i="7"/>
  <c r="AY99" i="7"/>
  <c r="AX99" i="7"/>
  <c r="BB99" i="7"/>
  <c r="BA35" i="7"/>
  <c r="AZ35" i="7"/>
  <c r="AY35" i="7"/>
  <c r="AX35" i="7"/>
  <c r="BB35" i="7"/>
  <c r="BA334" i="7"/>
  <c r="AY334" i="7"/>
  <c r="AX334" i="7"/>
  <c r="BB334" i="7"/>
  <c r="AZ334" i="7"/>
  <c r="BA498" i="7"/>
  <c r="BB498" i="7"/>
  <c r="AX498" i="7"/>
  <c r="AY498" i="7"/>
  <c r="AZ498" i="7"/>
  <c r="BA404" i="7"/>
  <c r="AY404" i="7"/>
  <c r="AX404" i="7"/>
  <c r="BB404" i="7"/>
  <c r="AZ404" i="7"/>
  <c r="BA370" i="7"/>
  <c r="BB370" i="7"/>
  <c r="AZ370" i="7"/>
  <c r="AX370" i="7"/>
  <c r="AY370" i="7"/>
  <c r="BA195" i="7"/>
  <c r="AZ195" i="7"/>
  <c r="BB195" i="7"/>
  <c r="AX195" i="7"/>
  <c r="AY195" i="7"/>
  <c r="BA369" i="7"/>
  <c r="BB369" i="7"/>
  <c r="AZ369" i="7"/>
  <c r="AX369" i="7"/>
  <c r="AY369" i="7"/>
  <c r="BA216" i="7"/>
  <c r="BB216" i="7"/>
  <c r="AZ216" i="7"/>
  <c r="AX216" i="7"/>
  <c r="AY216" i="7"/>
  <c r="BA181" i="7"/>
  <c r="AX181" i="7"/>
  <c r="AZ181" i="7"/>
  <c r="BB181" i="7"/>
  <c r="AY181" i="7"/>
  <c r="BA149" i="7"/>
  <c r="BB149" i="7"/>
  <c r="AZ149" i="7"/>
  <c r="AX149" i="7"/>
  <c r="AY149" i="7"/>
  <c r="BA111" i="7"/>
  <c r="AY111" i="7"/>
  <c r="BB111" i="7"/>
  <c r="AX111" i="7"/>
  <c r="AZ111" i="7"/>
  <c r="BA31" i="7"/>
  <c r="BB31" i="7"/>
  <c r="AZ31" i="7"/>
  <c r="AY31" i="7"/>
  <c r="AX31" i="7"/>
  <c r="BA350" i="7"/>
  <c r="BB350" i="7"/>
  <c r="AZ350" i="7"/>
  <c r="AX350" i="7"/>
  <c r="AY350" i="7"/>
  <c r="BA490" i="7"/>
  <c r="AZ490" i="7"/>
  <c r="BB490" i="7"/>
  <c r="AX490" i="7"/>
  <c r="AY490" i="7"/>
  <c r="BA360" i="7"/>
  <c r="AZ360" i="7"/>
  <c r="AX360" i="7"/>
  <c r="AY360" i="7"/>
  <c r="BB360" i="7"/>
  <c r="BA319" i="7"/>
  <c r="AX319" i="7"/>
  <c r="BB319" i="7"/>
  <c r="AZ319" i="7"/>
  <c r="AY319" i="7"/>
  <c r="BA251" i="7"/>
  <c r="BB251" i="7"/>
  <c r="AX251" i="7"/>
  <c r="AZ251" i="7"/>
  <c r="AY251" i="7"/>
  <c r="BA172" i="7"/>
  <c r="AX172" i="7"/>
  <c r="BB172" i="7"/>
  <c r="AZ172" i="7"/>
  <c r="AY172" i="7"/>
  <c r="BA130" i="7"/>
  <c r="BB130" i="7"/>
  <c r="AZ130" i="7"/>
  <c r="AX130" i="7"/>
  <c r="AY130" i="7"/>
  <c r="BA18" i="7"/>
  <c r="AY18" i="7"/>
  <c r="BB18" i="7"/>
  <c r="AX18" i="7"/>
  <c r="AZ18" i="7"/>
  <c r="BA390" i="7"/>
  <c r="AY390" i="7"/>
  <c r="AZ390" i="7"/>
  <c r="BB390" i="7"/>
  <c r="AX390" i="7"/>
  <c r="BA273" i="7"/>
  <c r="AX273" i="7"/>
  <c r="AY273" i="7"/>
  <c r="AZ273" i="7"/>
  <c r="BB273" i="7"/>
  <c r="BA112" i="7"/>
  <c r="AX112" i="7"/>
  <c r="BB112" i="7"/>
  <c r="AY112" i="7"/>
  <c r="AZ112" i="7"/>
  <c r="BA474" i="7"/>
  <c r="AZ474" i="7"/>
  <c r="BB474" i="7"/>
  <c r="AY474" i="7"/>
  <c r="AX474" i="7"/>
  <c r="BA455" i="7"/>
  <c r="BB455" i="7"/>
  <c r="AZ455" i="7"/>
  <c r="AX455" i="7"/>
  <c r="AY455" i="7"/>
  <c r="BA327" i="7"/>
  <c r="AY327" i="7"/>
  <c r="AZ327" i="7"/>
  <c r="AX327" i="7"/>
  <c r="BB327" i="7"/>
  <c r="BA283" i="7"/>
  <c r="BB283" i="7"/>
  <c r="AX283" i="7"/>
  <c r="AY283" i="7"/>
  <c r="AZ283" i="7"/>
  <c r="BA231" i="7"/>
  <c r="AX231" i="7"/>
  <c r="BB231" i="7"/>
  <c r="AY231" i="7"/>
  <c r="AZ231" i="7"/>
  <c r="BA168" i="7"/>
  <c r="AZ168" i="7"/>
  <c r="AX168" i="7"/>
  <c r="AY168" i="7"/>
  <c r="BB168" i="7"/>
  <c r="BA362" i="7"/>
  <c r="AY362" i="7"/>
  <c r="AX362" i="7"/>
  <c r="BB362" i="7"/>
  <c r="AZ362" i="7"/>
  <c r="BA120" i="7"/>
  <c r="BB120" i="7"/>
  <c r="AZ120" i="7"/>
  <c r="AY120" i="7"/>
  <c r="AX120" i="7"/>
  <c r="BA24" i="7"/>
  <c r="AZ24" i="7"/>
  <c r="AX24" i="7"/>
  <c r="AY24" i="7"/>
  <c r="BB24" i="7"/>
  <c r="BA413" i="7"/>
  <c r="AY413" i="7"/>
  <c r="AX413" i="7"/>
  <c r="BB413" i="7"/>
  <c r="AZ413" i="7"/>
  <c r="BA323" i="7"/>
  <c r="AZ323" i="7"/>
  <c r="BB323" i="7"/>
  <c r="AX323" i="7"/>
  <c r="AY323" i="7"/>
  <c r="BA259" i="7"/>
  <c r="AZ259" i="7"/>
  <c r="BB259" i="7"/>
  <c r="AX259" i="7"/>
  <c r="AY259" i="7"/>
  <c r="BA180" i="7"/>
  <c r="AZ180" i="7"/>
  <c r="AY180" i="7"/>
  <c r="AX180" i="7"/>
  <c r="BB180" i="7"/>
  <c r="BA122" i="7"/>
  <c r="AX122" i="7"/>
  <c r="AZ122" i="7"/>
  <c r="AY122" i="7"/>
  <c r="BB122" i="7"/>
  <c r="BA90" i="7"/>
  <c r="BB90" i="7"/>
  <c r="AZ90" i="7"/>
  <c r="AX90" i="7"/>
  <c r="AY90" i="7"/>
  <c r="BA58" i="7"/>
  <c r="AX58" i="7"/>
  <c r="BB58" i="7"/>
  <c r="AZ58" i="7"/>
  <c r="AY58" i="7"/>
  <c r="BA26" i="7"/>
  <c r="AX26" i="7"/>
  <c r="AZ26" i="7"/>
  <c r="AY26" i="7"/>
  <c r="BB26" i="7"/>
  <c r="BA402" i="7"/>
  <c r="AZ402" i="7"/>
  <c r="AY402" i="7"/>
  <c r="AX402" i="7"/>
  <c r="BB402" i="7"/>
  <c r="BA475" i="7"/>
  <c r="AZ475" i="7"/>
  <c r="AX475" i="7"/>
  <c r="BB475" i="7"/>
  <c r="AY475" i="7"/>
  <c r="BA439" i="7"/>
  <c r="AZ439" i="7"/>
  <c r="AX439" i="7"/>
  <c r="AY439" i="7"/>
  <c r="BB439" i="7"/>
  <c r="BA391" i="7"/>
  <c r="BB391" i="7"/>
  <c r="AX391" i="7"/>
  <c r="AY391" i="7"/>
  <c r="AZ391" i="7"/>
  <c r="BA359" i="7"/>
  <c r="AY359" i="7"/>
  <c r="AX359" i="7"/>
  <c r="AZ359" i="7"/>
  <c r="BB359" i="7"/>
  <c r="BA322" i="7"/>
  <c r="AY322" i="7"/>
  <c r="AX322" i="7"/>
  <c r="BB322" i="7"/>
  <c r="AZ322" i="7"/>
  <c r="BA290" i="7"/>
  <c r="AX290" i="7"/>
  <c r="BB290" i="7"/>
  <c r="AZ290" i="7"/>
  <c r="AY290" i="7"/>
  <c r="BA258" i="7"/>
  <c r="AY258" i="7"/>
  <c r="AX258" i="7"/>
  <c r="BB258" i="7"/>
  <c r="AZ258" i="7"/>
  <c r="BA226" i="7"/>
  <c r="AY226" i="7"/>
  <c r="AX226" i="7"/>
  <c r="BB226" i="7"/>
  <c r="AZ226" i="7"/>
  <c r="BA138" i="7"/>
  <c r="BB138" i="7"/>
  <c r="AZ138" i="7"/>
  <c r="AY138" i="7"/>
  <c r="AX138" i="7"/>
  <c r="BA113" i="7"/>
  <c r="AX113" i="7"/>
  <c r="BB113" i="7"/>
  <c r="AZ113" i="7"/>
  <c r="AY113" i="7"/>
  <c r="BA77" i="7"/>
  <c r="AX77" i="7"/>
  <c r="AY77" i="7"/>
  <c r="BB77" i="7"/>
  <c r="AZ77" i="7"/>
  <c r="BA29" i="7"/>
  <c r="AX29" i="7"/>
  <c r="AY29" i="7"/>
  <c r="AZ29" i="7"/>
  <c r="BB29" i="7"/>
  <c r="BA361" i="7"/>
  <c r="BB361" i="7"/>
  <c r="AZ361" i="7"/>
  <c r="AY361" i="7"/>
  <c r="AX361" i="7"/>
  <c r="BA137" i="7"/>
  <c r="AY137" i="7"/>
  <c r="AX137" i="7"/>
  <c r="BB137" i="7"/>
  <c r="AZ137" i="7"/>
  <c r="BA444" i="7"/>
  <c r="AY444" i="7"/>
  <c r="AX444" i="7"/>
  <c r="BB444" i="7"/>
  <c r="AZ444" i="7"/>
  <c r="BA419" i="7"/>
  <c r="AZ419" i="7"/>
  <c r="AY419" i="7"/>
  <c r="AX419" i="7"/>
  <c r="BB419" i="7"/>
  <c r="BA339" i="7"/>
  <c r="BB339" i="7"/>
  <c r="AX339" i="7"/>
  <c r="AY339" i="7"/>
  <c r="AZ339" i="7"/>
  <c r="BA254" i="7"/>
  <c r="AZ254" i="7"/>
  <c r="AY254" i="7"/>
  <c r="AX254" i="7"/>
  <c r="BB254" i="7"/>
  <c r="BA234" i="7"/>
  <c r="AZ234" i="7"/>
  <c r="BB234" i="7"/>
  <c r="AX234" i="7"/>
  <c r="AY234" i="7"/>
  <c r="BA206" i="7"/>
  <c r="BB206" i="7"/>
  <c r="AZ206" i="7"/>
  <c r="AX206" i="7"/>
  <c r="AY206" i="7"/>
  <c r="BA183" i="7"/>
  <c r="AY183" i="7"/>
  <c r="BB183" i="7"/>
  <c r="AX183" i="7"/>
  <c r="AZ183" i="7"/>
  <c r="BA151" i="7"/>
  <c r="BB151" i="7"/>
  <c r="AZ151" i="7"/>
  <c r="AY151" i="7"/>
  <c r="AX151" i="7"/>
  <c r="BA41" i="7"/>
  <c r="AY41" i="7"/>
  <c r="BB41" i="7"/>
  <c r="AX41" i="7"/>
  <c r="AZ41" i="7"/>
  <c r="BA237" i="7"/>
  <c r="AY237" i="7"/>
  <c r="BB237" i="7"/>
  <c r="AZ237" i="7"/>
  <c r="AX237" i="7"/>
  <c r="BA470" i="7"/>
  <c r="AZ470" i="7"/>
  <c r="AY470" i="7"/>
  <c r="AX470" i="7"/>
  <c r="BB470" i="7"/>
  <c r="BA448" i="7"/>
  <c r="AY448" i="7"/>
  <c r="BB448" i="7"/>
  <c r="AZ448" i="7"/>
  <c r="AX448" i="7"/>
  <c r="BA496" i="7"/>
  <c r="BB496" i="7"/>
  <c r="AZ496" i="7"/>
  <c r="AX496" i="7"/>
  <c r="AY496" i="7"/>
  <c r="BA399" i="7"/>
  <c r="AY399" i="7"/>
  <c r="BB399" i="7"/>
  <c r="AZ399" i="7"/>
  <c r="AX399" i="7"/>
  <c r="BA201" i="7"/>
  <c r="BB201" i="7"/>
  <c r="AX201" i="7"/>
  <c r="AZ201" i="7"/>
  <c r="AY201" i="7"/>
  <c r="BA298" i="7"/>
  <c r="BB298" i="7"/>
  <c r="AX298" i="7"/>
  <c r="AY298" i="7"/>
  <c r="AZ298" i="7"/>
  <c r="BA105" i="7"/>
  <c r="BB105" i="7"/>
  <c r="AZ105" i="7"/>
  <c r="AY105" i="7"/>
  <c r="AX105" i="7"/>
  <c r="BA69" i="7"/>
  <c r="BB69" i="7"/>
  <c r="AZ69" i="7"/>
  <c r="AY69" i="7"/>
  <c r="AX69" i="7"/>
  <c r="BA21" i="7"/>
  <c r="BB21" i="7"/>
  <c r="AZ21" i="7"/>
  <c r="AY21" i="7"/>
  <c r="AX21" i="7"/>
  <c r="BA261" i="7"/>
  <c r="AX261" i="7"/>
  <c r="AY261" i="7"/>
  <c r="AZ261" i="7"/>
  <c r="BB261" i="7"/>
  <c r="BA16" i="7"/>
  <c r="AX16" i="7"/>
  <c r="BB16" i="7"/>
  <c r="AY16" i="7"/>
  <c r="AZ16" i="7"/>
  <c r="BA320" i="7"/>
  <c r="AX320" i="7"/>
  <c r="BB320" i="7"/>
  <c r="AY320" i="7"/>
  <c r="AZ320" i="7"/>
  <c r="BA157" i="7"/>
  <c r="AX157" i="7"/>
  <c r="BB157" i="7"/>
  <c r="AZ157" i="7"/>
  <c r="AY157" i="7"/>
  <c r="BA55" i="7"/>
  <c r="AY55" i="7"/>
  <c r="AX55" i="7"/>
  <c r="AZ55" i="7"/>
  <c r="BB55" i="7"/>
  <c r="BA154" i="7"/>
  <c r="BB154" i="7"/>
  <c r="AX154" i="7"/>
  <c r="AZ154" i="7"/>
  <c r="AY154" i="7"/>
  <c r="BA453" i="7"/>
  <c r="AZ453" i="7"/>
  <c r="AY453" i="7"/>
  <c r="AX453" i="7"/>
  <c r="BB453" i="7"/>
  <c r="BA67" i="7"/>
  <c r="BB67" i="7"/>
  <c r="AX67" i="7"/>
  <c r="AY67" i="7"/>
  <c r="AZ67" i="7"/>
  <c r="BA493" i="7"/>
  <c r="AY493" i="7"/>
  <c r="AX493" i="7"/>
  <c r="BB493" i="7"/>
  <c r="AZ493" i="7"/>
  <c r="BA217" i="7"/>
  <c r="AX217" i="7"/>
  <c r="AY217" i="7"/>
  <c r="AZ217" i="7"/>
  <c r="BB217" i="7"/>
  <c r="BA436" i="7"/>
  <c r="AX436" i="7"/>
  <c r="AY436" i="7"/>
  <c r="AZ436" i="7"/>
  <c r="BB436" i="7"/>
  <c r="BA96" i="7"/>
  <c r="BB96" i="7"/>
  <c r="AZ96" i="7"/>
  <c r="AX96" i="7"/>
  <c r="AY96" i="7"/>
  <c r="BA482" i="7"/>
  <c r="AZ482" i="7"/>
  <c r="AX482" i="7"/>
  <c r="AY482" i="7"/>
  <c r="BB482" i="7"/>
  <c r="BA232" i="7"/>
  <c r="BB232" i="7"/>
  <c r="AZ232" i="7"/>
  <c r="AX232" i="7"/>
  <c r="AY232" i="7"/>
  <c r="BA165" i="7"/>
  <c r="AY165" i="7"/>
  <c r="AZ165" i="7"/>
  <c r="AX165" i="7"/>
  <c r="BB165" i="7"/>
  <c r="BA63" i="7"/>
  <c r="BB63" i="7"/>
  <c r="AZ63" i="7"/>
  <c r="AY63" i="7"/>
  <c r="AX63" i="7"/>
  <c r="BA441" i="7"/>
  <c r="BB441" i="7"/>
  <c r="AZ441" i="7"/>
  <c r="AX441" i="7"/>
  <c r="AY441" i="7"/>
  <c r="BA313" i="7"/>
  <c r="BB313" i="7"/>
  <c r="AZ313" i="7"/>
  <c r="AX313" i="7"/>
  <c r="AY313" i="7"/>
  <c r="BA376" i="7"/>
  <c r="BB376" i="7"/>
  <c r="AX376" i="7"/>
  <c r="AY376" i="7"/>
  <c r="AZ376" i="7"/>
  <c r="BA152" i="7"/>
  <c r="AZ152" i="7"/>
  <c r="AX152" i="7"/>
  <c r="AY152" i="7"/>
  <c r="BB152" i="7"/>
  <c r="BA477" i="7"/>
  <c r="AZ477" i="7"/>
  <c r="AY477" i="7"/>
  <c r="BB477" i="7"/>
  <c r="AX477" i="7"/>
  <c r="BA329" i="7"/>
  <c r="AX329" i="7"/>
  <c r="AZ329" i="7"/>
  <c r="BB329" i="7"/>
  <c r="AY329" i="7"/>
  <c r="BA233" i="7"/>
  <c r="AX233" i="7"/>
  <c r="BB233" i="7"/>
  <c r="AY233" i="7"/>
  <c r="AZ233" i="7"/>
  <c r="BA52" i="7"/>
  <c r="AX52" i="7"/>
  <c r="BB52" i="7"/>
  <c r="AY52" i="7"/>
  <c r="AZ52" i="7"/>
  <c r="BA385" i="7"/>
  <c r="AX385" i="7"/>
  <c r="AZ385" i="7"/>
  <c r="BB385" i="7"/>
  <c r="AY385" i="7"/>
  <c r="BA356" i="7"/>
  <c r="AZ356" i="7"/>
  <c r="AY356" i="7"/>
  <c r="AX356" i="7"/>
  <c r="BB356" i="7"/>
  <c r="BA307" i="7"/>
  <c r="BB307" i="7"/>
  <c r="AZ307" i="7"/>
  <c r="AX307" i="7"/>
  <c r="AY307" i="7"/>
  <c r="BA148" i="7"/>
  <c r="AY148" i="7"/>
  <c r="BB148" i="7"/>
  <c r="AX148" i="7"/>
  <c r="AZ148" i="7"/>
  <c r="BA36" i="7"/>
  <c r="AX36" i="7"/>
  <c r="BB36" i="7"/>
  <c r="AY36" i="7"/>
  <c r="AZ36" i="7"/>
  <c r="BA306" i="7"/>
  <c r="BB306" i="7"/>
  <c r="AY306" i="7"/>
  <c r="AZ306" i="7"/>
  <c r="AX306" i="7"/>
  <c r="BA274" i="7"/>
  <c r="AZ274" i="7"/>
  <c r="AX274" i="7"/>
  <c r="AY274" i="7"/>
  <c r="BB274" i="7"/>
  <c r="BA242" i="7"/>
  <c r="AZ242" i="7"/>
  <c r="AX242" i="7"/>
  <c r="AY242" i="7"/>
  <c r="BB242" i="7"/>
  <c r="BA210" i="7"/>
  <c r="AY210" i="7"/>
  <c r="AX210" i="7"/>
  <c r="BB210" i="7"/>
  <c r="AZ210" i="7"/>
  <c r="BA345" i="7"/>
  <c r="AZ345" i="7"/>
  <c r="BB345" i="7"/>
  <c r="AX345" i="7"/>
  <c r="AY345" i="7"/>
  <c r="BA222" i="7"/>
  <c r="AZ222" i="7"/>
  <c r="AX222" i="7"/>
  <c r="AY222" i="7"/>
  <c r="BB222" i="7"/>
  <c r="BA167" i="7"/>
  <c r="AZ167" i="7"/>
  <c r="BB167" i="7"/>
  <c r="AX167" i="7"/>
  <c r="AY167" i="7"/>
  <c r="BA281" i="7"/>
  <c r="BB281" i="7"/>
  <c r="AZ281" i="7"/>
  <c r="AY281" i="7"/>
  <c r="AX281" i="7"/>
  <c r="BA40" i="7"/>
  <c r="AY40" i="7"/>
  <c r="BB40" i="7"/>
  <c r="AZ40" i="7"/>
  <c r="AX40" i="7"/>
  <c r="BA484" i="7"/>
  <c r="AY484" i="7"/>
  <c r="BB484" i="7"/>
  <c r="AZ484" i="7"/>
  <c r="AX484" i="7"/>
  <c r="BA411" i="7"/>
  <c r="BB411" i="7"/>
  <c r="AZ411" i="7"/>
  <c r="AY411" i="7"/>
  <c r="AX411" i="7"/>
  <c r="BA363" i="7"/>
  <c r="AX363" i="7"/>
  <c r="AZ363" i="7"/>
  <c r="AY363" i="7"/>
  <c r="BB363" i="7"/>
  <c r="BA335" i="7"/>
  <c r="AY335" i="7"/>
  <c r="BB335" i="7"/>
  <c r="AZ335" i="7"/>
  <c r="AX335" i="7"/>
  <c r="BA282" i="7"/>
  <c r="AZ282" i="7"/>
  <c r="AX282" i="7"/>
  <c r="BB282" i="7"/>
  <c r="AY282" i="7"/>
  <c r="BA53" i="7"/>
  <c r="BB53" i="7"/>
  <c r="AZ53" i="7"/>
  <c r="AY53" i="7"/>
  <c r="AX53" i="7"/>
  <c r="BA208" i="7"/>
  <c r="AX208" i="7"/>
  <c r="AZ208" i="7"/>
  <c r="AY208" i="7"/>
  <c r="BB208" i="7"/>
  <c r="BA103" i="7"/>
  <c r="AX103" i="7"/>
  <c r="BB103" i="7"/>
  <c r="AZ103" i="7"/>
  <c r="AY103" i="7"/>
  <c r="BA221" i="7"/>
  <c r="BB221" i="7"/>
  <c r="AY221" i="7"/>
  <c r="AZ221" i="7"/>
  <c r="AX221" i="7"/>
  <c r="BA471" i="7"/>
  <c r="AZ471" i="7"/>
  <c r="AX471" i="7"/>
  <c r="BB471" i="7"/>
  <c r="AY471" i="7"/>
  <c r="BA300" i="7"/>
  <c r="AY300" i="7"/>
  <c r="AX300" i="7"/>
  <c r="BB300" i="7"/>
  <c r="AZ300" i="7"/>
  <c r="BA115" i="7"/>
  <c r="AZ115" i="7"/>
  <c r="AY115" i="7"/>
  <c r="AX115" i="7"/>
  <c r="BB115" i="7"/>
  <c r="BA418" i="7"/>
  <c r="BB418" i="7"/>
  <c r="AY418" i="7"/>
  <c r="AZ418" i="7"/>
  <c r="AX418" i="7"/>
  <c r="BA150" i="7"/>
  <c r="AZ150" i="7"/>
  <c r="AY150" i="7"/>
  <c r="AX150" i="7"/>
  <c r="BB150" i="7"/>
  <c r="BA420" i="7"/>
  <c r="AZ420" i="7"/>
  <c r="AX420" i="7"/>
  <c r="BB420" i="7"/>
  <c r="AY420" i="7"/>
  <c r="BA430" i="7"/>
  <c r="AZ430" i="7"/>
  <c r="AX430" i="7"/>
  <c r="AY430" i="7"/>
  <c r="BB430" i="7"/>
  <c r="BA47" i="7"/>
  <c r="AY47" i="7"/>
  <c r="AZ47" i="7"/>
  <c r="AX47" i="7"/>
  <c r="BB47" i="7"/>
  <c r="BA497" i="7"/>
  <c r="BB497" i="7"/>
  <c r="AZ497" i="7"/>
  <c r="AX497" i="7"/>
  <c r="AY497" i="7"/>
  <c r="BA422" i="7"/>
  <c r="AX422" i="7"/>
  <c r="AZ422" i="7"/>
  <c r="AY422" i="7"/>
  <c r="BB422" i="7"/>
  <c r="BA342" i="7"/>
  <c r="AY342" i="7"/>
  <c r="AZ342" i="7"/>
  <c r="BB342" i="7"/>
  <c r="AX342" i="7"/>
  <c r="BA265" i="7"/>
  <c r="AX265" i="7"/>
  <c r="BB265" i="7"/>
  <c r="AZ265" i="7"/>
  <c r="AY265" i="7"/>
  <c r="BA100" i="7"/>
  <c r="AY100" i="7"/>
  <c r="AX100" i="7"/>
  <c r="BB100" i="7"/>
  <c r="AZ100" i="7"/>
  <c r="BA462" i="7"/>
  <c r="AX462" i="7"/>
  <c r="BB462" i="7"/>
  <c r="AY462" i="7"/>
  <c r="AZ462" i="7"/>
  <c r="BA288" i="7"/>
  <c r="AX288" i="7"/>
  <c r="AY288" i="7"/>
  <c r="BB288" i="7"/>
  <c r="AZ288" i="7"/>
  <c r="BA256" i="7"/>
  <c r="AX256" i="7"/>
  <c r="BB256" i="7"/>
  <c r="AZ256" i="7"/>
  <c r="AY256" i="7"/>
  <c r="BA224" i="7"/>
  <c r="AX224" i="7"/>
  <c r="AY224" i="7"/>
  <c r="AZ224" i="7"/>
  <c r="BB224" i="7"/>
  <c r="BA71" i="7"/>
  <c r="AY71" i="7"/>
  <c r="AX71" i="7"/>
  <c r="BB71" i="7"/>
  <c r="AZ71" i="7"/>
  <c r="BA434" i="7"/>
  <c r="AX434" i="7"/>
  <c r="AZ434" i="7"/>
  <c r="AY434" i="7"/>
  <c r="BB434" i="7"/>
  <c r="BA158" i="7"/>
  <c r="AX158" i="7"/>
  <c r="AZ158" i="7"/>
  <c r="BB158" i="7"/>
  <c r="AY158" i="7"/>
  <c r="BA397" i="7"/>
  <c r="AX397" i="7"/>
  <c r="BB397" i="7"/>
  <c r="AZ397" i="7"/>
  <c r="AY397" i="7"/>
  <c r="BA449" i="7"/>
  <c r="AZ449" i="7"/>
  <c r="AX449" i="7"/>
  <c r="AY449" i="7"/>
  <c r="BB449" i="7"/>
  <c r="BA414" i="7"/>
  <c r="AY414" i="7"/>
  <c r="AX414" i="7"/>
  <c r="BB414" i="7"/>
  <c r="AZ414" i="7"/>
  <c r="BA32" i="7"/>
  <c r="AY32" i="7"/>
  <c r="AX32" i="7"/>
  <c r="AZ32" i="7"/>
  <c r="BB32" i="7"/>
  <c r="BA478" i="7"/>
  <c r="AX478" i="7"/>
  <c r="BB478" i="7"/>
  <c r="AY478" i="7"/>
  <c r="AZ478" i="7"/>
  <c r="BA312" i="7"/>
  <c r="BB312" i="7"/>
  <c r="AX312" i="7"/>
  <c r="AZ312" i="7"/>
  <c r="AY312" i="7"/>
  <c r="BA284" i="7"/>
  <c r="AX284" i="7"/>
  <c r="AY284" i="7"/>
  <c r="AZ284" i="7"/>
  <c r="BB284" i="7"/>
  <c r="BA236" i="7"/>
  <c r="AY236" i="7"/>
  <c r="AX236" i="7"/>
  <c r="BB236" i="7"/>
  <c r="AZ236" i="7"/>
  <c r="BA131" i="7"/>
  <c r="BB131" i="7"/>
  <c r="AX131" i="7"/>
  <c r="AY131" i="7"/>
  <c r="AZ131" i="7"/>
  <c r="BA83" i="7"/>
  <c r="BB83" i="7"/>
  <c r="AX83" i="7"/>
  <c r="AY83" i="7"/>
  <c r="AZ83" i="7"/>
  <c r="BA19" i="7"/>
  <c r="AX19" i="7"/>
  <c r="AY19" i="7"/>
  <c r="BB19" i="7"/>
  <c r="AZ19" i="7"/>
  <c r="BA305" i="7"/>
  <c r="AZ305" i="7"/>
  <c r="AX305" i="7"/>
  <c r="AY305" i="7"/>
  <c r="BB305" i="7"/>
  <c r="BA405" i="7"/>
  <c r="BB405" i="7"/>
  <c r="AZ405" i="7"/>
  <c r="AY405" i="7"/>
  <c r="AX405" i="7"/>
  <c r="BA410" i="7"/>
  <c r="BB410" i="7"/>
  <c r="AZ410" i="7"/>
  <c r="AX410" i="7"/>
  <c r="AY410" i="7"/>
  <c r="BA289" i="7"/>
  <c r="AX289" i="7"/>
  <c r="AY289" i="7"/>
  <c r="BB289" i="7"/>
  <c r="AZ289" i="7"/>
  <c r="BA182" i="7"/>
  <c r="AZ182" i="7"/>
  <c r="BB182" i="7"/>
  <c r="AX182" i="7"/>
  <c r="AY182" i="7"/>
  <c r="BA68" i="7"/>
  <c r="AZ68" i="7"/>
  <c r="AY68" i="7"/>
  <c r="AX68" i="7"/>
  <c r="BB68" i="7"/>
  <c r="BA341" i="7"/>
  <c r="AZ341" i="7"/>
  <c r="AY341" i="7"/>
  <c r="BB341" i="7"/>
  <c r="AX341" i="7"/>
  <c r="BA292" i="7"/>
  <c r="BB292" i="7"/>
  <c r="AZ292" i="7"/>
  <c r="AY292" i="7"/>
  <c r="AX292" i="7"/>
  <c r="BA95" i="7"/>
  <c r="BB95" i="7"/>
  <c r="AZ95" i="7"/>
  <c r="AY95" i="7"/>
  <c r="AX95" i="7"/>
  <c r="BA15" i="7"/>
  <c r="AY15" i="7"/>
  <c r="BB15" i="7"/>
  <c r="AZ15" i="7"/>
  <c r="AX15" i="7"/>
  <c r="BA330" i="7"/>
  <c r="AZ330" i="7"/>
  <c r="AX330" i="7"/>
  <c r="AY330" i="7"/>
  <c r="BB330" i="7"/>
  <c r="BA401" i="7"/>
  <c r="BB401" i="7"/>
  <c r="AZ401" i="7"/>
  <c r="AY401" i="7"/>
  <c r="AX401" i="7"/>
  <c r="BA424" i="7"/>
  <c r="AX424" i="7"/>
  <c r="AY424" i="7"/>
  <c r="BB424" i="7"/>
  <c r="AZ424" i="7"/>
  <c r="BA380" i="7"/>
  <c r="AX380" i="7"/>
  <c r="BB380" i="7"/>
  <c r="AZ380" i="7"/>
  <c r="AY380" i="7"/>
  <c r="BA348" i="7"/>
  <c r="AX348" i="7"/>
  <c r="AZ348" i="7"/>
  <c r="AY348" i="7"/>
  <c r="BB348" i="7"/>
  <c r="BA303" i="7"/>
  <c r="AX303" i="7"/>
  <c r="AY303" i="7"/>
  <c r="AZ303" i="7"/>
  <c r="BB303" i="7"/>
  <c r="BA219" i="7"/>
  <c r="AZ219" i="7"/>
  <c r="AX219" i="7"/>
  <c r="BB219" i="7"/>
  <c r="AY219" i="7"/>
  <c r="BA156" i="7"/>
  <c r="BB156" i="7"/>
  <c r="AZ156" i="7"/>
  <c r="AY156" i="7"/>
  <c r="AX156" i="7"/>
  <c r="BA114" i="7"/>
  <c r="AZ114" i="7"/>
  <c r="AY114" i="7"/>
  <c r="AX114" i="7"/>
  <c r="BB114" i="7"/>
  <c r="BA457" i="7"/>
  <c r="AY457" i="7"/>
  <c r="AX457" i="7"/>
  <c r="BB457" i="7"/>
  <c r="AZ457" i="7"/>
  <c r="BA366" i="7"/>
  <c r="AX366" i="7"/>
  <c r="BB366" i="7"/>
  <c r="AY366" i="7"/>
  <c r="AZ366" i="7"/>
  <c r="BA245" i="7"/>
  <c r="AY245" i="7"/>
  <c r="AX245" i="7"/>
  <c r="BB245" i="7"/>
  <c r="AZ245" i="7"/>
  <c r="BA76" i="7"/>
  <c r="AY76" i="7"/>
  <c r="AX76" i="7"/>
  <c r="AZ76" i="7"/>
  <c r="BB76" i="7"/>
  <c r="BA417" i="7"/>
  <c r="AY417" i="7"/>
  <c r="AZ417" i="7"/>
  <c r="AX417" i="7"/>
  <c r="BB417" i="7"/>
  <c r="BA392" i="7"/>
  <c r="AY392" i="7"/>
  <c r="AX392" i="7"/>
  <c r="BB392" i="7"/>
  <c r="AZ392" i="7"/>
  <c r="BA315" i="7"/>
  <c r="AY315" i="7"/>
  <c r="AX315" i="7"/>
  <c r="BB315" i="7"/>
  <c r="AZ315" i="7"/>
  <c r="BA279" i="7"/>
  <c r="AZ279" i="7"/>
  <c r="AY279" i="7"/>
  <c r="AX279" i="7"/>
  <c r="BB279" i="7"/>
  <c r="BA215" i="7"/>
  <c r="AZ215" i="7"/>
  <c r="BB215" i="7"/>
  <c r="AX215" i="7"/>
  <c r="AY215" i="7"/>
  <c r="BA79" i="7"/>
  <c r="BB79" i="7"/>
  <c r="AZ79" i="7"/>
  <c r="AX79" i="7"/>
  <c r="AY79" i="7"/>
  <c r="BA82" i="7"/>
  <c r="AZ82" i="7"/>
  <c r="AY82" i="7"/>
  <c r="BB82" i="7"/>
  <c r="AX82" i="7"/>
  <c r="BA72" i="7"/>
  <c r="AZ72" i="7"/>
  <c r="AX72" i="7"/>
  <c r="BB72" i="7"/>
  <c r="AY72" i="7"/>
  <c r="BA454" i="7"/>
  <c r="AX454" i="7"/>
  <c r="AY454" i="7"/>
  <c r="AZ454" i="7"/>
  <c r="BB454" i="7"/>
  <c r="BA393" i="7"/>
  <c r="AZ393" i="7"/>
  <c r="AY393" i="7"/>
  <c r="BB393" i="7"/>
  <c r="AX393" i="7"/>
  <c r="BA388" i="7"/>
  <c r="AX388" i="7"/>
  <c r="AY388" i="7"/>
  <c r="BB388" i="7"/>
  <c r="AZ388" i="7"/>
  <c r="BA311" i="7"/>
  <c r="AZ311" i="7"/>
  <c r="AY311" i="7"/>
  <c r="AX311" i="7"/>
  <c r="BB311" i="7"/>
  <c r="BA243" i="7"/>
  <c r="BB243" i="7"/>
  <c r="AY243" i="7"/>
  <c r="AX243" i="7"/>
  <c r="AZ243" i="7"/>
  <c r="BA164" i="7"/>
  <c r="AZ164" i="7"/>
  <c r="AX164" i="7"/>
  <c r="AY164" i="7"/>
  <c r="BB164" i="7"/>
  <c r="BA110" i="7"/>
  <c r="AZ110" i="7"/>
  <c r="AY110" i="7"/>
  <c r="BB110" i="7"/>
  <c r="AX110" i="7"/>
  <c r="BA78" i="7"/>
  <c r="AY78" i="7"/>
  <c r="BB78" i="7"/>
  <c r="AZ78" i="7"/>
  <c r="AX78" i="7"/>
  <c r="BA46" i="7"/>
  <c r="AZ46" i="7"/>
  <c r="BB46" i="7"/>
  <c r="AX46" i="7"/>
  <c r="AY46" i="7"/>
  <c r="BA22" i="7"/>
  <c r="AZ22" i="7"/>
  <c r="AX22" i="7"/>
  <c r="AY22" i="7"/>
  <c r="BB22" i="7"/>
  <c r="BA333" i="7"/>
  <c r="AX333" i="7"/>
  <c r="AY333" i="7"/>
  <c r="BB333" i="7"/>
  <c r="AZ333" i="7"/>
  <c r="BA355" i="7"/>
  <c r="AZ355" i="7"/>
  <c r="AY355" i="7"/>
  <c r="AX355" i="7"/>
  <c r="BB355" i="7"/>
  <c r="BA196" i="7"/>
  <c r="AY196" i="7"/>
  <c r="AX196" i="7"/>
  <c r="BB196" i="7"/>
  <c r="AZ196" i="7"/>
  <c r="BA187" i="7"/>
  <c r="AZ187" i="7"/>
  <c r="AY187" i="7"/>
  <c r="AX187" i="7"/>
  <c r="BB187" i="7"/>
  <c r="BA155" i="7"/>
  <c r="AZ155" i="7"/>
  <c r="AY155" i="7"/>
  <c r="AX155" i="7"/>
  <c r="BB155" i="7"/>
  <c r="BA33" i="7"/>
  <c r="AZ33" i="7"/>
  <c r="BB33" i="7"/>
  <c r="AY33" i="7"/>
  <c r="AX33" i="7"/>
  <c r="BA349" i="7"/>
  <c r="AZ349" i="7"/>
  <c r="BB349" i="7"/>
  <c r="AX349" i="7"/>
  <c r="AY349" i="7"/>
  <c r="BA483" i="7"/>
  <c r="AZ483" i="7"/>
  <c r="AY483" i="7"/>
  <c r="AX483" i="7"/>
  <c r="BB483" i="7"/>
  <c r="BA476" i="7"/>
  <c r="AZ476" i="7"/>
  <c r="AY476" i="7"/>
  <c r="AX476" i="7"/>
  <c r="BB476" i="7"/>
  <c r="BA435" i="7"/>
  <c r="AZ435" i="7"/>
  <c r="AY435" i="7"/>
  <c r="AX435" i="7"/>
  <c r="BB435" i="7"/>
  <c r="BA302" i="7"/>
  <c r="BB302" i="7"/>
  <c r="AZ302" i="7"/>
  <c r="AX302" i="7"/>
  <c r="AY302" i="7"/>
  <c r="BA270" i="7"/>
  <c r="AZ270" i="7"/>
  <c r="BB270" i="7"/>
  <c r="AX270" i="7"/>
  <c r="AY270" i="7"/>
  <c r="BA250" i="7"/>
  <c r="AZ250" i="7"/>
  <c r="BB250" i="7"/>
  <c r="AY250" i="7"/>
  <c r="AX250" i="7"/>
  <c r="BA202" i="7"/>
  <c r="BB202" i="7"/>
  <c r="AZ202" i="7"/>
  <c r="AY202" i="7"/>
  <c r="AX202" i="7"/>
  <c r="BA109" i="7"/>
  <c r="AZ109" i="7"/>
  <c r="AY109" i="7"/>
  <c r="AX109" i="7"/>
  <c r="BB109" i="7"/>
  <c r="BA73" i="7"/>
  <c r="BB73" i="7"/>
  <c r="AY73" i="7"/>
  <c r="AX73" i="7"/>
  <c r="AZ73" i="7"/>
  <c r="BA25" i="7"/>
  <c r="AZ25" i="7"/>
  <c r="AY25" i="7"/>
  <c r="AX25" i="7"/>
  <c r="BB25" i="7"/>
  <c r="BA374" i="7"/>
  <c r="BB374" i="7"/>
  <c r="AZ374" i="7"/>
  <c r="AY374" i="7"/>
  <c r="AX374" i="7"/>
  <c r="BA116" i="7"/>
  <c r="AZ116" i="7"/>
  <c r="AY116" i="7"/>
  <c r="BB116" i="7"/>
  <c r="AX116" i="7"/>
  <c r="BA480" i="7"/>
  <c r="AY480" i="7"/>
  <c r="BB480" i="7"/>
  <c r="AZ480" i="7"/>
  <c r="AX480" i="7"/>
  <c r="BA415" i="7"/>
  <c r="BB415" i="7"/>
  <c r="AZ415" i="7"/>
  <c r="AX415" i="7"/>
  <c r="AY415" i="7"/>
  <c r="BA395" i="7"/>
  <c r="AX395" i="7"/>
  <c r="BB395" i="7"/>
  <c r="AZ395" i="7"/>
  <c r="AY395" i="7"/>
  <c r="BA367" i="7"/>
  <c r="AY367" i="7"/>
  <c r="BB367" i="7"/>
  <c r="AX367" i="7"/>
  <c r="AZ367" i="7"/>
  <c r="BA163" i="7"/>
  <c r="AX163" i="7"/>
  <c r="BB163" i="7"/>
  <c r="AZ163" i="7"/>
  <c r="AY163" i="7"/>
  <c r="AH7" i="8" l="1"/>
  <c r="AL7" i="8"/>
  <c r="AI7" i="8"/>
  <c r="AJ7" i="8" l="1"/>
  <c r="AN7" i="8"/>
  <c r="AK7" i="8"/>
  <c r="AM7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<sst xmlns="http://schemas.openxmlformats.org/spreadsheetml/2006/main" count="324" uniqueCount="98">
  <si>
    <t>Grades</t>
  </si>
  <si>
    <t>Rating</t>
  </si>
  <si>
    <t>A1</t>
  </si>
  <si>
    <t>B2</t>
  </si>
  <si>
    <t>B3</t>
  </si>
  <si>
    <t>C4</t>
  </si>
  <si>
    <t>C5</t>
  </si>
  <si>
    <t>C6</t>
  </si>
  <si>
    <t>D7</t>
  </si>
  <si>
    <t>E8</t>
  </si>
  <si>
    <t>F9</t>
  </si>
  <si>
    <t>English Language</t>
  </si>
  <si>
    <t>Mathematics</t>
  </si>
  <si>
    <t>Biology</t>
  </si>
  <si>
    <t>Economics</t>
  </si>
  <si>
    <t>Yoruba</t>
  </si>
  <si>
    <t>Physics</t>
  </si>
  <si>
    <t>Chemistry</t>
  </si>
  <si>
    <t>Further Maths</t>
  </si>
  <si>
    <t>Geography</t>
  </si>
  <si>
    <t>Agric Science</t>
  </si>
  <si>
    <t>CRK</t>
  </si>
  <si>
    <t>Lit. in English</t>
  </si>
  <si>
    <t>Financial Accounts</t>
  </si>
  <si>
    <t>Commerce</t>
  </si>
  <si>
    <t>Government</t>
  </si>
  <si>
    <t>Food &amp; Nutrition</t>
  </si>
  <si>
    <t>I.R.S</t>
  </si>
  <si>
    <t>Book-keeping</t>
  </si>
  <si>
    <t>Civic Education</t>
  </si>
  <si>
    <t>Catering Craft</t>
  </si>
  <si>
    <t>Office Practice</t>
  </si>
  <si>
    <t>Animal Husbandry</t>
  </si>
  <si>
    <t>Computer Science</t>
  </si>
  <si>
    <t>Dyeing &amp; Bleaching</t>
  </si>
  <si>
    <t>Fishery</t>
  </si>
  <si>
    <t>Technical Drawing</t>
  </si>
  <si>
    <t>Data Processing</t>
  </si>
  <si>
    <t>French</t>
  </si>
  <si>
    <t>Physical Education</t>
  </si>
  <si>
    <t>Marketing</t>
  </si>
  <si>
    <t>Home Management</t>
  </si>
  <si>
    <t>History</t>
  </si>
  <si>
    <t>Health Education</t>
  </si>
  <si>
    <t>Visual Art</t>
  </si>
  <si>
    <t>Electrical/ Electronics</t>
  </si>
  <si>
    <t>S/N</t>
  </si>
  <si>
    <t>Subjects</t>
  </si>
  <si>
    <t>EXAM NO</t>
  </si>
  <si>
    <t>GENDER</t>
  </si>
  <si>
    <t>SUBJECT</t>
  </si>
  <si>
    <t>GRADE</t>
  </si>
  <si>
    <t>ABS</t>
  </si>
  <si>
    <t>NIL</t>
  </si>
  <si>
    <t>WITHHELD</t>
  </si>
  <si>
    <t>F</t>
  </si>
  <si>
    <t>2025 WASSCE RESULT ENTRY SHEET</t>
  </si>
  <si>
    <t>LAGOS STATE GOVERNMENT</t>
  </si>
  <si>
    <t>EDUCATION DISTRICT VI, OSHODI</t>
  </si>
  <si>
    <t>CENTRE NO:</t>
  </si>
  <si>
    <t>EXAM NO:</t>
  </si>
  <si>
    <t>GENDER:</t>
  </si>
  <si>
    <t>NO OF REGISTERED CANDIDATE:</t>
  </si>
  <si>
    <t>SCHOOL NAME:</t>
  </si>
  <si>
    <t>M</t>
  </si>
  <si>
    <t xml:space="preserve"> </t>
  </si>
  <si>
    <t/>
  </si>
  <si>
    <t>NO OF CREDITS</t>
  </si>
  <si>
    <t>BELOW CREDITS</t>
  </si>
  <si>
    <t>5 CREDITS WITH MATHS AND ENGLISH</t>
  </si>
  <si>
    <t>5 CREDITS WITH ENGLISH ONLY</t>
  </si>
  <si>
    <t>5 CREDITS WITH MATHS ONLY</t>
  </si>
  <si>
    <t>4 CREDITS WITH MATHS AND ENGLISH</t>
  </si>
  <si>
    <t>4 CREDITS WITH ENGLISH ONLY</t>
  </si>
  <si>
    <t>4 CREDITS WITH MATHS ONLY</t>
  </si>
  <si>
    <t>NO REGISTERED</t>
  </si>
  <si>
    <t>NO PRESENT</t>
  </si>
  <si>
    <t>NO ABSENT</t>
  </si>
  <si>
    <t>NO OF STUDENTS WITH 5 CREDITS &amp; ABOVE INCLUDING ENGLISH &amp; MATHS</t>
  </si>
  <si>
    <t>NO OF STUDENTS WITH 5 CREDITS &amp; ABOVE INCLUDING ENGLISH ONLY</t>
  </si>
  <si>
    <t>NO OF STUDENTS WITH 5 CREDITS &amp; ABOVE INCLUDING MATHS</t>
  </si>
  <si>
    <t>NO OF STUDENTS WITH 4 CREDITS &amp; ABOVE INCLUDING ENGLISH &amp; MATHS</t>
  </si>
  <si>
    <t>NO OF STUDENTS WITH 4 CREDITS &amp; ABOVE INCLUDING ENGLISH ONLY</t>
  </si>
  <si>
    <t>NO OF STUDENTS WITH 4 CREDITS &amp; ABOVE INCLUDING MATHS</t>
  </si>
  <si>
    <t>NO FAILED [BELOW 4 CREDITS WITH/WITHOUT ENG &amp; MATHS]</t>
  </si>
  <si>
    <t>NO OF STUDENT RESULTS WITHHELD</t>
  </si>
  <si>
    <t>NO RELEASED</t>
  </si>
  <si>
    <t>% PASS</t>
  </si>
  <si>
    <t>TOTAL % PASS</t>
  </si>
  <si>
    <t>T</t>
  </si>
  <si>
    <t>MALE</t>
  </si>
  <si>
    <t>FEMALE</t>
  </si>
  <si>
    <t>TOTAL</t>
  </si>
  <si>
    <t>WITHHELD RESULTS</t>
  </si>
  <si>
    <t>No of Registered Students</t>
  </si>
  <si>
    <t>No of Present Students</t>
  </si>
  <si>
    <t>Withheld</t>
  </si>
  <si>
    <t>% 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</si>
</sst>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Libre Franklin"/>
    </font>
    <font>
      <b/>
      <sz val="12"/>
      <color rgb="FFFFFFFF"/>
      <name val="Libre Franklin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228B22"/>
        <bgColor indexed="64"/>
      </patternFill>
    </fill>
    <fill>
      <patternFill patternType="solid">
        <fgColor rgb="FF58B04E"/>
        <bgColor indexed="64"/>
      </patternFill>
    </fill>
    <fill>
      <patternFill patternType="solid">
        <fgColor rgb="FF57E86B"/>
        <bgColor indexed="64"/>
      </patternFill>
    </fill>
    <fill>
      <patternFill patternType="solid">
        <fgColor rgb="FF78EC6C"/>
        <bgColor indexed="64"/>
      </patternFill>
    </fill>
    <fill>
      <patternFill patternType="solid">
        <fgColor rgb="FFA9F36A"/>
        <bgColor indexed="64"/>
      </patternFill>
    </fill>
    <fill>
      <patternFill patternType="solid">
        <fgColor rgb="FFDDF96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B291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C8C8C8"/>
      </left>
      <right style="medium">
        <color rgb="FFC8C8C8"/>
      </right>
      <top/>
      <bottom/>
      <diagonal/>
    </border>
    <border>
      <left style="medium">
        <color rgb="FFCCCCCC"/>
      </left>
      <right style="medium">
        <color rgb="FFC8C8C8"/>
      </right>
      <top style="medium">
        <color rgb="FFCCCCCC"/>
      </top>
      <bottom/>
      <diagonal/>
    </border>
    <border>
      <left style="medium">
        <color rgb="FFCCCCCC"/>
      </left>
      <right style="medium">
        <color rgb="FFC8C8C8"/>
      </right>
      <top style="medium">
        <color rgb="FFCCCCCC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5">
    <xf numFmtId="0" fontId="0" fillId="0" borderId="0" xfId="0"/>
    <xf numFmtId="0" fontId="3" fillId="0" borderId="0" xfId="0" applyFont="1"/>
    <xf numFmtId="0" fontId="0" fillId="0" borderId="0" xfId="0" applyAlignment="1">
      <alignment textRotation="90"/>
    </xf>
    <xf numFmtId="1" fontId="0" fillId="0" borderId="0" xfId="0" applyNumberFormat="1" applyAlignment="1">
      <alignment textRotation="90"/>
    </xf>
    <xf numFmtId="0" fontId="1" fillId="0" borderId="0" xfId="0" applyFont="1" applyAlignment="1">
      <alignment horizontal="center" wrapText="1" readingOrder="1"/>
    </xf>
    <xf numFmtId="0" fontId="0" fillId="0" borderId="0" xfId="0" applyAlignment="1">
      <alignment wrapText="1" readingOrder="1"/>
    </xf>
    <xf numFmtId="0" fontId="3" fillId="0" borderId="7" xfId="0" applyFont="1" applyBorder="1" applyAlignment="1">
      <alignment horizontal="center" wrapText="1"/>
    </xf>
    <xf numFmtId="0" fontId="3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0" xfId="0" applyAlignment="1">
      <alignment horizontal="justify"/>
    </xf>
    <xf numFmtId="0" fontId="0" fillId="0" borderId="0" xfId="0" applyAlignment="1">
      <alignment horizontal="justify" wrapText="1"/>
    </xf>
    <xf numFmtId="10" fontId="0" fillId="0" borderId="0" xfId="1" applyNumberFormat="1" applyFont="1"/>
    <xf numFmtId="0" fontId="9" fillId="0" borderId="11" xfId="0" applyFont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wrapText="1"/>
    </xf>
    <xf numFmtId="0" fontId="9" fillId="3" borderId="12" xfId="0" applyFont="1" applyFill="1" applyBorder="1" applyAlignment="1">
      <alignment horizontal="center" wrapText="1"/>
    </xf>
    <xf numFmtId="0" fontId="9" fillId="4" borderId="12" xfId="0" applyFont="1" applyFill="1" applyBorder="1" applyAlignment="1">
      <alignment horizontal="center" wrapText="1"/>
    </xf>
    <xf numFmtId="0" fontId="9" fillId="5" borderId="12" xfId="0" applyFont="1" applyFill="1" applyBorder="1" applyAlignment="1">
      <alignment horizontal="center" wrapText="1"/>
    </xf>
    <xf numFmtId="0" fontId="9" fillId="6" borderId="12" xfId="0" applyFont="1" applyFill="1" applyBorder="1" applyAlignment="1">
      <alignment horizontal="center" wrapText="1"/>
    </xf>
    <xf numFmtId="0" fontId="9" fillId="7" borderId="12" xfId="0" applyFont="1" applyFill="1" applyBorder="1" applyAlignment="1">
      <alignment horizontal="center" wrapText="1"/>
    </xf>
    <xf numFmtId="0" fontId="9" fillId="8" borderId="12" xfId="0" applyFont="1" applyFill="1" applyBorder="1" applyAlignment="1">
      <alignment horizontal="center" wrapText="1"/>
    </xf>
    <xf numFmtId="0" fontId="9" fillId="9" borderId="12" xfId="0" applyFont="1" applyFill="1" applyBorder="1" applyAlignment="1">
      <alignment horizontal="center" wrapText="1"/>
    </xf>
    <xf numFmtId="0" fontId="9" fillId="10" borderId="12" xfId="0" applyFont="1" applyFill="1" applyBorder="1" applyAlignment="1">
      <alignment horizontal="center" wrapText="1"/>
    </xf>
    <xf numFmtId="0" fontId="10" fillId="11" borderId="13" xfId="0" applyFont="1" applyFill="1" applyBorder="1" applyAlignment="1">
      <alignment horizontal="center" wrapText="1"/>
    </xf>
    <xf numFmtId="10" fontId="11" fillId="0" borderId="0" xfId="1" applyNumberFormat="1" applyFont="1" applyAlignment="1">
      <alignment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 vertical="center"/>
    </xf>
    <xf numFmtId="0" fontId="4" fillId="12" borderId="16" xfId="0" applyFont="1" applyFill="1" applyBorder="1" applyAlignment="1">
      <alignment horizontal="center" vertical="center"/>
    </xf>
    <xf numFmtId="0" fontId="4" fillId="12" borderId="17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12" borderId="19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right"/>
    </xf>
    <xf numFmtId="0" fontId="4" fillId="12" borderId="0" xfId="0" applyFont="1" applyFill="1" applyBorder="1" applyAlignment="1">
      <alignment horizontal="right"/>
    </xf>
    <xf numFmtId="0" fontId="5" fillId="12" borderId="0" xfId="0" applyFont="1" applyFill="1" applyBorder="1" applyAlignment="1">
      <alignment horizontal="center" vertical="center"/>
    </xf>
    <xf numFmtId="0" fontId="5" fillId="12" borderId="19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12" borderId="19" xfId="0" applyFont="1" applyFill="1" applyBorder="1" applyAlignment="1">
      <alignment horizontal="center" vertical="center"/>
    </xf>
    <xf numFmtId="0" fontId="0" fillId="12" borderId="18" xfId="0" applyFill="1" applyBorder="1"/>
    <xf numFmtId="0" fontId="0" fillId="12" borderId="0" xfId="0" applyFill="1" applyBorder="1"/>
    <xf numFmtId="0" fontId="6" fillId="12" borderId="19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right" vertical="center"/>
    </xf>
    <xf numFmtId="0" fontId="6" fillId="12" borderId="0" xfId="0" applyFont="1" applyFill="1" applyBorder="1" applyAlignment="1">
      <alignment horizontal="center" vertical="center"/>
    </xf>
    <xf numFmtId="0" fontId="3" fillId="12" borderId="0" xfId="0" applyFont="1" applyFill="1" applyBorder="1" applyAlignment="1">
      <alignment horizontal="right"/>
    </xf>
    <xf numFmtId="0" fontId="0" fillId="12" borderId="1" xfId="0" applyFill="1" applyBorder="1"/>
    <xf numFmtId="0" fontId="3" fillId="12" borderId="0" xfId="0" applyFont="1" applyFill="1" applyBorder="1"/>
    <xf numFmtId="0" fontId="0" fillId="12" borderId="19" xfId="0" applyFill="1" applyBorder="1"/>
    <xf numFmtId="49" fontId="0" fillId="12" borderId="1" xfId="0" applyNumberFormat="1" applyFill="1" applyBorder="1"/>
    <xf numFmtId="0" fontId="3" fillId="12" borderId="1" xfId="0" applyFont="1" applyFill="1" applyBorder="1"/>
    <xf numFmtId="0" fontId="0" fillId="12" borderId="2" xfId="0" applyFill="1" applyBorder="1"/>
    <xf numFmtId="0" fontId="0" fillId="12" borderId="20" xfId="0" applyFill="1" applyBorder="1"/>
    <xf numFmtId="0" fontId="0" fillId="12" borderId="21" xfId="0" applyFill="1" applyBorder="1"/>
    <xf numFmtId="0" fontId="0" fillId="12" borderId="22" xfId="0" applyFill="1" applyBorder="1"/>
    <xf numFmtId="0" fontId="12" fillId="0" borderId="0" xfId="0" applyFont="1"/>
    <xf numFmtId="2" fontId="12" fillId="0" borderId="0" xfId="0" applyNumberFormat="1" applyFont="1"/>
    <xf numFmtId="0" fontId="3" fillId="12" borderId="0" xfId="0" applyFont="1" applyFill="1" applyBorder="1" applyAlignment="1">
      <alignment horizontal="center" vertical="center"/>
    </xf>
    <xf numFmtId="0" fontId="0" fillId="0" borderId="0" xfId="0" applyFont="1"/>
    <xf numFmtId="0" fontId="5" fillId="12" borderId="0" xfId="0" applyFont="1" applyFill="1" applyBorder="1" applyAlignment="1">
      <alignment vertical="center"/>
    </xf>
    <xf numFmtId="0" fontId="3" fillId="12" borderId="0" xfId="0" applyFont="1" applyFill="1" applyBorder="1" applyAlignment="1">
      <alignment horizontal="center" vertical="center" wrapText="1"/>
    </xf>
    <xf numFmtId="0" fontId="3" fillId="12" borderId="18" xfId="0" applyFont="1" applyFill="1" applyBorder="1" applyAlignment="1">
      <alignment horizontal="center" vertical="center" wrapText="1"/>
    </xf>
    <xf numFmtId="0" fontId="3" fillId="12" borderId="18" xfId="0" applyFont="1" applyFill="1" applyBorder="1" applyAlignment="1">
      <alignment horizontal="right"/>
    </xf>
    <xf numFmtId="0" fontId="3" fillId="12" borderId="18" xfId="0" applyFont="1" applyFill="1" applyBorder="1"/>
    <xf numFmtId="0" fontId="6" fillId="12" borderId="1" xfId="0" applyFont="1" applyFill="1" applyBorder="1" applyAlignment="1">
      <alignment horizontal="center" vertical="center"/>
    </xf>
    <xf numFmtId="0" fontId="5" fillId="12" borderId="23" xfId="0" applyFont="1" applyFill="1" applyBorder="1" applyAlignment="1">
      <alignment horizontal="center" vertical="center"/>
    </xf>
    <xf numFmtId="0" fontId="5" fillId="12" borderId="24" xfId="0" applyFont="1" applyFill="1" applyBorder="1" applyAlignment="1">
      <alignment horizontal="center" vertical="center"/>
    </xf>
    <xf numFmtId="0" fontId="5" fillId="12" borderId="14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center" vertical="center"/>
    </xf>
    <xf numFmtId="0" fontId="0" fillId="0" borderId="0" xfId="0" applyNumberFormat="1"/>
  </cellXfs>
  <cellStyles count="2">
    <cellStyle name="Normal" xfId="0" builtinId="0"/>
    <cellStyle name="Percent" xfId="1" builtinId="5"/>
  </cellStyles>
  <dxfs count="6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9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728254</xdr:colOff>
          <xdr:row>19</xdr:row>
          <xdr:rowOff>30564</xdr:rowOff>
        </xdr:from>
        <xdr:to>
          <xdr:col>5</xdr:col>
          <xdr:colOff>109025</xdr:colOff>
          <xdr:row>21</xdr:row>
          <xdr:rowOff>130965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18585</xdr:rowOff>
    </xdr:from>
    <xdr:to>
      <xdr:col>0</xdr:col>
      <xdr:colOff>827049</xdr:colOff>
      <xdr:row>2</xdr:row>
      <xdr:rowOff>223024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E55B6A-66CF-FCB6-3524-EAB379DE0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585"/>
          <a:ext cx="827049" cy="82704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F9580C3-28C7-496E-AA53-39B915E373E0}" name="Table5" displayName="Table5" ref="A5:BE500" totalsRowShown="0" headerRowDxfId="60">
  <autoFilter ref="A5:BE500" xr:uid="{1976B145-B020-4D69-983E-FCB2BF936D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</autoFilter>
  <tableColumns count="57">
    <tableColumn id="1" xr3:uid="{0A071822-1296-43BE-B29B-837138826E56}" name="S/N" dataDxfId="59">
      <calculatedColumnFormula>IF(B6&lt;&gt;"",COUNTA($B$6:B6),"")</calculatedColumnFormula>
    </tableColumn>
    <tableColumn id="2" xr3:uid="{5F959C28-23B9-4633-AE36-7FCCD58A2811}" name="EXAM NO">
      <calculatedColumnFormula>IF(Result_Database!A2="","",Result_Database!A2)</calculatedColumnFormula>
    </tableColumn>
    <tableColumn id="3" xr3:uid="{1725F8B8-DC1A-40A0-89AE-1C8BB8AD780E}" name="GENDER" dataDxfId="45">
      <calculatedColumnFormula>_xlfn.LET(
_xlpm.result,_xlfn.XLOOKUP($B6,Result_Database!$A$2:$A$500,Result_Database!$B$2:$B$500),
_xlfn.IFNA(_xlpm.result,"")
)</calculatedColumnFormula>
    </tableColumn>
    <tableColumn id="4" xr3:uid="{0FC18144-EFC5-4595-A5F1-EF436E23B880}" name="English Language" dataDxfId="44">
      <calculatedColumnFormula>_xlfn.LET(
  _xlpm.result, _xlfn.XLOOKUP($B6, Result_Database!$A$2:$A$500, Result_Database!C$2:C$500),
  _xlfn.IFNA(_xlpm.result, "")
)</calculatedColumnFormula>
    </tableColumn>
    <tableColumn id="5" xr3:uid="{C06ECFB0-CFC6-42D6-80AB-C1F0331D883D}" name="Mathematics" dataDxfId="43">
      <calculatedColumnFormula>_xlfn.LET(
  _xlpm.result, _xlfn.XLOOKUP($B6, Result_Database!$A$2:$A$500, Result_Database!D$2:D$500),
  _xlfn.IFNA(_xlpm.result, "")
)</calculatedColumnFormula>
    </tableColumn>
    <tableColumn id="6" xr3:uid="{572E7550-C469-4733-B7F0-6465192AE483}" name="Biology" dataDxfId="42">
      <calculatedColumnFormula>_xlfn.LET(
  _xlpm.result, _xlfn.XLOOKUP($B6, Result_Database!$A$2:$A$500, Result_Database!E$2:E$500),
  _xlfn.IFNA(_xlpm.result, "")
)</calculatedColumnFormula>
    </tableColumn>
    <tableColumn id="7" xr3:uid="{557EABF4-003E-43D1-8C9E-4C728D007076}" name="Economics" dataDxfId="41">
      <calculatedColumnFormula>_xlfn.LET(
  _xlpm.result, _xlfn.XLOOKUP($B6, Result_Database!$A$2:$A$500, Result_Database!F$2:F$500),
  _xlfn.IFNA(_xlpm.result, "")
)</calculatedColumnFormula>
    </tableColumn>
    <tableColumn id="8" xr3:uid="{605EEACD-6396-4649-9BDA-8A94281A9C39}" name="Yoruba" dataDxfId="40">
      <calculatedColumnFormula>_xlfn.LET(
  _xlpm.result, _xlfn.XLOOKUP($B6, Result_Database!$A$2:$A$500, Result_Database!G$2:G$500),
  _xlfn.IFNA(_xlpm.result, "")
)</calculatedColumnFormula>
    </tableColumn>
    <tableColumn id="9" xr3:uid="{E6A1A928-1DD4-41DC-A9D8-1EE891A07667}" name="Physics" dataDxfId="39">
      <calculatedColumnFormula>_xlfn.LET(
  _xlpm.result, _xlfn.XLOOKUP($B6, Result_Database!$A$2:$A$500, Result_Database!H$2:H$500),
  _xlfn.IFNA(_xlpm.result, "")
)</calculatedColumnFormula>
    </tableColumn>
    <tableColumn id="10" xr3:uid="{600B5184-B012-4D28-B1C7-BF67019004E2}" name="Chemistry" dataDxfId="38">
      <calculatedColumnFormula>_xlfn.LET(
  _xlpm.result, _xlfn.XLOOKUP($B6, Result_Database!$A$2:$A$500, Result_Database!I$2:I$500),
  _xlfn.IFNA(_xlpm.result, "")
)</calculatedColumnFormula>
    </tableColumn>
    <tableColumn id="11" xr3:uid="{29F46D97-C280-4674-A454-45169C3EE138}" name="Further Maths" dataDxfId="37">
      <calculatedColumnFormula>_xlfn.LET(
  _xlpm.result, _xlfn.XLOOKUP($B6, Result_Database!$A$2:$A$500, Result_Database!J$2:J$500),
  _xlfn.IFNA(_xlpm.result, "")
)</calculatedColumnFormula>
    </tableColumn>
    <tableColumn id="12" xr3:uid="{94F45364-CD9F-4C20-83C3-84FF0D6E4E26}" name="Geography" dataDxfId="36">
      <calculatedColumnFormula>_xlfn.LET(
  _xlpm.result, _xlfn.XLOOKUP($B6, Result_Database!$A$2:$A$500, Result_Database!K$2:K$500),
  _xlfn.IFNA(_xlpm.result, "")
)</calculatedColumnFormula>
    </tableColumn>
    <tableColumn id="13" xr3:uid="{5F8A7FB5-E4AA-4B7F-BECF-E316D118783C}" name="Agric Science" dataDxfId="35">
      <calculatedColumnFormula>_xlfn.LET(
  _xlpm.result, _xlfn.XLOOKUP($B6, Result_Database!$A$2:$A$500, Result_Database!L$2:L$500),
  _xlfn.IFNA(_xlpm.result, "")
)</calculatedColumnFormula>
    </tableColumn>
    <tableColumn id="14" xr3:uid="{68408EED-11C2-4B76-9E5E-6E395C35025B}" name="CRK" dataDxfId="34">
      <calculatedColumnFormula>_xlfn.LET(
  _xlpm.result, _xlfn.XLOOKUP($B6, Result_Database!$A$2:$A$500, Result_Database!M$2:M$500),
  _xlfn.IFNA(_xlpm.result, "")
)</calculatedColumnFormula>
    </tableColumn>
    <tableColumn id="15" xr3:uid="{585458DD-99F9-440E-8627-3B7DD2D1FC68}" name="Lit. in English" dataDxfId="33">
      <calculatedColumnFormula>_xlfn.LET(
  _xlpm.result, _xlfn.XLOOKUP($B6, Result_Database!$A$2:$A$500, Result_Database!N$2:N$500),
  _xlfn.IFNA(_xlpm.result, "")
)</calculatedColumnFormula>
    </tableColumn>
    <tableColumn id="16" xr3:uid="{B988EB9D-9176-4C37-97D4-5AE46062D446}" name="Financial Accounts" dataDxfId="32">
      <calculatedColumnFormula>_xlfn.LET(
  _xlpm.result, _xlfn.XLOOKUP($B6, Result_Database!$A$2:$A$500, Result_Database!O$2:O$500),
  _xlfn.IFNA(_xlpm.result, "")
)</calculatedColumnFormula>
    </tableColumn>
    <tableColumn id="17" xr3:uid="{E6C921C8-E084-406B-AE56-2EC29AB6A6C6}" name="Commerce" dataDxfId="31">
      <calculatedColumnFormula>_xlfn.LET(
  _xlpm.result, _xlfn.XLOOKUP($B6, Result_Database!$A$2:$A$500, Result_Database!P$2:P$500),
  _xlfn.IFNA(_xlpm.result, "")
)</calculatedColumnFormula>
    </tableColumn>
    <tableColumn id="18" xr3:uid="{D5ADA445-7E71-4A6B-ADC0-4E6027406E7E}" name="Government" dataDxfId="30">
      <calculatedColumnFormula>_xlfn.LET(
  _xlpm.result, _xlfn.XLOOKUP($B6, Result_Database!$A$2:$A$500, Result_Database!Q$2:Q$500),
  _xlfn.IFNA(_xlpm.result, "")
)</calculatedColumnFormula>
    </tableColumn>
    <tableColumn id="19" xr3:uid="{EA4E8447-EA74-4287-A14E-0D94A43DDE52}" name="Food &amp; Nutrition" dataDxfId="29">
      <calculatedColumnFormula>_xlfn.LET(
  _xlpm.result, _xlfn.XLOOKUP($B6, Result_Database!$A$2:$A$500, Result_Database!R$2:R$500),
  _xlfn.IFNA(_xlpm.result, "")
)</calculatedColumnFormula>
    </tableColumn>
    <tableColumn id="20" xr3:uid="{917BB179-28FF-4B6D-BCAB-F445F81F1046}" name="I.R.S" dataDxfId="28">
      <calculatedColumnFormula>_xlfn.LET(
  _xlpm.result, _xlfn.XLOOKUP($B6, Result_Database!$A$2:$A$500, Result_Database!S$2:S$500),
  _xlfn.IFNA(_xlpm.result, "")
)</calculatedColumnFormula>
    </tableColumn>
    <tableColumn id="21" xr3:uid="{FD2E233E-C6BC-4EE3-A993-273B08A9EC12}" name="Book-keeping" dataDxfId="27">
      <calculatedColumnFormula>_xlfn.LET(
  _xlpm.result, _xlfn.XLOOKUP($B6, Result_Database!$A$2:$A$500, Result_Database!T$2:T$500),
  _xlfn.IFNA(_xlpm.result, "")
)</calculatedColumnFormula>
    </tableColumn>
    <tableColumn id="22" xr3:uid="{2C01A576-B5A1-4B2D-97F9-374CA377CE32}" name="Civic Education" dataDxfId="26">
      <calculatedColumnFormula>_xlfn.LET(
  _xlpm.result, _xlfn.XLOOKUP($B6, Result_Database!$A$2:$A$500, Result_Database!U$2:U$500),
  _xlfn.IFNA(_xlpm.result, "")
)</calculatedColumnFormula>
    </tableColumn>
    <tableColumn id="23" xr3:uid="{27D64EFC-60FC-4AA7-9673-B162960F26CE}" name="Catering Craft" dataDxfId="25">
      <calculatedColumnFormula>_xlfn.LET(
  _xlpm.result, _xlfn.XLOOKUP($B6, Result_Database!$A$2:$A$500, Result_Database!V$2:V$500),
  _xlfn.IFNA(_xlpm.result, "")
)</calculatedColumnFormula>
    </tableColumn>
    <tableColumn id="24" xr3:uid="{D07BF306-A4E5-489D-9FB5-5F838B3025E5}" name="Office Practice" dataDxfId="24">
      <calculatedColumnFormula>_xlfn.LET(
  _xlpm.result, _xlfn.XLOOKUP($B6, Result_Database!$A$2:$A$500, Result_Database!W$2:W$500),
  _xlfn.IFNA(_xlpm.result, "")
)</calculatedColumnFormula>
    </tableColumn>
    <tableColumn id="25" xr3:uid="{7228C49B-5725-4A86-983C-038C9A061B56}" name="Animal Husbandry" dataDxfId="23">
      <calculatedColumnFormula>_xlfn.LET(
  _xlpm.result, _xlfn.XLOOKUP($B6, Result_Database!$A$2:$A$500, Result_Database!X$2:X$500),
  _xlfn.IFNA(_xlpm.result, "")
)</calculatedColumnFormula>
    </tableColumn>
    <tableColumn id="26" xr3:uid="{30454368-EDFF-4839-A12B-4F2AAD09D802}" name="Computer Science" dataDxfId="22">
      <calculatedColumnFormula>_xlfn.LET(
  _xlpm.result, _xlfn.XLOOKUP($B6, Result_Database!$A$2:$A$500, Result_Database!Y$2:Y$500),
  _xlfn.IFNA(_xlpm.result, "")
)</calculatedColumnFormula>
    </tableColumn>
    <tableColumn id="27" xr3:uid="{91983868-D637-4E7A-9093-1274173CCA1D}" name="Dyeing &amp; Bleaching" dataDxfId="21">
      <calculatedColumnFormula>_xlfn.LET(
  _xlpm.result, _xlfn.XLOOKUP($B6, Result_Database!$A$2:$A$500, Result_Database!Z$2:Z$500),
  _xlfn.IFNA(_xlpm.result, "")
)</calculatedColumnFormula>
    </tableColumn>
    <tableColumn id="28" xr3:uid="{08387FD0-372C-4A1A-80C5-5F5B91C3A832}" name="Fishery" dataDxfId="20">
      <calculatedColumnFormula>_xlfn.LET(
  _xlpm.result, _xlfn.XLOOKUP($B6, Result_Database!$A$2:$A$500, Result_Database!AA$2:AA$500),
  _xlfn.IFNA(_xlpm.result, "")
)</calculatedColumnFormula>
    </tableColumn>
    <tableColumn id="29" xr3:uid="{F40A6C94-4337-49C0-8FB7-1BBD505A011A}" name="Technical Drawing" dataDxfId="19">
      <calculatedColumnFormula>_xlfn.LET(
  _xlpm.result, _xlfn.XLOOKUP($B6, Result_Database!$A$2:$A$500, Result_Database!AB$2:AB$500),
  _xlfn.IFNA(_xlpm.result, "")
)</calculatedColumnFormula>
    </tableColumn>
    <tableColumn id="30" xr3:uid="{DB4F1BBA-712D-4FB7-94C1-50575E77951F}" name="Data Processing" dataDxfId="18">
      <calculatedColumnFormula>_xlfn.LET(
  _xlpm.result, _xlfn.XLOOKUP($B6, Result_Database!$A$2:$A$500, Result_Database!AC$2:AC$500),
  _xlfn.IFNA(_xlpm.result, "")
)</calculatedColumnFormula>
    </tableColumn>
    <tableColumn id="31" xr3:uid="{73B67027-506F-40D0-AF95-30BD7902DF03}" name="French" dataDxfId="17">
      <calculatedColumnFormula>_xlfn.LET(
  _xlpm.result, _xlfn.XLOOKUP($B6, Result_Database!$A$2:$A$500, Result_Database!AD$2:AD$500),
  _xlfn.IFNA(_xlpm.result, "")
)</calculatedColumnFormula>
    </tableColumn>
    <tableColumn id="32" xr3:uid="{1337D9E5-269B-4817-A78C-8C3CCF4F38F1}" name="Physical Education" dataDxfId="16">
      <calculatedColumnFormula>_xlfn.LET(
  _xlpm.result, _xlfn.XLOOKUP($B6, Result_Database!$A$2:$A$500, Result_Database!AE$2:AE$500),
  _xlfn.IFNA(_xlpm.result, "")
)</calculatedColumnFormula>
    </tableColumn>
    <tableColumn id="33" xr3:uid="{7DACE869-3D76-4DD8-BF4E-3A64E5BF949A}" name="Marketing" dataDxfId="15">
      <calculatedColumnFormula>_xlfn.LET(
  _xlpm.result, _xlfn.XLOOKUP($B6, Result_Database!$A$2:$A$500, Result_Database!AF$2:AF$500),
  _xlfn.IFNA(_xlpm.result, "")
)</calculatedColumnFormula>
    </tableColumn>
    <tableColumn id="34" xr3:uid="{ABCBD8F1-DB5F-460F-87A3-DF15F5B51AD1}" name="Home Management" dataDxfId="14">
      <calculatedColumnFormula>_xlfn.LET(
  _xlpm.result, _xlfn.XLOOKUP($B6, Result_Database!$A$2:$A$500, Result_Database!AG$2:AG$500),
  _xlfn.IFNA(_xlpm.result, "")
)</calculatedColumnFormula>
    </tableColumn>
    <tableColumn id="35" xr3:uid="{96E945CF-05AF-469B-947B-3C2944046C90}" name="History" dataDxfId="13">
      <calculatedColumnFormula>_xlfn.LET(
  _xlpm.result, _xlfn.XLOOKUP($B6, Result_Database!$A$2:$A$500, Result_Database!AH$2:AH$500),
  _xlfn.IFNA(_xlpm.result, "")
)</calculatedColumnFormula>
    </tableColumn>
    <tableColumn id="36" xr3:uid="{F34CAB34-A9B4-420E-8C6E-91AD958C4085}" name="Health Education" dataDxfId="12">
      <calculatedColumnFormula>_xlfn.LET(
  _xlpm.result, _xlfn.XLOOKUP($B6, Result_Database!$A$2:$A$500, Result_Database!AI$2:AI$500),
  _xlfn.IFNA(_xlpm.result, "")
)</calculatedColumnFormula>
    </tableColumn>
    <tableColumn id="37" xr3:uid="{6ADDE43B-35C8-4DDD-A513-98F87F673256}" name="Visual Art" dataDxfId="11">
      <calculatedColumnFormula>_xlfn.LET(
  _xlpm.result, _xlfn.XLOOKUP($B6, Result_Database!$A$2:$A$500, Result_Database!AJ$2:AJ$500),
  _xlfn.IFNA(_xlpm.result, "")
)</calculatedColumnFormula>
    </tableColumn>
    <tableColumn id="38" xr3:uid="{9E89A13E-CF20-42BA-B4AD-289D898AF65E}" name="Electrical/ Electronics" dataDxfId="10">
      <calculatedColumnFormula>_xlfn.LET(
  _xlpm.result, _xlfn.XLOOKUP($B6, Result_Database!$A$2:$A$500, Result_Database!AK$2:AK$500),
  _xlfn.IFNA(_xlpm.result, "")
)</calculatedColumnFormula>
    </tableColumn>
    <tableColumn id="39" xr3:uid="{34E8DCBC-0871-46CE-97BA-04F982EDFBBC}" name="A1" dataDxfId="9">
      <calculatedColumnFormula>_xlfn.LET(
    _xlpm.grade_to_count, Table5[[#Headers],[A1]],
    _xlpm.grade_count, COUNTIF(Table5[[#This Row],[English Language]:[Electrical/ Electronics]], _xlpm.grade_to_count),
    IF(_xlpm.grade_count=0, "", _xlpm.grade_count)
)</calculatedColumnFormula>
    </tableColumn>
    <tableColumn id="40" xr3:uid="{F586AE4A-CBA2-4940-9EBC-953110EA3A29}" name="B2" dataDxfId="8">
      <calculatedColumnFormula>_xlfn.LET(
    _xlpm.grade_to_count, Table5[[#Headers],[B2]],
    _xlpm.grade_count, COUNTIF(Table5[[#This Row],[English Language]:[Electrical/ Electronics]], _xlpm.grade_to_count),
    IF(_xlpm.grade_count=0, "", _xlpm.grade_count)
)</calculatedColumnFormula>
    </tableColumn>
    <tableColumn id="41" xr3:uid="{0FACFBAF-B172-472F-A783-82C9D4177D98}" name="B3" dataDxfId="7">
      <calculatedColumnFormula>_xlfn.LET(
    _xlpm.grade_to_count, Table5[[#Headers],[B3]],
    _xlpm.grade_count, COUNTIF(Table5[[#This Row],[English Language]:[Electrical/ Electronics]], _xlpm.grade_to_count),
    IF(_xlpm.grade_count=0, "", _xlpm.grade_count)
)</calculatedColumnFormula>
    </tableColumn>
    <tableColumn id="42" xr3:uid="{BFAEF0D5-ACDC-4A2A-AE97-D3964A5D4D95}" name="C4" dataDxfId="6">
      <calculatedColumnFormula>_xlfn.LET(
    _xlpm.grade_to_count, Table5[[#Headers],[C4]],
    _xlpm.grade_count, COUNTIF(Table5[[#This Row],[English Language]:[Electrical/ Electronics]], _xlpm.grade_to_count),
    IF(_xlpm.grade_count=0, "", _xlpm.grade_count)
)</calculatedColumnFormula>
    </tableColumn>
    <tableColumn id="43" xr3:uid="{2C887C8A-C740-4D38-A6E2-C1DBBC53A649}" name="C5" dataDxfId="5">
      <calculatedColumnFormula>_xlfn.LET(
    _xlpm.grade_to_count, Table5[[#Headers],[C5]],
    _xlpm.grade_count, COUNTIF(Table5[[#This Row],[English Language]:[Electrical/ Electronics]], _xlpm.grade_to_count),
    IF(_xlpm.grade_count=0, "", _xlpm.grade_count)
)</calculatedColumnFormula>
    </tableColumn>
    <tableColumn id="44" xr3:uid="{E736A03D-767C-4CE7-963A-BB995448CA6A}" name="C6" dataDxfId="4">
      <calculatedColumnFormula>_xlfn.LET(
    _xlpm.grade_to_count, Table5[[#Headers],[C6]],
    _xlpm.grade_count, COUNTIF(Table5[[#This Row],[English Language]:[Electrical/ Electronics]], _xlpm.grade_to_count),
    IF(_xlpm.grade_count=0, "", _xlpm.grade_count)
)</calculatedColumnFormula>
    </tableColumn>
    <tableColumn id="45" xr3:uid="{C2864E63-8AC6-4298-8B9E-70799A215940}" name="D7" dataDxfId="3">
      <calculatedColumnFormula>_xlfn.LET(
    _xlpm.grade_to_count, Table5[[#Headers],[D7]],
    _xlpm.grade_count, COUNTIF(Table5[[#This Row],[English Language]:[Electrical/ Electronics]], _xlpm.grade_to_count),
    IF(_xlpm.grade_count=0, "", _xlpm.grade_count)
)</calculatedColumnFormula>
    </tableColumn>
    <tableColumn id="46" xr3:uid="{28E98B40-E164-45C8-9BC1-F86CD0330C68}" name="E8" dataDxfId="2">
      <calculatedColumnFormula>_xlfn.LET(
    _xlpm.grade_to_count, Table5[[#Headers],[E8]],
    _xlpm.grade_count, COUNTIF(Table5[[#This Row],[English Language]:[Electrical/ Electronics]], _xlpm.grade_to_count),
    IF(_xlpm.grade_count=0, "", _xlpm.grade_count)
)</calculatedColumnFormula>
    </tableColumn>
    <tableColumn id="47" xr3:uid="{2E7C6EE1-E61A-4002-A330-67CDAC1730BF}" name="F9" dataDxfId="1">
      <calculatedColumnFormula>_xlfn.LET(
    _xlpm.grade_to_count, Table5[[#Headers],[F9]],
    _xlpm.grade_count, COUNTIF(Table5[[#This Row],[English Language]:[Electrical/ Electronics]], _xlpm.grade_to_count),
    IF(_xlpm.grade_count=0, "", _xlpm.grade_count)
)</calculatedColumnFormula>
    </tableColumn>
    <tableColumn id="48" xr3:uid="{AF64D5DE-CE91-45BF-BAC3-849740660739}" name="NO OF CREDITS" dataDxfId="58">
      <calculatedColumnFormula>IF(SUM(Table5[[#This Row],[A1]:[C6]])&lt;&gt;0,SUM(Table5[[#This Row],[A1]:[C6]]),"")</calculatedColumnFormula>
    </tableColumn>
    <tableColumn id="49" xr3:uid="{A457B121-90B5-429D-81E6-965BBD408FD3}" name="BELOW CREDITS" dataDxfId="57">
      <calculatedColumnFormula>IF(SUM(Table5[[#This Row],[D7]:[F9]])=0,"",SUM(Table5[[#This Row],[D7]:[F9]]))</calculatedColumnFormula>
    </tableColumn>
    <tableColumn id="50" xr3:uid="{1AB99455-50E5-4E42-B78A-5BF67B74F3A4}" name="5 CREDITS WITH MATHS AND ENGLISH" dataDxfId="56">
      <calculatedColumnFormula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calculatedColumnFormula>
    </tableColumn>
    <tableColumn id="51" xr3:uid="{358FA9EB-030A-4BD2-8ED7-A37244312F14}" name="5 CREDITS WITH ENGLISH ONLY" dataDxfId="55">
      <calculatedColumnFormula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calculatedColumnFormula>
    </tableColumn>
    <tableColumn id="52" xr3:uid="{0D5EC44B-6C8B-47B1-98E9-F872EE0E45B4}" name="5 CREDITS WITH MATHS ONLY" dataDxfId="54">
      <calculatedColumnFormula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calculatedColumnFormula>
    </tableColumn>
    <tableColumn id="54" xr3:uid="{98B1FC21-96A0-4B21-8E57-C7917F2D7DBC}" name="4 CREDITS WITH MATHS AND ENGLISH" dataDxfId="53">
      <calculatedColumnFormula>IF(
   AND(
     ISNA(MATCH(Table5[[#This Row],[English Language]], {"D7","E8","F9","ABS","WITHHELD",""}, 0)),
     ISNA(MATCH(Table5[[#This Row],[Mathematics]], {"D7","E8","F9","ABS","WITHHELD",""}, 0)),
     Table5[[#This Row],[NO OF CREDITS]] = 4
   ),
   "PASS",
   ""
)</calculatedColumnFormula>
    </tableColumn>
    <tableColumn id="55" xr3:uid="{C1E0E938-7325-4EF6-88D7-F089DAF36924}" name="4 CREDITS WITH ENGLISH ONLY" dataDxfId="52">
      <calculatedColumnFormula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calculatedColumnFormula>
    </tableColumn>
    <tableColumn id="56" xr3:uid="{A60AED4B-B78F-444E-9A65-A36B094039BC}" name="4 CREDITS WITH MATHS ONLY" dataDxfId="51">
      <calculatedColumnFormula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calculatedColumnFormula>
    </tableColumn>
    <tableColumn id="57" xr3:uid="{F3CCE2DB-5FC7-482C-8C1D-17512EE94BAF}" name="WITHHELD RESULTS" dataDxfId="50">
      <calculatedColumnFormula>IF(COUNTIF(Table5[[#This Row],[English Language]:[Electrical/ Electronics]],"WITHHELD")=0,"",COUNTIF(Table5[[#This Row],[English Language]:[Electrical/ Electronics]],"WITHHELD"))</calculatedColumnFormula>
    </tableColumn>
    <tableColumn id="58" xr3:uid="{DFAF4C13-B653-47FE-92E6-E640DEB3BEE7}" name="NO RELEASED" dataDxfId="49">
      <calculatedColumnFormula>IF(SUM(Table5[[#This Row],[NO OF CREDITS]:[BELOW CREDITS]])=0,"",SUM(Table5[[#This Row],[NO OF CREDITS]:[BELOW CREDITS]]))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86E201-E058-471D-9AC0-744727DB170D}" name="GRADES" displayName="GRADES" ref="A501:B512" totalsRowShown="0">
  <autoFilter ref="A501:B512" xr:uid="{A41C70F3-6C39-41E8-9748-B5C3533AF2EC}"/>
  <tableColumns count="2">
    <tableColumn id="1" xr3:uid="{A0BD2767-0165-4321-B9C1-6169CFA7B581}" name="Grades"/>
    <tableColumn id="2" xr3:uid="{8EB2467A-A2AA-499E-AF68-CF259BE1CB3C}" name="Rat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836F18-E50B-495D-8ED7-4637991BA4BC}" name="SUBJECTS" displayName="SUBJECTS" ref="A1:P36" totalsRowShown="0">
  <autoFilter ref="A1:P36" xr:uid="{C5622201-A4B1-442F-8019-506F146AFEE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05C26CA4-8B6D-450D-9D9D-C4B9C97F12B9}" name="S/N"/>
    <tableColumn id="2" xr3:uid="{8937C357-CC1E-4E38-9362-FB553CA89084}" name="Subjects"/>
    <tableColumn id="3" xr3:uid="{22DEB8EE-9E5C-42C4-8189-20ED79C94C95}" name="No of Registered Students"/>
    <tableColumn id="4" xr3:uid="{35F9645B-6574-48CC-B65E-33425DDADD21}" name="No of Present Students" dataDxfId="0">
      <calculatedColumnFormula array="1">SUMPRODUCT(
  --(INDEX(Analysis!$D$6:$AL$500,,MATCH($B2,Analysis!$D$5:$AL$5,0))&lt;&gt;""),
  --(INDEX(Analysis!$D$6:$AL$500,,MATCH($B2,Analysis!$D$5:$AL$5,0))&lt;&gt;"ABS")
)</calculatedColumnFormula>
    </tableColumn>
    <tableColumn id="5" xr3:uid="{A23FF3E1-687D-4640-BFE9-3837A64E6664}" name="A1" dataDxfId="48">
      <calculatedColumnFormula>COUNTIF(INDEX(Analysis!$D$6:$AL$500, , MATCH($B2, Analysis!$D$5:$AL$5, 0)), E$1)</calculatedColumnFormula>
    </tableColumn>
    <tableColumn id="6" xr3:uid="{D767E18B-7AF8-4258-82D5-0B078E177280}" name="B2">
      <calculatedColumnFormula>COUNTIF(INDEX(Analysis!$D$6:$AL$500, , MATCH($B2, Analysis!$D$5:$AL$5, 0)), F$1)</calculatedColumnFormula>
    </tableColumn>
    <tableColumn id="7" xr3:uid="{CCF16253-26E2-4C01-8C9C-0672E856782C}" name="B3">
      <calculatedColumnFormula>COUNTIF(INDEX(Analysis!$D$6:$AL$500, , MATCH($B2, Analysis!$D$5:$AL$5, 0)), G$1)</calculatedColumnFormula>
    </tableColumn>
    <tableColumn id="8" xr3:uid="{14B0CA15-CAF3-489F-BD0D-9F751158A051}" name="C4">
      <calculatedColumnFormula>COUNTIF(INDEX(Analysis!$D$6:$AL$500, , MATCH($B2, Analysis!$D$5:$AL$5, 0)), H$1)</calculatedColumnFormula>
    </tableColumn>
    <tableColumn id="9" xr3:uid="{B029FBD2-ED63-498B-A077-5E26E15FDD4D}" name="C5">
      <calculatedColumnFormula>COUNTIF(INDEX(Analysis!$D$6:$AL$500, , MATCH($B2, Analysis!$D$5:$AL$5, 0)), I$1)</calculatedColumnFormula>
    </tableColumn>
    <tableColumn id="10" xr3:uid="{30B04AFE-C062-4E69-96E5-39470A8EB0A5}" name="C6">
      <calculatedColumnFormula>COUNTIF(INDEX(Analysis!$D$6:$AL$500, , MATCH($B2, Analysis!$D$5:$AL$5, 0)), J$1)</calculatedColumnFormula>
    </tableColumn>
    <tableColumn id="11" xr3:uid="{4DF0077E-79AE-4155-A44C-61BC2F5C31B3}" name="D7">
      <calculatedColumnFormula>COUNTIF(INDEX(Analysis!$D$6:$AL$500, , MATCH($B2, Analysis!$D$5:$AL$5, 0)), K$1)</calculatedColumnFormula>
    </tableColumn>
    <tableColumn id="12" xr3:uid="{4097E1AB-C24C-4706-8AC8-3D0F70889F72}" name="E8">
      <calculatedColumnFormula>COUNTIF(INDEX(Analysis!$D$6:$AL$500, , MATCH($B2, Analysis!$D$5:$AL$5, 0)), L$1)</calculatedColumnFormula>
    </tableColumn>
    <tableColumn id="13" xr3:uid="{C7ED9EAB-0C06-45DE-B5E4-F8D9A877B59C}" name="F9">
      <calculatedColumnFormula>COUNTIF(INDEX(Analysis!$D$6:$AL$500, , MATCH($B2, Analysis!$D$5:$AL$5, 0)), M$1)</calculatedColumnFormula>
    </tableColumn>
    <tableColumn id="14" xr3:uid="{D57CA83E-C380-464E-B44C-C0028A0B001D}" name="Withheld">
      <calculatedColumnFormula>COUNTIF(INDEX(Analysis!$D$6:$AL$500, , MATCH($B2, Analysis!$D$5:$AL$5, 0)), N$1)</calculatedColumnFormula>
    </tableColumn>
    <tableColumn id="15" xr3:uid="{F0ECA32D-9296-4D0C-8AA3-715AF5AE651E}" name="% PASS" dataDxfId="47" dataCellStyle="Percent">
      <calculatedColumnFormula>IFERROR(SUM(SUBJECTS[[#This Row],[A1]:[C6]])/SUBJECTS[[#This Row],[No of Present Students]],"")</calculatedColumnFormula>
    </tableColumn>
    <tableColumn id="16" xr3:uid="{6AF4B526-6060-438E-8A42-15F942649BB5}" name="% FAIL" dataDxfId="46" dataCellStyle="Percent">
      <calculatedColumnFormula>IFERROR(SUM(SUBJECTS[[#This Row],[D7]:[F9]])/SUBJECTS[[#This Row],[No of Present Students]],"")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21DC9-F17D-4F67-B7C8-CD275C1E9FCA}">
  <sheetPr codeName="Sheet2"/>
  <dimension ref="A1:BN38"/>
  <sheetViews>
    <sheetView showGridLines="0" zoomScale="82" zoomScaleNormal="82" workbookViewId="0">
      <selection activeCell="D7" sqref="D7"/>
    </sheetView>
  </sheetViews>
  <sheetFormatPr defaultRowHeight="14.4" x14ac:dyDescent="0.3"/>
  <cols>
    <col min="1" max="1" width="13.77734375" customWidth="1"/>
    <col min="2" max="2" width="16.5546875" customWidth="1"/>
    <col min="3" max="3" width="12.88671875" customWidth="1"/>
    <col min="4" max="4" width="22.109375" customWidth="1"/>
    <col min="11" max="13" width="8.88671875" style="63"/>
    <col min="14" max="14" width="18.77734375" style="60" bestFit="1" customWidth="1"/>
    <col min="15" max="15" width="13.6640625" style="60" customWidth="1"/>
    <col min="16" max="18" width="8.88671875" style="63"/>
  </cols>
  <sheetData>
    <row r="1" spans="1:66" ht="18.600000000000001" customHeight="1" x14ac:dyDescent="0.3">
      <c r="A1" s="32" t="s">
        <v>57</v>
      </c>
      <c r="B1" s="33"/>
      <c r="C1" s="33"/>
      <c r="D1" s="33"/>
      <c r="E1" s="33"/>
      <c r="F1" s="34"/>
      <c r="G1" s="1"/>
      <c r="H1" s="1"/>
      <c r="I1" s="1"/>
      <c r="J1" s="1"/>
      <c r="K1" s="1"/>
      <c r="L1" s="1"/>
      <c r="M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BL1" t="s">
        <v>66</v>
      </c>
      <c r="BM1" t="s">
        <v>66</v>
      </c>
      <c r="BN1" t="s">
        <v>66</v>
      </c>
    </row>
    <row r="2" spans="1:66" ht="30.6" customHeight="1" x14ac:dyDescent="0.3">
      <c r="A2" s="35" t="s">
        <v>58</v>
      </c>
      <c r="B2" s="36"/>
      <c r="C2" s="36"/>
      <c r="D2" s="36"/>
      <c r="E2" s="36"/>
      <c r="F2" s="37"/>
      <c r="G2" s="1"/>
      <c r="H2" s="1"/>
      <c r="I2" s="1"/>
      <c r="J2" s="1"/>
      <c r="K2" s="1"/>
      <c r="L2" s="1"/>
      <c r="M2" s="1"/>
      <c r="N2" s="60" t="s">
        <v>48</v>
      </c>
      <c r="O2" s="61" t="str">
        <f>CONCATENATE(B9,B11)</f>
        <v>56789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BF2" t="s">
        <v>66</v>
      </c>
      <c r="BG2" t="s">
        <v>66</v>
      </c>
      <c r="BH2" t="s">
        <v>66</v>
      </c>
      <c r="BI2" t="s">
        <v>66</v>
      </c>
      <c r="BJ2" t="s">
        <v>66</v>
      </c>
      <c r="BK2" t="s">
        <v>66</v>
      </c>
      <c r="BL2" t="s">
        <v>66</v>
      </c>
      <c r="BM2" t="s">
        <v>66</v>
      </c>
      <c r="BN2" t="s">
        <v>66</v>
      </c>
    </row>
    <row r="3" spans="1:66" ht="21" x14ac:dyDescent="0.35">
      <c r="A3" s="38" t="s">
        <v>63</v>
      </c>
      <c r="B3" s="39"/>
      <c r="C3" s="70"/>
      <c r="D3" s="71"/>
      <c r="E3" s="71"/>
      <c r="F3" s="72"/>
      <c r="G3" s="1"/>
      <c r="H3" s="1"/>
      <c r="I3" s="1"/>
      <c r="J3" s="1"/>
      <c r="K3" s="1"/>
      <c r="L3" s="1"/>
      <c r="M3" s="1"/>
      <c r="N3" s="60" t="s">
        <v>49</v>
      </c>
      <c r="O3" s="60">
        <f>B13</f>
        <v>0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66" ht="21" x14ac:dyDescent="0.3">
      <c r="A4" s="73" t="s">
        <v>56</v>
      </c>
      <c r="B4" s="40"/>
      <c r="C4" s="40"/>
      <c r="D4" s="40"/>
      <c r="E4" s="40"/>
      <c r="F4" s="41"/>
      <c r="N4" s="60" t="s">
        <v>11</v>
      </c>
      <c r="O4" s="60" t="str">
        <f>IFERROR(INDEX($D$11:$E$19,MATCH($N4,$D$11:$D$19,0),2),"")</f>
        <v/>
      </c>
      <c r="R4" s="1"/>
      <c r="S4" s="1"/>
      <c r="T4" s="1"/>
      <c r="U4" s="1"/>
      <c r="V4" s="1"/>
      <c r="W4" s="1"/>
      <c r="X4" s="1"/>
      <c r="Y4" s="1"/>
      <c r="Z4" s="1"/>
    </row>
    <row r="5" spans="1:66" ht="18" x14ac:dyDescent="0.3">
      <c r="A5" s="42"/>
      <c r="B5" s="43"/>
      <c r="C5" s="43"/>
      <c r="D5" s="43"/>
      <c r="E5" s="43"/>
      <c r="F5" s="44"/>
      <c r="N5" s="60" t="s">
        <v>12</v>
      </c>
      <c r="O5" s="60" t="str">
        <f>IFERROR(INDEX($D$11:$E$19,MATCH($N5,$D$11:$D$19,0),2),"")</f>
        <v/>
      </c>
      <c r="R5" s="1"/>
      <c r="S5" s="1"/>
      <c r="T5" s="1"/>
      <c r="U5" s="1"/>
      <c r="V5" s="1"/>
      <c r="W5" s="1"/>
      <c r="X5" s="1"/>
      <c r="Y5" s="1"/>
      <c r="Z5" s="1"/>
    </row>
    <row r="6" spans="1:66" ht="18" customHeight="1" x14ac:dyDescent="0.3">
      <c r="A6" s="66" t="s">
        <v>62</v>
      </c>
      <c r="B6" s="65"/>
      <c r="C6" s="62" t="s">
        <v>90</v>
      </c>
      <c r="D6" s="51"/>
      <c r="E6" s="64"/>
      <c r="F6" s="47"/>
      <c r="N6" s="60" t="s">
        <v>13</v>
      </c>
      <c r="O6" s="60" t="str">
        <f>IFERROR(INDEX($D$11:$E$19,MATCH($N6,$D$11:$D$19,0),2),"")</f>
        <v/>
      </c>
    </row>
    <row r="7" spans="1:66" ht="18" customHeight="1" x14ac:dyDescent="0.3">
      <c r="A7" s="45"/>
      <c r="B7" s="48"/>
      <c r="C7" s="62" t="s">
        <v>91</v>
      </c>
      <c r="D7" s="51"/>
      <c r="E7" s="46"/>
      <c r="F7" s="47"/>
      <c r="N7" s="60" t="s">
        <v>14</v>
      </c>
      <c r="O7" s="60" t="str">
        <f>IFERROR(INDEX($D$11:$E$19,MATCH($N7,$D$11:$D$19,0),2),"")</f>
        <v>B3</v>
      </c>
    </row>
    <row r="8" spans="1:66" ht="18" customHeight="1" x14ac:dyDescent="0.3">
      <c r="A8" s="45"/>
      <c r="B8" s="48"/>
      <c r="C8" s="62" t="s">
        <v>92</v>
      </c>
      <c r="D8" s="69" t="str">
        <f>IF((D6+D7)=0,"",D6+D7)</f>
        <v/>
      </c>
      <c r="E8" s="46"/>
      <c r="F8" s="47"/>
      <c r="N8" s="60" t="s">
        <v>15</v>
      </c>
      <c r="O8" s="60" t="str">
        <f>IFERROR(INDEX($D$11:$E$19,MATCH($N8,$D$11:$D$19,0),2),"")</f>
        <v/>
      </c>
    </row>
    <row r="9" spans="1:66" ht="18" customHeight="1" x14ac:dyDescent="0.3">
      <c r="A9" s="67" t="s">
        <v>59</v>
      </c>
      <c r="B9" s="51">
        <v>56789</v>
      </c>
      <c r="C9" s="46"/>
      <c r="D9" s="46"/>
      <c r="E9" s="49"/>
      <c r="F9" s="47"/>
      <c r="N9" s="60" t="s">
        <v>16</v>
      </c>
      <c r="O9" s="60" t="str">
        <f>IFERROR(INDEX($D$11:$E$19,MATCH($N9,$D$11:$D$19,0),2),"")</f>
        <v>C4</v>
      </c>
    </row>
    <row r="10" spans="1:66" ht="15.6" x14ac:dyDescent="0.3">
      <c r="A10" s="68"/>
      <c r="B10" s="46"/>
      <c r="C10" s="50" t="s">
        <v>46</v>
      </c>
      <c r="D10" s="55" t="s">
        <v>50</v>
      </c>
      <c r="E10" s="55" t="s">
        <v>51</v>
      </c>
      <c r="F10" s="53"/>
      <c r="N10" s="60" t="s">
        <v>17</v>
      </c>
      <c r="O10" s="60" t="str">
        <f>IFERROR(INDEX($D$11:$E$19,MATCH($N10,$D$11:$D$19,0),2),"")</f>
        <v/>
      </c>
    </row>
    <row r="11" spans="1:66" ht="15.6" x14ac:dyDescent="0.3">
      <c r="A11" s="67" t="s">
        <v>60</v>
      </c>
      <c r="B11" s="54" t="s">
        <v>66</v>
      </c>
      <c r="C11" s="52">
        <v>1</v>
      </c>
      <c r="D11" s="51" t="s">
        <v>14</v>
      </c>
      <c r="E11" s="56" t="s">
        <v>4</v>
      </c>
      <c r="F11" s="53"/>
      <c r="N11" s="60" t="s">
        <v>18</v>
      </c>
      <c r="O11" s="60" t="str">
        <f>IFERROR(INDEX($D$11:$E$19,MATCH($N11,$D$11:$D$19,0),2),"")</f>
        <v/>
      </c>
    </row>
    <row r="12" spans="1:66" ht="15.6" x14ac:dyDescent="0.3">
      <c r="A12" s="68"/>
      <c r="B12" s="46"/>
      <c r="C12" s="52">
        <v>2</v>
      </c>
      <c r="D12" s="51" t="s">
        <v>22</v>
      </c>
      <c r="E12" s="56" t="s">
        <v>7</v>
      </c>
      <c r="F12" s="53"/>
      <c r="N12" s="60" t="s">
        <v>19</v>
      </c>
      <c r="O12" s="60" t="str">
        <f>IFERROR(INDEX($D$11:$E$19,MATCH($N12,$D$11:$D$19,0),2),"")</f>
        <v/>
      </c>
    </row>
    <row r="13" spans="1:66" ht="15.6" x14ac:dyDescent="0.3">
      <c r="A13" s="67" t="s">
        <v>61</v>
      </c>
      <c r="B13" s="51"/>
      <c r="C13" s="52">
        <v>3</v>
      </c>
      <c r="D13" s="51" t="s">
        <v>16</v>
      </c>
      <c r="E13" s="56" t="s">
        <v>5</v>
      </c>
      <c r="F13" s="53"/>
      <c r="N13" s="60" t="s">
        <v>20</v>
      </c>
      <c r="O13" s="60" t="str">
        <f>IFERROR(INDEX($D$11:$E$19,MATCH($N13,$D$11:$D$19,0),2),"")</f>
        <v/>
      </c>
    </row>
    <row r="14" spans="1:66" ht="15.6" x14ac:dyDescent="0.3">
      <c r="A14" s="45"/>
      <c r="B14" s="46"/>
      <c r="C14" s="52">
        <v>4</v>
      </c>
      <c r="D14" s="51"/>
      <c r="E14" s="56"/>
      <c r="F14" s="53"/>
      <c r="N14" s="60" t="s">
        <v>21</v>
      </c>
      <c r="O14" s="60" t="str">
        <f>IFERROR(INDEX($D$11:$E$19,MATCH($N14,$D$11:$D$19,0),2),"")</f>
        <v/>
      </c>
    </row>
    <row r="15" spans="1:66" ht="15.6" x14ac:dyDescent="0.3">
      <c r="A15" s="45"/>
      <c r="B15" s="46"/>
      <c r="C15" s="52">
        <v>5</v>
      </c>
      <c r="D15" s="51"/>
      <c r="E15" s="56"/>
      <c r="F15" s="53"/>
      <c r="N15" s="60" t="s">
        <v>22</v>
      </c>
      <c r="O15" s="60" t="str">
        <f>IFERROR(INDEX($D$11:$E$19,MATCH($N15,$D$11:$D$19,0),2),"")</f>
        <v>C6</v>
      </c>
    </row>
    <row r="16" spans="1:66" ht="15.6" x14ac:dyDescent="0.3">
      <c r="A16" s="45"/>
      <c r="B16" s="46"/>
      <c r="C16" s="52">
        <v>6</v>
      </c>
      <c r="D16" s="51"/>
      <c r="E16" s="56"/>
      <c r="F16" s="53"/>
      <c r="N16" s="60" t="s">
        <v>23</v>
      </c>
      <c r="O16" s="60" t="str">
        <f>IFERROR(INDEX($D$11:$E$19,MATCH($N16,$D$11:$D$19,0),2),"")</f>
        <v/>
      </c>
    </row>
    <row r="17" spans="1:15" ht="15.6" x14ac:dyDescent="0.3">
      <c r="A17" s="45"/>
      <c r="B17" s="46"/>
      <c r="C17" s="52">
        <v>7</v>
      </c>
      <c r="D17" s="51"/>
      <c r="E17" s="56"/>
      <c r="F17" s="53"/>
      <c r="N17" s="60" t="s">
        <v>24</v>
      </c>
      <c r="O17" s="60" t="str">
        <f>IFERROR(INDEX($D$11:$E$19,MATCH($N17,$D$11:$D$19,0),2),"")</f>
        <v/>
      </c>
    </row>
    <row r="18" spans="1:15" ht="15.6" x14ac:dyDescent="0.3">
      <c r="A18" s="45"/>
      <c r="B18" s="46"/>
      <c r="C18" s="52">
        <v>8</v>
      </c>
      <c r="D18" s="51"/>
      <c r="E18" s="56"/>
      <c r="F18" s="53"/>
      <c r="N18" s="60" t="s">
        <v>25</v>
      </c>
      <c r="O18" s="60" t="str">
        <f>IFERROR(INDEX($D$11:$E$19,MATCH($N18,$D$11:$D$19,0),2),"")</f>
        <v/>
      </c>
    </row>
    <row r="19" spans="1:15" ht="15.6" x14ac:dyDescent="0.3">
      <c r="A19" s="45"/>
      <c r="B19" s="46"/>
      <c r="C19" s="52">
        <v>9</v>
      </c>
      <c r="D19" s="51"/>
      <c r="E19" s="56"/>
      <c r="F19" s="53"/>
      <c r="G19" t="s">
        <v>65</v>
      </c>
      <c r="N19" s="60" t="s">
        <v>26</v>
      </c>
      <c r="O19" s="60" t="str">
        <f>IFERROR(INDEX($D$11:$E$19,MATCH($N19,$D$11:$D$19,0),2),"")</f>
        <v/>
      </c>
    </row>
    <row r="20" spans="1:15" x14ac:dyDescent="0.3">
      <c r="A20" s="45"/>
      <c r="B20" s="46"/>
      <c r="C20" s="46"/>
      <c r="D20" s="46"/>
      <c r="E20" s="46"/>
      <c r="F20" s="53"/>
      <c r="N20" s="60" t="s">
        <v>27</v>
      </c>
      <c r="O20" s="60" t="str">
        <f>IFERROR(INDEX($D$11:$E$19,MATCH($N20,$D$11:$D$19,0),2),"")</f>
        <v/>
      </c>
    </row>
    <row r="21" spans="1:15" x14ac:dyDescent="0.3">
      <c r="A21" s="45"/>
      <c r="B21" s="46"/>
      <c r="C21" s="46"/>
      <c r="D21" s="46"/>
      <c r="E21" s="46"/>
      <c r="F21" s="53"/>
      <c r="N21" s="60" t="s">
        <v>28</v>
      </c>
      <c r="O21" s="60" t="str">
        <f>IFERROR(INDEX($D$11:$E$19,MATCH($N21,$D$11:$D$19,0),2),"")</f>
        <v/>
      </c>
    </row>
    <row r="22" spans="1:15" x14ac:dyDescent="0.3">
      <c r="A22" s="57"/>
      <c r="B22" s="58"/>
      <c r="C22" s="58"/>
      <c r="D22" s="58"/>
      <c r="E22" s="58"/>
      <c r="F22" s="59"/>
      <c r="N22" s="60" t="s">
        <v>29</v>
      </c>
      <c r="O22" s="60" t="str">
        <f>IFERROR(INDEX($D$11:$E$19,MATCH($N22,$D$11:$D$19,0),2),"")</f>
        <v/>
      </c>
    </row>
    <row r="23" spans="1:15" x14ac:dyDescent="0.3">
      <c r="N23" s="60" t="s">
        <v>30</v>
      </c>
      <c r="O23" s="60" t="str">
        <f>IFERROR(INDEX($D$11:$E$19,MATCH($N23,$D$11:$D$19,0),2),"")</f>
        <v/>
      </c>
    </row>
    <row r="24" spans="1:15" x14ac:dyDescent="0.3">
      <c r="N24" s="60" t="s">
        <v>31</v>
      </c>
      <c r="O24" s="60" t="str">
        <f>IFERROR(INDEX($D$11:$E$19,MATCH($N24,$D$11:$D$19,0),2),"")</f>
        <v/>
      </c>
    </row>
    <row r="25" spans="1:15" x14ac:dyDescent="0.3">
      <c r="N25" s="60" t="s">
        <v>32</v>
      </c>
      <c r="O25" s="60" t="str">
        <f>IFERROR(INDEX($D$11:$E$19,MATCH($N25,$D$11:$D$19,0),2),"")</f>
        <v/>
      </c>
    </row>
    <row r="26" spans="1:15" x14ac:dyDescent="0.3">
      <c r="N26" s="60" t="s">
        <v>33</v>
      </c>
      <c r="O26" s="60" t="str">
        <f>IFERROR(INDEX($D$11:$E$19,MATCH($N26,$D$11:$D$19,0),2),"")</f>
        <v/>
      </c>
    </row>
    <row r="27" spans="1:15" x14ac:dyDescent="0.3">
      <c r="N27" s="60" t="s">
        <v>34</v>
      </c>
      <c r="O27" s="60" t="str">
        <f>IFERROR(INDEX($D$11:$E$19,MATCH($N27,$D$11:$D$19,0),2),"")</f>
        <v/>
      </c>
    </row>
    <row r="28" spans="1:15" x14ac:dyDescent="0.3">
      <c r="N28" s="60" t="s">
        <v>35</v>
      </c>
      <c r="O28" s="60" t="str">
        <f>IFERROR(INDEX($D$11:$E$19,MATCH($N28,$D$11:$D$19,0),2),"")</f>
        <v/>
      </c>
    </row>
    <row r="29" spans="1:15" x14ac:dyDescent="0.3">
      <c r="N29" s="60" t="s">
        <v>36</v>
      </c>
      <c r="O29" s="60" t="str">
        <f>IFERROR(INDEX($D$11:$E$19,MATCH($N29,$D$11:$D$19,0),2),"")</f>
        <v/>
      </c>
    </row>
    <row r="30" spans="1:15" x14ac:dyDescent="0.3">
      <c r="N30" s="60" t="s">
        <v>37</v>
      </c>
      <c r="O30" s="60" t="str">
        <f>IFERROR(INDEX($D$11:$E$19,MATCH($N30,$D$11:$D$19,0),2),"")</f>
        <v/>
      </c>
    </row>
    <row r="31" spans="1:15" x14ac:dyDescent="0.3">
      <c r="N31" s="60" t="s">
        <v>38</v>
      </c>
      <c r="O31" s="60" t="str">
        <f>IFERROR(INDEX($D$11:$E$19,MATCH($N31,$D$11:$D$19,0),2),"")</f>
        <v/>
      </c>
    </row>
    <row r="32" spans="1:15" x14ac:dyDescent="0.3">
      <c r="N32" s="60" t="s">
        <v>39</v>
      </c>
      <c r="O32" s="60" t="str">
        <f>IFERROR(INDEX($D$11:$E$19,MATCH($N32,$D$11:$D$19,0),2),"")</f>
        <v/>
      </c>
    </row>
    <row r="33" spans="14:15" x14ac:dyDescent="0.3">
      <c r="N33" s="60" t="s">
        <v>40</v>
      </c>
      <c r="O33" s="60" t="str">
        <f>IFERROR(INDEX($D$11:$E$19,MATCH($N33,$D$11:$D$19,0),2),"")</f>
        <v/>
      </c>
    </row>
    <row r="34" spans="14:15" x14ac:dyDescent="0.3">
      <c r="N34" s="60" t="s">
        <v>41</v>
      </c>
      <c r="O34" s="60" t="str">
        <f>IFERROR(INDEX($D$11:$E$19,MATCH($N34,$D$11:$D$19,0),2),"")</f>
        <v/>
      </c>
    </row>
    <row r="35" spans="14:15" x14ac:dyDescent="0.3">
      <c r="N35" s="60" t="s">
        <v>42</v>
      </c>
      <c r="O35" s="60" t="str">
        <f>IFERROR(INDEX($D$11:$E$19,MATCH($N35,$D$11:$D$19,0),2),"")</f>
        <v/>
      </c>
    </row>
    <row r="36" spans="14:15" x14ac:dyDescent="0.3">
      <c r="N36" s="60" t="s">
        <v>43</v>
      </c>
      <c r="O36" s="60" t="str">
        <f>IFERROR(INDEX($D$11:$E$19,MATCH($N36,$D$11:$D$19,0),2),"")</f>
        <v/>
      </c>
    </row>
    <row r="37" spans="14:15" x14ac:dyDescent="0.3">
      <c r="N37" s="60" t="s">
        <v>44</v>
      </c>
      <c r="O37" s="60" t="str">
        <f>IFERROR(INDEX($D$11:$E$19,MATCH($N37,$D$11:$D$19,0),2),"")</f>
        <v/>
      </c>
    </row>
    <row r="38" spans="14:15" x14ac:dyDescent="0.3">
      <c r="N38" s="60" t="s">
        <v>45</v>
      </c>
      <c r="O38" s="60" t="str">
        <f>IFERROR(INDEX($D$11:$E$19,MATCH($N38,$D$11:$D$19,0),2),"")</f>
        <v/>
      </c>
    </row>
  </sheetData>
  <mergeCells count="6">
    <mergeCell ref="A3:B3"/>
    <mergeCell ref="C3:F3"/>
    <mergeCell ref="A1:F1"/>
    <mergeCell ref="A2:F2"/>
    <mergeCell ref="A4:F4"/>
    <mergeCell ref="A6:B6"/>
  </mergeCells>
  <phoneticPr fontId="2" type="noConversion"/>
  <dataValidations count="2">
    <dataValidation allowBlank="1" showInputMessage="1" showErrorMessage="1" prompt="Input your school name here!!!" sqref="C3:F3" xr:uid="{6801537E-6886-4F12-8973-8130F6536909}"/>
    <dataValidation type="list" allowBlank="1" showInputMessage="1" showErrorMessage="1" sqref="B13" xr:uid="{21C93D7E-668D-43B8-B544-CC26F62CF8FD}">
      <formula1>"M,F"</formula1>
    </dataValidation>
  </dataValidations>
  <pageMargins left="0.7" right="0.7" top="0.75" bottom="0.75" header="0.3" footer="0.3"/>
  <ignoredErrors>
    <ignoredError sqref="BF2:BN2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3" name="Button 9">
              <controlPr defaultSize="0" print="0" autoFill="0" autoPict="0" macro="[0]!auto">
                <anchor moveWithCells="1" sizeWithCells="1">
                  <from>
                    <xdr:col>2</xdr:col>
                    <xdr:colOff>731520</xdr:colOff>
                    <xdr:row>19</xdr:row>
                    <xdr:rowOff>30480</xdr:rowOff>
                  </from>
                  <to>
                    <xdr:col>5</xdr:col>
                    <xdr:colOff>106680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D995B52-0A1D-42A3-9904-79BF1824A2E0}">
          <x14:formula1>
            <xm:f>Subject_Analysis!$A$502:$A$512</xm:f>
          </x14:formula1>
          <xm:sqref>E11:E19</xm:sqref>
        </x14:dataValidation>
        <x14:dataValidation type="list" allowBlank="1" showInputMessage="1" showErrorMessage="1" promptTitle="SUBJECT" prompt="Choose subject" xr:uid="{D4C02785-7FC0-41F7-8C81-0881D18D502C}">
          <x14:formula1>
            <xm:f>Subject_Analysis!$B$2:$B$36</xm:f>
          </x14:formula1>
          <xm:sqref>D11:D19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4F51F-D3E2-4F99-98F7-793202C9E26D}">
  <sheetPr codeName="Sheet4"/>
  <dimension ref="A1:AK1"/>
  <sheetViews>
    <sheetView workbookViewId="0">
      <pane ySplit="1" topLeftCell="A2" activePane="bottomLeft" state="frozen"/>
      <selection pane="bottomLeft" activeCell="D8" sqref="D8"/>
    </sheetView>
  </sheetViews>
  <sheetFormatPr defaultRowHeight="14.4" x14ac:dyDescent="0.3"/>
  <sheetData>
    <row r="1" spans="1:37" ht="101.4" x14ac:dyDescent="0.3">
      <c r="A1" s="3" t="s">
        <v>48</v>
      </c>
      <c r="B1" s="2" t="s">
        <v>49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15</v>
      </c>
      <c r="H1" s="2" t="s">
        <v>16</v>
      </c>
      <c r="I1" s="2" t="s">
        <v>17</v>
      </c>
      <c r="J1" s="2" t="s">
        <v>18</v>
      </c>
      <c r="K1" s="2" t="s">
        <v>19</v>
      </c>
      <c r="L1" s="2" t="s">
        <v>20</v>
      </c>
      <c r="M1" s="2" t="s">
        <v>21</v>
      </c>
      <c r="N1" s="2" t="s">
        <v>22</v>
      </c>
      <c r="O1" s="2" t="s">
        <v>23</v>
      </c>
      <c r="P1" s="2" t="s">
        <v>24</v>
      </c>
      <c r="Q1" s="2" t="s">
        <v>25</v>
      </c>
      <c r="R1" s="2" t="s">
        <v>26</v>
      </c>
      <c r="S1" s="2" t="s">
        <v>27</v>
      </c>
      <c r="T1" s="2" t="s">
        <v>28</v>
      </c>
      <c r="U1" s="2" t="s">
        <v>29</v>
      </c>
      <c r="V1" s="2" t="s">
        <v>30</v>
      </c>
      <c r="W1" s="2" t="s">
        <v>31</v>
      </c>
      <c r="X1" s="2" t="s">
        <v>32</v>
      </c>
      <c r="Y1" s="2" t="s">
        <v>33</v>
      </c>
      <c r="Z1" s="2" t="s">
        <v>34</v>
      </c>
      <c r="AA1" s="2" t="s">
        <v>35</v>
      </c>
      <c r="AB1" s="2" t="s">
        <v>36</v>
      </c>
      <c r="AC1" s="2" t="s">
        <v>37</v>
      </c>
      <c r="AD1" s="2" t="s">
        <v>38</v>
      </c>
      <c r="AE1" s="2" t="s">
        <v>39</v>
      </c>
      <c r="AF1" s="2" t="s">
        <v>40</v>
      </c>
      <c r="AG1" s="2" t="s">
        <v>41</v>
      </c>
      <c r="AH1" s="2" t="s">
        <v>42</v>
      </c>
      <c r="AI1" s="2" t="s">
        <v>43</v>
      </c>
      <c r="AJ1" s="2" t="s">
        <v>44</v>
      </c>
      <c r="AK1" s="2" t="s">
        <v>45</v>
      </c>
    </row>
  </sheetData>
  <sortState xmlns:xlrd2="http://schemas.microsoft.com/office/spreadsheetml/2017/richdata2" ref="A2:AK22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DB9B-8782-431D-8A34-30E66C7E8DBA}">
  <dimension ref="A1:AK1"/>
  <sheetViews>
    <sheetView workbookViewId="0">
      <pane ySplit="1" topLeftCell="A2" activePane="bottomLeft" state="frozen"/>
      <selection pane="bottomLeft" activeCell="B6" sqref="B6"/>
    </sheetView>
  </sheetViews>
  <sheetFormatPr defaultRowHeight="14.4" x14ac:dyDescent="0.3"/>
  <sheetData>
    <row r="1" spans="1:37" ht="101.4" x14ac:dyDescent="0.3">
      <c r="A1" s="3" t="s">
        <v>48</v>
      </c>
      <c r="B1" s="2" t="s">
        <v>49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15</v>
      </c>
      <c r="H1" s="2" t="s">
        <v>16</v>
      </c>
      <c r="I1" s="2" t="s">
        <v>17</v>
      </c>
      <c r="J1" s="2" t="s">
        <v>18</v>
      </c>
      <c r="K1" s="2" t="s">
        <v>19</v>
      </c>
      <c r="L1" s="2" t="s">
        <v>20</v>
      </c>
      <c r="M1" s="2" t="s">
        <v>21</v>
      </c>
      <c r="N1" s="2" t="s">
        <v>22</v>
      </c>
      <c r="O1" s="2" t="s">
        <v>23</v>
      </c>
      <c r="P1" s="2" t="s">
        <v>24</v>
      </c>
      <c r="Q1" s="2" t="s">
        <v>25</v>
      </c>
      <c r="R1" s="2" t="s">
        <v>26</v>
      </c>
      <c r="S1" s="2" t="s">
        <v>27</v>
      </c>
      <c r="T1" s="2" t="s">
        <v>28</v>
      </c>
      <c r="U1" s="2" t="s">
        <v>29</v>
      </c>
      <c r="V1" s="2" t="s">
        <v>30</v>
      </c>
      <c r="W1" s="2" t="s">
        <v>31</v>
      </c>
      <c r="X1" s="2" t="s">
        <v>32</v>
      </c>
      <c r="Y1" s="2" t="s">
        <v>33</v>
      </c>
      <c r="Z1" s="2" t="s">
        <v>34</v>
      </c>
      <c r="AA1" s="2" t="s">
        <v>35</v>
      </c>
      <c r="AB1" s="2" t="s">
        <v>36</v>
      </c>
      <c r="AC1" s="2" t="s">
        <v>37</v>
      </c>
      <c r="AD1" s="2" t="s">
        <v>38</v>
      </c>
      <c r="AE1" s="2" t="s">
        <v>39</v>
      </c>
      <c r="AF1" s="2" t="s">
        <v>40</v>
      </c>
      <c r="AG1" s="2" t="s">
        <v>41</v>
      </c>
      <c r="AH1" s="2" t="s">
        <v>42</v>
      </c>
      <c r="AI1" s="2" t="s">
        <v>43</v>
      </c>
      <c r="AJ1" s="2" t="s">
        <v>44</v>
      </c>
      <c r="AK1" s="2" t="s">
        <v>45</v>
      </c>
    </row>
  </sheetData>
  <sortState xmlns:xlrd2="http://schemas.microsoft.com/office/spreadsheetml/2017/richdata2" ref="A2:AK5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1168D-8493-4173-8FEC-A03A0C1E0468}">
  <dimension ref="A1:BE500"/>
  <sheetViews>
    <sheetView workbookViewId="0">
      <selection activeCell="A3" sqref="A3:BE3"/>
    </sheetView>
  </sheetViews>
  <sheetFormatPr defaultRowHeight="14.4" x14ac:dyDescent="0.3"/>
  <cols>
    <col min="1" max="1" width="4.21875" bestFit="1" customWidth="1"/>
    <col min="2" max="2" width="11" bestFit="1" customWidth="1"/>
    <col min="3" max="38" width="3.5546875" bestFit="1" customWidth="1"/>
    <col min="39" max="47" width="4.77734375" customWidth="1"/>
    <col min="48" max="48" width="8.6640625" customWidth="1"/>
    <col min="49" max="49" width="9.109375" customWidth="1"/>
  </cols>
  <sheetData>
    <row r="1" spans="1:57" ht="18" x14ac:dyDescent="0.3">
      <c r="A1" s="26" t="s">
        <v>57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</row>
    <row r="2" spans="1:57" ht="18" x14ac:dyDescent="0.3">
      <c r="A2" s="26" t="s">
        <v>58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</row>
    <row r="3" spans="1:57" ht="18" x14ac:dyDescent="0.35">
      <c r="A3" s="27">
        <f>Entry_Sheet!C3</f>
        <v>0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</row>
    <row r="4" spans="1:57" ht="18" x14ac:dyDescent="0.3">
      <c r="A4" s="26" t="s">
        <v>56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</row>
    <row r="5" spans="1:57" ht="102.6" x14ac:dyDescent="0.3">
      <c r="A5" t="s">
        <v>46</v>
      </c>
      <c r="B5" s="3" t="s">
        <v>48</v>
      </c>
      <c r="C5" s="2" t="s">
        <v>49</v>
      </c>
      <c r="D5" s="2" t="s">
        <v>11</v>
      </c>
      <c r="E5" s="2" t="s">
        <v>12</v>
      </c>
      <c r="F5" s="2" t="s">
        <v>13</v>
      </c>
      <c r="G5" s="2" t="s">
        <v>14</v>
      </c>
      <c r="H5" s="2" t="s">
        <v>15</v>
      </c>
      <c r="I5" s="2" t="s">
        <v>16</v>
      </c>
      <c r="J5" s="2" t="s">
        <v>17</v>
      </c>
      <c r="K5" s="2" t="s">
        <v>18</v>
      </c>
      <c r="L5" s="2" t="s">
        <v>19</v>
      </c>
      <c r="M5" s="2" t="s">
        <v>20</v>
      </c>
      <c r="N5" s="2" t="s">
        <v>21</v>
      </c>
      <c r="O5" s="2" t="s">
        <v>22</v>
      </c>
      <c r="P5" s="2" t="s">
        <v>23</v>
      </c>
      <c r="Q5" s="2" t="s">
        <v>24</v>
      </c>
      <c r="R5" s="2" t="s">
        <v>25</v>
      </c>
      <c r="S5" s="2" t="s">
        <v>26</v>
      </c>
      <c r="T5" s="2" t="s">
        <v>27</v>
      </c>
      <c r="U5" s="2" t="s">
        <v>28</v>
      </c>
      <c r="V5" s="2" t="s">
        <v>29</v>
      </c>
      <c r="W5" s="2" t="s">
        <v>30</v>
      </c>
      <c r="X5" s="2" t="s">
        <v>31</v>
      </c>
      <c r="Y5" s="2" t="s">
        <v>32</v>
      </c>
      <c r="Z5" s="2" t="s">
        <v>33</v>
      </c>
      <c r="AA5" s="2" t="s">
        <v>34</v>
      </c>
      <c r="AB5" s="2" t="s">
        <v>35</v>
      </c>
      <c r="AC5" s="2" t="s">
        <v>36</v>
      </c>
      <c r="AD5" s="2" t="s">
        <v>37</v>
      </c>
      <c r="AE5" s="2" t="s">
        <v>38</v>
      </c>
      <c r="AF5" s="2" t="s">
        <v>39</v>
      </c>
      <c r="AG5" s="2" t="s">
        <v>40</v>
      </c>
      <c r="AH5" s="2" t="s">
        <v>41</v>
      </c>
      <c r="AI5" s="2" t="s">
        <v>42</v>
      </c>
      <c r="AJ5" s="2" t="s">
        <v>43</v>
      </c>
      <c r="AK5" s="2" t="s">
        <v>44</v>
      </c>
      <c r="AL5" s="2" t="s">
        <v>45</v>
      </c>
      <c r="AM5" s="4" t="s">
        <v>2</v>
      </c>
      <c r="AN5" s="4" t="s">
        <v>3</v>
      </c>
      <c r="AO5" s="4" t="s">
        <v>4</v>
      </c>
      <c r="AP5" s="4" t="s">
        <v>5</v>
      </c>
      <c r="AQ5" s="4" t="s">
        <v>6</v>
      </c>
      <c r="AR5" s="4" t="s">
        <v>7</v>
      </c>
      <c r="AS5" s="4" t="s">
        <v>8</v>
      </c>
      <c r="AT5" s="4" t="s">
        <v>9</v>
      </c>
      <c r="AU5" s="4" t="s">
        <v>10</v>
      </c>
      <c r="AV5" s="4" t="s">
        <v>67</v>
      </c>
      <c r="AW5" s="4" t="s">
        <v>68</v>
      </c>
      <c r="AX5" s="5" t="s">
        <v>69</v>
      </c>
      <c r="AY5" s="5" t="s">
        <v>70</v>
      </c>
      <c r="AZ5" s="5" t="s">
        <v>71</v>
      </c>
      <c r="BA5" s="5" t="s">
        <v>72</v>
      </c>
      <c r="BB5" s="5" t="s">
        <v>73</v>
      </c>
      <c r="BC5" s="5" t="s">
        <v>74</v>
      </c>
      <c r="BD5" s="11" t="s">
        <v>93</v>
      </c>
      <c r="BE5" s="12" t="s">
        <v>86</v>
      </c>
    </row>
    <row r="6" spans="1:57" x14ac:dyDescent="0.3">
      <c r="A6" t="str">
        <f>IF(B6&lt;&gt;"",COUNTA($B$6:B6),"")</f>
        <v/>
      </c>
      <c r="B6" t="str">
        <f>IF(Result_Database!A2="","",Result_Database!A2)</f>
        <v/>
      </c>
      <c r="C6" t="str">
        <f>_xlfn.LET(
_xlpm.result,_xlfn.XLOOKUP($B6,Result_Database!$A$2:$A$500,Result_Database!$B$2:$B$500),
_xlfn.IFNA(_xlpm.result,"")
)</f>
        <v/>
      </c>
      <c r="D6" t="str">
        <f>_xlfn.LET(
  _xlpm.result, _xlfn.XLOOKUP($B6, Result_Database!$A$2:$A$500, Result_Database!C$2:C$500),
  _xlfn.IFNA(_xlpm.result, "")
)</f>
        <v/>
      </c>
      <c r="E6" t="str">
        <f>_xlfn.LET(
  _xlpm.result, _xlfn.XLOOKUP($B6, Result_Database!$A$2:$A$500, Result_Database!D$2:D$500),
  _xlfn.IFNA(_xlpm.result, "")
)</f>
        <v/>
      </c>
      <c r="F6" t="str">
        <f>_xlfn.LET(
  _xlpm.result, _xlfn.XLOOKUP($B6, Result_Database!$A$2:$A$500, Result_Database!E$2:E$500),
  _xlfn.IFNA(_xlpm.result, "")
)</f>
        <v/>
      </c>
      <c r="G6" t="str">
        <f>_xlfn.LET(
  _xlpm.result, _xlfn.XLOOKUP($B6, Result_Database!$A$2:$A$500, Result_Database!F$2:F$500),
  _xlfn.IFNA(_xlpm.result, "")
)</f>
        <v/>
      </c>
      <c r="H6" t="str">
        <f>_xlfn.LET(
  _xlpm.result, _xlfn.XLOOKUP($B6, Result_Database!$A$2:$A$500, Result_Database!G$2:G$500),
  _xlfn.IFNA(_xlpm.result, "")
)</f>
        <v/>
      </c>
      <c r="I6" t="str">
        <f>_xlfn.LET(
  _xlpm.result, _xlfn.XLOOKUP($B6, Result_Database!$A$2:$A$500, Result_Database!H$2:H$500),
  _xlfn.IFNA(_xlpm.result, "")
)</f>
        <v/>
      </c>
      <c r="J6" t="str">
        <f>_xlfn.LET(
  _xlpm.result, _xlfn.XLOOKUP($B6, Result_Database!$A$2:$A$500, Result_Database!I$2:I$500),
  _xlfn.IFNA(_xlpm.result, "")
)</f>
        <v/>
      </c>
      <c r="K6" t="str">
        <f>_xlfn.LET(
  _xlpm.result, _xlfn.XLOOKUP($B6, Result_Database!$A$2:$A$500, Result_Database!J$2:J$500),
  _xlfn.IFNA(_xlpm.result, "")
)</f>
        <v/>
      </c>
      <c r="L6" t="str">
        <f>_xlfn.LET(
  _xlpm.result, _xlfn.XLOOKUP($B6, Result_Database!$A$2:$A$500, Result_Database!K$2:K$500),
  _xlfn.IFNA(_xlpm.result, "")
)</f>
        <v/>
      </c>
      <c r="M6" t="str">
        <f>_xlfn.LET(
  _xlpm.result, _xlfn.XLOOKUP($B6, Result_Database!$A$2:$A$500, Result_Database!L$2:L$500),
  _xlfn.IFNA(_xlpm.result, "")
)</f>
        <v/>
      </c>
      <c r="N6" t="str">
        <f>_xlfn.LET(
  _xlpm.result, _xlfn.XLOOKUP($B6, Result_Database!$A$2:$A$500, Result_Database!M$2:M$500),
  _xlfn.IFNA(_xlpm.result, "")
)</f>
        <v/>
      </c>
      <c r="O6" t="str">
        <f>_xlfn.LET(
  _xlpm.result, _xlfn.XLOOKUP($B6, Result_Database!$A$2:$A$500, Result_Database!N$2:N$500),
  _xlfn.IFNA(_xlpm.result, "")
)</f>
        <v/>
      </c>
      <c r="P6" t="str">
        <f>_xlfn.LET(
  _xlpm.result, _xlfn.XLOOKUP($B6, Result_Database!$A$2:$A$500, Result_Database!O$2:O$500),
  _xlfn.IFNA(_xlpm.result, "")
)</f>
        <v/>
      </c>
      <c r="Q6" t="str">
        <f>_xlfn.LET(
  _xlpm.result, _xlfn.XLOOKUP($B6, Result_Database!$A$2:$A$500, Result_Database!P$2:P$500),
  _xlfn.IFNA(_xlpm.result, "")
)</f>
        <v/>
      </c>
      <c r="R6" t="str">
        <f>_xlfn.LET(
  _xlpm.result, _xlfn.XLOOKUP($B6, Result_Database!$A$2:$A$500, Result_Database!Q$2:Q$500),
  _xlfn.IFNA(_xlpm.result, "")
)</f>
        <v/>
      </c>
      <c r="S6" t="str">
        <f>_xlfn.LET(
  _xlpm.result, _xlfn.XLOOKUP($B6, Result_Database!$A$2:$A$500, Result_Database!R$2:R$500),
  _xlfn.IFNA(_xlpm.result, "")
)</f>
        <v/>
      </c>
      <c r="T6" t="str">
        <f>_xlfn.LET(
  _xlpm.result, _xlfn.XLOOKUP($B6, Result_Database!$A$2:$A$500, Result_Database!S$2:S$500),
  _xlfn.IFNA(_xlpm.result, "")
)</f>
        <v/>
      </c>
      <c r="U6" t="str">
        <f>_xlfn.LET(
  _xlpm.result, _xlfn.XLOOKUP($B6, Result_Database!$A$2:$A$500, Result_Database!T$2:T$500),
  _xlfn.IFNA(_xlpm.result, "")
)</f>
        <v/>
      </c>
      <c r="V6" t="str">
        <f>_xlfn.LET(
  _xlpm.result, _xlfn.XLOOKUP($B6, Result_Database!$A$2:$A$500, Result_Database!U$2:U$500),
  _xlfn.IFNA(_xlpm.result, "")
)</f>
        <v/>
      </c>
      <c r="W6" t="str">
        <f>_xlfn.LET(
  _xlpm.result, _xlfn.XLOOKUP($B6, Result_Database!$A$2:$A$500, Result_Database!V$2:V$500),
  _xlfn.IFNA(_xlpm.result, "")
)</f>
        <v/>
      </c>
      <c r="X6" t="str">
        <f>_xlfn.LET(
  _xlpm.result, _xlfn.XLOOKUP($B6, Result_Database!$A$2:$A$500, Result_Database!W$2:W$500),
  _xlfn.IFNA(_xlpm.result, "")
)</f>
        <v/>
      </c>
      <c r="Y6" t="str">
        <f>_xlfn.LET(
  _xlpm.result, _xlfn.XLOOKUP($B6, Result_Database!$A$2:$A$500, Result_Database!X$2:X$500),
  _xlfn.IFNA(_xlpm.result, "")
)</f>
        <v/>
      </c>
      <c r="Z6" t="str">
        <f>_xlfn.LET(
  _xlpm.result, _xlfn.XLOOKUP($B6, Result_Database!$A$2:$A$500, Result_Database!Y$2:Y$500),
  _xlfn.IFNA(_xlpm.result, "")
)</f>
        <v/>
      </c>
      <c r="AA6" t="str">
        <f>_xlfn.LET(
  _xlpm.result, _xlfn.XLOOKUP($B6, Result_Database!$A$2:$A$500, Result_Database!Z$2:Z$500),
  _xlfn.IFNA(_xlpm.result, "")
)</f>
        <v/>
      </c>
      <c r="AB6" t="str">
        <f>_xlfn.LET(
  _xlpm.result, _xlfn.XLOOKUP($B6, Result_Database!$A$2:$A$500, Result_Database!AA$2:AA$500),
  _xlfn.IFNA(_xlpm.result, "")
)</f>
        <v/>
      </c>
      <c r="AC6" t="str">
        <f>_xlfn.LET(
  _xlpm.result, _xlfn.XLOOKUP($B6, Result_Database!$A$2:$A$500, Result_Database!AB$2:AB$500),
  _xlfn.IFNA(_xlpm.result, "")
)</f>
        <v/>
      </c>
      <c r="AD6" t="str">
        <f>_xlfn.LET(
  _xlpm.result, _xlfn.XLOOKUP($B6, Result_Database!$A$2:$A$500, Result_Database!AC$2:AC$500),
  _xlfn.IFNA(_xlpm.result, "")
)</f>
        <v/>
      </c>
      <c r="AE6" t="str">
        <f>_xlfn.LET(
  _xlpm.result, _xlfn.XLOOKUP($B6, Result_Database!$A$2:$A$500, Result_Database!AD$2:AD$500),
  _xlfn.IFNA(_xlpm.result, "")
)</f>
        <v/>
      </c>
      <c r="AF6" t="str">
        <f>_xlfn.LET(
  _xlpm.result, _xlfn.XLOOKUP($B6, Result_Database!$A$2:$A$500, Result_Database!AE$2:AE$500),
  _xlfn.IFNA(_xlpm.result, "")
)</f>
        <v/>
      </c>
      <c r="AG6" t="str">
        <f>_xlfn.LET(
  _xlpm.result, _xlfn.XLOOKUP($B6, Result_Database!$A$2:$A$500, Result_Database!AF$2:AF$500),
  _xlfn.IFNA(_xlpm.result, "")
)</f>
        <v/>
      </c>
      <c r="AH6" t="str">
        <f>_xlfn.LET(
  _xlpm.result, _xlfn.XLOOKUP($B6, Result_Database!$A$2:$A$500, Result_Database!AG$2:AG$500),
  _xlfn.IFNA(_xlpm.result, "")
)</f>
        <v/>
      </c>
      <c r="AI6" t="str">
        <f>_xlfn.LET(
  _xlpm.result, _xlfn.XLOOKUP($B6, Result_Database!$A$2:$A$500, Result_Database!AH$2:AH$500),
  _xlfn.IFNA(_xlpm.result, "")
)</f>
        <v/>
      </c>
      <c r="AJ6" t="str">
        <f>_xlfn.LET(
  _xlpm.result, _xlfn.XLOOKUP($B6, Result_Database!$A$2:$A$500, Result_Database!AI$2:AI$500),
  _xlfn.IFNA(_xlpm.result, "")
)</f>
        <v/>
      </c>
      <c r="AK6" t="str">
        <f>_xlfn.LET(
  _xlpm.result, _xlfn.XLOOKUP($B6, Result_Database!$A$2:$A$500, Result_Database!AJ$2:AJ$500),
  _xlfn.IFNA(_xlpm.result, "")
)</f>
        <v/>
      </c>
      <c r="AL6" t="str">
        <f>_xlfn.LET(
  _xlpm.result, _xlfn.XLOOKUP($B6, Result_Database!$A$2:$A$500, Result_Database!AK$2:AK$500),
  _xlfn.IFNA(_xlpm.result, "")
)</f>
        <v/>
      </c>
      <c r="AM6" s="7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6" s="7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6" s="7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6" s="7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6" s="7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6" s="7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6" s="7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6" s="7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6" s="7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6" t="str">
        <f>IF(SUM(Table5[[#This Row],[A1]:[C6]])&lt;&gt;0,SUM(Table5[[#This Row],[A1]:[C6]]),"")</f>
        <v/>
      </c>
      <c r="AW6" t="str">
        <f>IF(SUM(Table5[[#This Row],[D7]:[F9]])=0,"",SUM(Table5[[#This Row],[D7]:[F9]]))</f>
        <v/>
      </c>
      <c r="AX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6" t="str">
        <f>IF(COUNTIF(Table5[[#This Row],[English Language]:[Electrical/ Electronics]],"WITHHELD")=0,"",COUNTIF(Table5[[#This Row],[English Language]:[Electrical/ Electronics]],"WITHHELD"))</f>
        <v/>
      </c>
      <c r="BE6" t="str">
        <f>IF(SUM(Table5[[#This Row],[NO OF CREDITS]:[BELOW CREDITS]])=0,"",SUM(Table5[[#This Row],[NO OF CREDITS]:[BELOW CREDITS]]))</f>
        <v/>
      </c>
    </row>
    <row r="7" spans="1:57" x14ac:dyDescent="0.3">
      <c r="A7" t="str">
        <f>IF(B7&lt;&gt;"",COUNTA($B$6:B7),"")</f>
        <v/>
      </c>
      <c r="B7" t="str">
        <f>IF(Result_Database!A3="","",Result_Database!A3)</f>
        <v/>
      </c>
      <c r="C7" t="str">
        <f>_xlfn.LET(
_xlpm.result,_xlfn.XLOOKUP($B7,Result_Database!$A$2:$A$500,Result_Database!$B$2:$B$500),
_xlfn.IFNA(_xlpm.result,"")
)</f>
        <v/>
      </c>
      <c r="D7" t="str">
        <f>_xlfn.LET(
  _xlpm.result, _xlfn.XLOOKUP($B7, Result_Database!$A$2:$A$500, Result_Database!C$2:C$500),
  _xlfn.IFNA(_xlpm.result, "")
)</f>
        <v/>
      </c>
      <c r="E7" t="str">
        <f>_xlfn.LET(
  _xlpm.result, _xlfn.XLOOKUP($B7, Result_Database!$A$2:$A$500, Result_Database!D$2:D$500),
  _xlfn.IFNA(_xlpm.result, "")
)</f>
        <v/>
      </c>
      <c r="F7" t="str">
        <f>_xlfn.LET(
  _xlpm.result, _xlfn.XLOOKUP($B7, Result_Database!$A$2:$A$500, Result_Database!E$2:E$500),
  _xlfn.IFNA(_xlpm.result, "")
)</f>
        <v/>
      </c>
      <c r="G7" t="str">
        <f>_xlfn.LET(
  _xlpm.result, _xlfn.XLOOKUP($B7, Result_Database!$A$2:$A$500, Result_Database!F$2:F$500),
  _xlfn.IFNA(_xlpm.result, "")
)</f>
        <v/>
      </c>
      <c r="H7" t="str">
        <f>_xlfn.LET(
  _xlpm.result, _xlfn.XLOOKUP($B7, Result_Database!$A$2:$A$500, Result_Database!G$2:G$500),
  _xlfn.IFNA(_xlpm.result, "")
)</f>
        <v/>
      </c>
      <c r="I7" t="str">
        <f>_xlfn.LET(
  _xlpm.result, _xlfn.XLOOKUP($B7, Result_Database!$A$2:$A$500, Result_Database!H$2:H$500),
  _xlfn.IFNA(_xlpm.result, "")
)</f>
        <v/>
      </c>
      <c r="J7" t="str">
        <f>_xlfn.LET(
  _xlpm.result, _xlfn.XLOOKUP($B7, Result_Database!$A$2:$A$500, Result_Database!I$2:I$500),
  _xlfn.IFNA(_xlpm.result, "")
)</f>
        <v/>
      </c>
      <c r="K7" t="str">
        <f>_xlfn.LET(
  _xlpm.result, _xlfn.XLOOKUP($B7, Result_Database!$A$2:$A$500, Result_Database!J$2:J$500),
  _xlfn.IFNA(_xlpm.result, "")
)</f>
        <v/>
      </c>
      <c r="L7" t="str">
        <f>_xlfn.LET(
  _xlpm.result, _xlfn.XLOOKUP($B7, Result_Database!$A$2:$A$500, Result_Database!K$2:K$500),
  _xlfn.IFNA(_xlpm.result, "")
)</f>
        <v/>
      </c>
      <c r="M7" t="str">
        <f>_xlfn.LET(
  _xlpm.result, _xlfn.XLOOKUP($B7, Result_Database!$A$2:$A$500, Result_Database!L$2:L$500),
  _xlfn.IFNA(_xlpm.result, "")
)</f>
        <v/>
      </c>
      <c r="N7" t="str">
        <f>_xlfn.LET(
  _xlpm.result, _xlfn.XLOOKUP($B7, Result_Database!$A$2:$A$500, Result_Database!M$2:M$500),
  _xlfn.IFNA(_xlpm.result, "")
)</f>
        <v/>
      </c>
      <c r="O7" t="str">
        <f>_xlfn.LET(
  _xlpm.result, _xlfn.XLOOKUP($B7, Result_Database!$A$2:$A$500, Result_Database!N$2:N$500),
  _xlfn.IFNA(_xlpm.result, "")
)</f>
        <v/>
      </c>
      <c r="P7" t="str">
        <f>_xlfn.LET(
  _xlpm.result, _xlfn.XLOOKUP($B7, Result_Database!$A$2:$A$500, Result_Database!O$2:O$500),
  _xlfn.IFNA(_xlpm.result, "")
)</f>
        <v/>
      </c>
      <c r="Q7" t="str">
        <f>_xlfn.LET(
  _xlpm.result, _xlfn.XLOOKUP($B7, Result_Database!$A$2:$A$500, Result_Database!P$2:P$500),
  _xlfn.IFNA(_xlpm.result, "")
)</f>
        <v/>
      </c>
      <c r="R7" t="str">
        <f>_xlfn.LET(
  _xlpm.result, _xlfn.XLOOKUP($B7, Result_Database!$A$2:$A$500, Result_Database!Q$2:Q$500),
  _xlfn.IFNA(_xlpm.result, "")
)</f>
        <v/>
      </c>
      <c r="S7" t="str">
        <f>_xlfn.LET(
  _xlpm.result, _xlfn.XLOOKUP($B7, Result_Database!$A$2:$A$500, Result_Database!R$2:R$500),
  _xlfn.IFNA(_xlpm.result, "")
)</f>
        <v/>
      </c>
      <c r="T7" t="str">
        <f>_xlfn.LET(
  _xlpm.result, _xlfn.XLOOKUP($B7, Result_Database!$A$2:$A$500, Result_Database!S$2:S$500),
  _xlfn.IFNA(_xlpm.result, "")
)</f>
        <v/>
      </c>
      <c r="U7" t="str">
        <f>_xlfn.LET(
  _xlpm.result, _xlfn.XLOOKUP($B7, Result_Database!$A$2:$A$500, Result_Database!T$2:T$500),
  _xlfn.IFNA(_xlpm.result, "")
)</f>
        <v/>
      </c>
      <c r="V7" t="str">
        <f>_xlfn.LET(
  _xlpm.result, _xlfn.XLOOKUP($B7, Result_Database!$A$2:$A$500, Result_Database!U$2:U$500),
  _xlfn.IFNA(_xlpm.result, "")
)</f>
        <v/>
      </c>
      <c r="W7" t="str">
        <f>_xlfn.LET(
  _xlpm.result, _xlfn.XLOOKUP($B7, Result_Database!$A$2:$A$500, Result_Database!V$2:V$500),
  _xlfn.IFNA(_xlpm.result, "")
)</f>
        <v/>
      </c>
      <c r="X7" t="str">
        <f>_xlfn.LET(
  _xlpm.result, _xlfn.XLOOKUP($B7, Result_Database!$A$2:$A$500, Result_Database!W$2:W$500),
  _xlfn.IFNA(_xlpm.result, "")
)</f>
        <v/>
      </c>
      <c r="Y7" t="str">
        <f>_xlfn.LET(
  _xlpm.result, _xlfn.XLOOKUP($B7, Result_Database!$A$2:$A$500, Result_Database!X$2:X$500),
  _xlfn.IFNA(_xlpm.result, "")
)</f>
        <v/>
      </c>
      <c r="Z7" t="str">
        <f>_xlfn.LET(
  _xlpm.result, _xlfn.XLOOKUP($B7, Result_Database!$A$2:$A$500, Result_Database!Y$2:Y$500),
  _xlfn.IFNA(_xlpm.result, "")
)</f>
        <v/>
      </c>
      <c r="AA7" t="str">
        <f>_xlfn.LET(
  _xlpm.result, _xlfn.XLOOKUP($B7, Result_Database!$A$2:$A$500, Result_Database!Z$2:Z$500),
  _xlfn.IFNA(_xlpm.result, "")
)</f>
        <v/>
      </c>
      <c r="AB7" t="str">
        <f>_xlfn.LET(
  _xlpm.result, _xlfn.XLOOKUP($B7, Result_Database!$A$2:$A$500, Result_Database!AA$2:AA$500),
  _xlfn.IFNA(_xlpm.result, "")
)</f>
        <v/>
      </c>
      <c r="AC7" t="str">
        <f>_xlfn.LET(
  _xlpm.result, _xlfn.XLOOKUP($B7, Result_Database!$A$2:$A$500, Result_Database!AB$2:AB$500),
  _xlfn.IFNA(_xlpm.result, "")
)</f>
        <v/>
      </c>
      <c r="AD7" t="str">
        <f>_xlfn.LET(
  _xlpm.result, _xlfn.XLOOKUP($B7, Result_Database!$A$2:$A$500, Result_Database!AC$2:AC$500),
  _xlfn.IFNA(_xlpm.result, "")
)</f>
        <v/>
      </c>
      <c r="AE7" t="str">
        <f>_xlfn.LET(
  _xlpm.result, _xlfn.XLOOKUP($B7, Result_Database!$A$2:$A$500, Result_Database!AD$2:AD$500),
  _xlfn.IFNA(_xlpm.result, "")
)</f>
        <v/>
      </c>
      <c r="AF7" t="str">
        <f>_xlfn.LET(
  _xlpm.result, _xlfn.XLOOKUP($B7, Result_Database!$A$2:$A$500, Result_Database!AE$2:AE$500),
  _xlfn.IFNA(_xlpm.result, "")
)</f>
        <v/>
      </c>
      <c r="AG7" t="str">
        <f>_xlfn.LET(
  _xlpm.result, _xlfn.XLOOKUP($B7, Result_Database!$A$2:$A$500, Result_Database!AF$2:AF$500),
  _xlfn.IFNA(_xlpm.result, "")
)</f>
        <v/>
      </c>
      <c r="AH7" t="str">
        <f>_xlfn.LET(
  _xlpm.result, _xlfn.XLOOKUP($B7, Result_Database!$A$2:$A$500, Result_Database!AG$2:AG$500),
  _xlfn.IFNA(_xlpm.result, "")
)</f>
        <v/>
      </c>
      <c r="AI7" t="str">
        <f>_xlfn.LET(
  _xlpm.result, _xlfn.XLOOKUP($B7, Result_Database!$A$2:$A$500, Result_Database!AH$2:AH$500),
  _xlfn.IFNA(_xlpm.result, "")
)</f>
        <v/>
      </c>
      <c r="AJ7" t="str">
        <f>_xlfn.LET(
  _xlpm.result, _xlfn.XLOOKUP($B7, Result_Database!$A$2:$A$500, Result_Database!AI$2:AI$500),
  _xlfn.IFNA(_xlpm.result, "")
)</f>
        <v/>
      </c>
      <c r="AK7" t="str">
        <f>_xlfn.LET(
  _xlpm.result, _xlfn.XLOOKUP($B7, Result_Database!$A$2:$A$500, Result_Database!AJ$2:AJ$500),
  _xlfn.IFNA(_xlpm.result, "")
)</f>
        <v/>
      </c>
      <c r="AL7" t="str">
        <f>_xlfn.LET(
  _xlpm.result, _xlfn.XLOOKUP($B7, Result_Database!$A$2:$A$500, Result_Database!AK$2:AK$500),
  _xlfn.IFNA(_xlpm.result, "")
)</f>
        <v/>
      </c>
      <c r="AM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7" t="str">
        <f>IF(SUM(Table5[[#This Row],[A1]:[C6]])&lt;&gt;0,SUM(Table5[[#This Row],[A1]:[C6]]),"")</f>
        <v/>
      </c>
      <c r="AW7" t="str">
        <f>IF(SUM(Table5[[#This Row],[D7]:[F9]])=0,"",SUM(Table5[[#This Row],[D7]:[F9]]))</f>
        <v/>
      </c>
      <c r="AX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7" t="str">
        <f>IF(COUNTIF(Table5[[#This Row],[English Language]:[Electrical/ Electronics]],"WITHHELD")=0,"",COUNTIF(Table5[[#This Row],[English Language]:[Electrical/ Electronics]],"WITHHELD"))</f>
        <v/>
      </c>
      <c r="BE7" t="str">
        <f>IF(SUM(Table5[[#This Row],[NO OF CREDITS]:[BELOW CREDITS]])=0,"",SUM(Table5[[#This Row],[NO OF CREDITS]:[BELOW CREDITS]]))</f>
        <v/>
      </c>
    </row>
    <row r="8" spans="1:57" x14ac:dyDescent="0.3">
      <c r="A8" t="str">
        <f>IF(B8&lt;&gt;"",COUNTA($B$6:B8),"")</f>
        <v/>
      </c>
      <c r="B8" t="str">
        <f>IF(Result_Database!A4="","",Result_Database!A4)</f>
        <v/>
      </c>
      <c r="C8" t="str">
        <f>_xlfn.LET(
_xlpm.result,_xlfn.XLOOKUP($B8,Result_Database!$A$2:$A$500,Result_Database!$B$2:$B$500),
_xlfn.IFNA(_xlpm.result,"")
)</f>
        <v/>
      </c>
      <c r="D8" t="str">
        <f>_xlfn.LET(
  _xlpm.result, _xlfn.XLOOKUP($B8, Result_Database!$A$2:$A$500, Result_Database!C$2:C$500),
  _xlfn.IFNA(_xlpm.result, "")
)</f>
        <v/>
      </c>
      <c r="E8" t="str">
        <f>_xlfn.LET(
  _xlpm.result, _xlfn.XLOOKUP($B8, Result_Database!$A$2:$A$500, Result_Database!D$2:D$500),
  _xlfn.IFNA(_xlpm.result, "")
)</f>
        <v/>
      </c>
      <c r="F8" t="str">
        <f>_xlfn.LET(
  _xlpm.result, _xlfn.XLOOKUP($B8, Result_Database!$A$2:$A$500, Result_Database!E$2:E$500),
  _xlfn.IFNA(_xlpm.result, "")
)</f>
        <v/>
      </c>
      <c r="G8" t="str">
        <f>_xlfn.LET(
  _xlpm.result, _xlfn.XLOOKUP($B8, Result_Database!$A$2:$A$500, Result_Database!F$2:F$500),
  _xlfn.IFNA(_xlpm.result, "")
)</f>
        <v/>
      </c>
      <c r="H8" t="str">
        <f>_xlfn.LET(
  _xlpm.result, _xlfn.XLOOKUP($B8, Result_Database!$A$2:$A$500, Result_Database!G$2:G$500),
  _xlfn.IFNA(_xlpm.result, "")
)</f>
        <v/>
      </c>
      <c r="I8" t="str">
        <f>_xlfn.LET(
  _xlpm.result, _xlfn.XLOOKUP($B8, Result_Database!$A$2:$A$500, Result_Database!H$2:H$500),
  _xlfn.IFNA(_xlpm.result, "")
)</f>
        <v/>
      </c>
      <c r="J8" t="str">
        <f>_xlfn.LET(
  _xlpm.result, _xlfn.XLOOKUP($B8, Result_Database!$A$2:$A$500, Result_Database!I$2:I$500),
  _xlfn.IFNA(_xlpm.result, "")
)</f>
        <v/>
      </c>
      <c r="K8" t="str">
        <f>_xlfn.LET(
  _xlpm.result, _xlfn.XLOOKUP($B8, Result_Database!$A$2:$A$500, Result_Database!J$2:J$500),
  _xlfn.IFNA(_xlpm.result, "")
)</f>
        <v/>
      </c>
      <c r="L8" t="str">
        <f>_xlfn.LET(
  _xlpm.result, _xlfn.XLOOKUP($B8, Result_Database!$A$2:$A$500, Result_Database!K$2:K$500),
  _xlfn.IFNA(_xlpm.result, "")
)</f>
        <v/>
      </c>
      <c r="M8" t="str">
        <f>_xlfn.LET(
  _xlpm.result, _xlfn.XLOOKUP($B8, Result_Database!$A$2:$A$500, Result_Database!L$2:L$500),
  _xlfn.IFNA(_xlpm.result, "")
)</f>
        <v/>
      </c>
      <c r="N8" t="str">
        <f>_xlfn.LET(
  _xlpm.result, _xlfn.XLOOKUP($B8, Result_Database!$A$2:$A$500, Result_Database!M$2:M$500),
  _xlfn.IFNA(_xlpm.result, "")
)</f>
        <v/>
      </c>
      <c r="O8" t="str">
        <f>_xlfn.LET(
  _xlpm.result, _xlfn.XLOOKUP($B8, Result_Database!$A$2:$A$500, Result_Database!N$2:N$500),
  _xlfn.IFNA(_xlpm.result, "")
)</f>
        <v/>
      </c>
      <c r="P8" t="str">
        <f>_xlfn.LET(
  _xlpm.result, _xlfn.XLOOKUP($B8, Result_Database!$A$2:$A$500, Result_Database!O$2:O$500),
  _xlfn.IFNA(_xlpm.result, "")
)</f>
        <v/>
      </c>
      <c r="Q8" t="str">
        <f>_xlfn.LET(
  _xlpm.result, _xlfn.XLOOKUP($B8, Result_Database!$A$2:$A$500, Result_Database!P$2:P$500),
  _xlfn.IFNA(_xlpm.result, "")
)</f>
        <v/>
      </c>
      <c r="R8" t="str">
        <f>_xlfn.LET(
  _xlpm.result, _xlfn.XLOOKUP($B8, Result_Database!$A$2:$A$500, Result_Database!Q$2:Q$500),
  _xlfn.IFNA(_xlpm.result, "")
)</f>
        <v/>
      </c>
      <c r="S8" t="str">
        <f>_xlfn.LET(
  _xlpm.result, _xlfn.XLOOKUP($B8, Result_Database!$A$2:$A$500, Result_Database!R$2:R$500),
  _xlfn.IFNA(_xlpm.result, "")
)</f>
        <v/>
      </c>
      <c r="T8" t="str">
        <f>_xlfn.LET(
  _xlpm.result, _xlfn.XLOOKUP($B8, Result_Database!$A$2:$A$500, Result_Database!S$2:S$500),
  _xlfn.IFNA(_xlpm.result, "")
)</f>
        <v/>
      </c>
      <c r="U8" t="str">
        <f>_xlfn.LET(
  _xlpm.result, _xlfn.XLOOKUP($B8, Result_Database!$A$2:$A$500, Result_Database!T$2:T$500),
  _xlfn.IFNA(_xlpm.result, "")
)</f>
        <v/>
      </c>
      <c r="V8" t="str">
        <f>_xlfn.LET(
  _xlpm.result, _xlfn.XLOOKUP($B8, Result_Database!$A$2:$A$500, Result_Database!U$2:U$500),
  _xlfn.IFNA(_xlpm.result, "")
)</f>
        <v/>
      </c>
      <c r="W8" t="str">
        <f>_xlfn.LET(
  _xlpm.result, _xlfn.XLOOKUP($B8, Result_Database!$A$2:$A$500, Result_Database!V$2:V$500),
  _xlfn.IFNA(_xlpm.result, "")
)</f>
        <v/>
      </c>
      <c r="X8" t="str">
        <f>_xlfn.LET(
  _xlpm.result, _xlfn.XLOOKUP($B8, Result_Database!$A$2:$A$500, Result_Database!W$2:W$500),
  _xlfn.IFNA(_xlpm.result, "")
)</f>
        <v/>
      </c>
      <c r="Y8" t="str">
        <f>_xlfn.LET(
  _xlpm.result, _xlfn.XLOOKUP($B8, Result_Database!$A$2:$A$500, Result_Database!X$2:X$500),
  _xlfn.IFNA(_xlpm.result, "")
)</f>
        <v/>
      </c>
      <c r="Z8" t="str">
        <f>_xlfn.LET(
  _xlpm.result, _xlfn.XLOOKUP($B8, Result_Database!$A$2:$A$500, Result_Database!Y$2:Y$500),
  _xlfn.IFNA(_xlpm.result, "")
)</f>
        <v/>
      </c>
      <c r="AA8" t="str">
        <f>_xlfn.LET(
  _xlpm.result, _xlfn.XLOOKUP($B8, Result_Database!$A$2:$A$500, Result_Database!Z$2:Z$500),
  _xlfn.IFNA(_xlpm.result, "")
)</f>
        <v/>
      </c>
      <c r="AB8" t="str">
        <f>_xlfn.LET(
  _xlpm.result, _xlfn.XLOOKUP($B8, Result_Database!$A$2:$A$500, Result_Database!AA$2:AA$500),
  _xlfn.IFNA(_xlpm.result, "")
)</f>
        <v/>
      </c>
      <c r="AC8" t="str">
        <f>_xlfn.LET(
  _xlpm.result, _xlfn.XLOOKUP($B8, Result_Database!$A$2:$A$500, Result_Database!AB$2:AB$500),
  _xlfn.IFNA(_xlpm.result, "")
)</f>
        <v/>
      </c>
      <c r="AD8" t="str">
        <f>_xlfn.LET(
  _xlpm.result, _xlfn.XLOOKUP($B8, Result_Database!$A$2:$A$500, Result_Database!AC$2:AC$500),
  _xlfn.IFNA(_xlpm.result, "")
)</f>
        <v/>
      </c>
      <c r="AE8" t="str">
        <f>_xlfn.LET(
  _xlpm.result, _xlfn.XLOOKUP($B8, Result_Database!$A$2:$A$500, Result_Database!AD$2:AD$500),
  _xlfn.IFNA(_xlpm.result, "")
)</f>
        <v/>
      </c>
      <c r="AF8" t="str">
        <f>_xlfn.LET(
  _xlpm.result, _xlfn.XLOOKUP($B8, Result_Database!$A$2:$A$500, Result_Database!AE$2:AE$500),
  _xlfn.IFNA(_xlpm.result, "")
)</f>
        <v/>
      </c>
      <c r="AG8" t="str">
        <f>_xlfn.LET(
  _xlpm.result, _xlfn.XLOOKUP($B8, Result_Database!$A$2:$A$500, Result_Database!AF$2:AF$500),
  _xlfn.IFNA(_xlpm.result, "")
)</f>
        <v/>
      </c>
      <c r="AH8" t="str">
        <f>_xlfn.LET(
  _xlpm.result, _xlfn.XLOOKUP($B8, Result_Database!$A$2:$A$500, Result_Database!AG$2:AG$500),
  _xlfn.IFNA(_xlpm.result, "")
)</f>
        <v/>
      </c>
      <c r="AI8" t="str">
        <f>_xlfn.LET(
  _xlpm.result, _xlfn.XLOOKUP($B8, Result_Database!$A$2:$A$500, Result_Database!AH$2:AH$500),
  _xlfn.IFNA(_xlpm.result, "")
)</f>
        <v/>
      </c>
      <c r="AJ8" t="str">
        <f>_xlfn.LET(
  _xlpm.result, _xlfn.XLOOKUP($B8, Result_Database!$A$2:$A$500, Result_Database!AI$2:AI$500),
  _xlfn.IFNA(_xlpm.result, "")
)</f>
        <v/>
      </c>
      <c r="AK8" t="str">
        <f>_xlfn.LET(
  _xlpm.result, _xlfn.XLOOKUP($B8, Result_Database!$A$2:$A$500, Result_Database!AJ$2:AJ$500),
  _xlfn.IFNA(_xlpm.result, "")
)</f>
        <v/>
      </c>
      <c r="AL8" t="str">
        <f>_xlfn.LET(
  _xlpm.result, _xlfn.XLOOKUP($B8, Result_Database!$A$2:$A$500, Result_Database!AK$2:AK$500),
  _xlfn.IFNA(_xlpm.result, "")
)</f>
        <v/>
      </c>
      <c r="AM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8" t="str">
        <f>IF(SUM(Table5[[#This Row],[A1]:[C6]])&lt;&gt;0,SUM(Table5[[#This Row],[A1]:[C6]]),"")</f>
        <v/>
      </c>
      <c r="AW8" t="str">
        <f>IF(SUM(Table5[[#This Row],[D7]:[F9]])=0,"",SUM(Table5[[#This Row],[D7]:[F9]]))</f>
        <v/>
      </c>
      <c r="AX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8" t="str">
        <f>IF(COUNTIF(Table5[[#This Row],[English Language]:[Electrical/ Electronics]],"WITHHELD")=0,"",COUNTIF(Table5[[#This Row],[English Language]:[Electrical/ Electronics]],"WITHHELD"))</f>
        <v/>
      </c>
      <c r="BE8" t="str">
        <f>IF(SUM(Table5[[#This Row],[NO OF CREDITS]:[BELOW CREDITS]])=0,"",SUM(Table5[[#This Row],[NO OF CREDITS]:[BELOW CREDITS]]))</f>
        <v/>
      </c>
    </row>
    <row r="9" spans="1:57" x14ac:dyDescent="0.3">
      <c r="A9" t="str">
        <f>IF(B9&lt;&gt;"",COUNTA($B$6:B9),"")</f>
        <v/>
      </c>
      <c r="B9" t="str">
        <f>IF(Result_Database!A5="","",Result_Database!A5)</f>
        <v/>
      </c>
      <c r="C9" t="str">
        <f>_xlfn.LET(
_xlpm.result,_xlfn.XLOOKUP($B9,Result_Database!$A$2:$A$500,Result_Database!$B$2:$B$500),
_xlfn.IFNA(_xlpm.result,"")
)</f>
        <v/>
      </c>
      <c r="D9" t="str">
        <f>_xlfn.LET(
  _xlpm.result, _xlfn.XLOOKUP($B9, Result_Database!$A$2:$A$500, Result_Database!C$2:C$500),
  _xlfn.IFNA(_xlpm.result, "")
)</f>
        <v/>
      </c>
      <c r="E9" t="str">
        <f>_xlfn.LET(
  _xlpm.result, _xlfn.XLOOKUP($B9, Result_Database!$A$2:$A$500, Result_Database!D$2:D$500),
  _xlfn.IFNA(_xlpm.result, "")
)</f>
        <v/>
      </c>
      <c r="F9" t="str">
        <f>_xlfn.LET(
  _xlpm.result, _xlfn.XLOOKUP($B9, Result_Database!$A$2:$A$500, Result_Database!E$2:E$500),
  _xlfn.IFNA(_xlpm.result, "")
)</f>
        <v/>
      </c>
      <c r="G9" t="str">
        <f>_xlfn.LET(
  _xlpm.result, _xlfn.XLOOKUP($B9, Result_Database!$A$2:$A$500, Result_Database!F$2:F$500),
  _xlfn.IFNA(_xlpm.result, "")
)</f>
        <v/>
      </c>
      <c r="H9" t="str">
        <f>_xlfn.LET(
  _xlpm.result, _xlfn.XLOOKUP($B9, Result_Database!$A$2:$A$500, Result_Database!G$2:G$500),
  _xlfn.IFNA(_xlpm.result, "")
)</f>
        <v/>
      </c>
      <c r="I9" t="str">
        <f>_xlfn.LET(
  _xlpm.result, _xlfn.XLOOKUP($B9, Result_Database!$A$2:$A$500, Result_Database!H$2:H$500),
  _xlfn.IFNA(_xlpm.result, "")
)</f>
        <v/>
      </c>
      <c r="J9" t="str">
        <f>_xlfn.LET(
  _xlpm.result, _xlfn.XLOOKUP($B9, Result_Database!$A$2:$A$500, Result_Database!I$2:I$500),
  _xlfn.IFNA(_xlpm.result, "")
)</f>
        <v/>
      </c>
      <c r="K9" t="str">
        <f>_xlfn.LET(
  _xlpm.result, _xlfn.XLOOKUP($B9, Result_Database!$A$2:$A$500, Result_Database!J$2:J$500),
  _xlfn.IFNA(_xlpm.result, "")
)</f>
        <v/>
      </c>
      <c r="L9" t="str">
        <f>_xlfn.LET(
  _xlpm.result, _xlfn.XLOOKUP($B9, Result_Database!$A$2:$A$500, Result_Database!K$2:K$500),
  _xlfn.IFNA(_xlpm.result, "")
)</f>
        <v/>
      </c>
      <c r="M9" t="str">
        <f>_xlfn.LET(
  _xlpm.result, _xlfn.XLOOKUP($B9, Result_Database!$A$2:$A$500, Result_Database!L$2:L$500),
  _xlfn.IFNA(_xlpm.result, "")
)</f>
        <v/>
      </c>
      <c r="N9" t="str">
        <f>_xlfn.LET(
  _xlpm.result, _xlfn.XLOOKUP($B9, Result_Database!$A$2:$A$500, Result_Database!M$2:M$500),
  _xlfn.IFNA(_xlpm.result, "")
)</f>
        <v/>
      </c>
      <c r="O9" t="str">
        <f>_xlfn.LET(
  _xlpm.result, _xlfn.XLOOKUP($B9, Result_Database!$A$2:$A$500, Result_Database!N$2:N$500),
  _xlfn.IFNA(_xlpm.result, "")
)</f>
        <v/>
      </c>
      <c r="P9" t="str">
        <f>_xlfn.LET(
  _xlpm.result, _xlfn.XLOOKUP($B9, Result_Database!$A$2:$A$500, Result_Database!O$2:O$500),
  _xlfn.IFNA(_xlpm.result, "")
)</f>
        <v/>
      </c>
      <c r="Q9" t="str">
        <f>_xlfn.LET(
  _xlpm.result, _xlfn.XLOOKUP($B9, Result_Database!$A$2:$A$500, Result_Database!P$2:P$500),
  _xlfn.IFNA(_xlpm.result, "")
)</f>
        <v/>
      </c>
      <c r="R9" t="str">
        <f>_xlfn.LET(
  _xlpm.result, _xlfn.XLOOKUP($B9, Result_Database!$A$2:$A$500, Result_Database!Q$2:Q$500),
  _xlfn.IFNA(_xlpm.result, "")
)</f>
        <v/>
      </c>
      <c r="S9" t="str">
        <f>_xlfn.LET(
  _xlpm.result, _xlfn.XLOOKUP($B9, Result_Database!$A$2:$A$500, Result_Database!R$2:R$500),
  _xlfn.IFNA(_xlpm.result, "")
)</f>
        <v/>
      </c>
      <c r="T9" t="str">
        <f>_xlfn.LET(
  _xlpm.result, _xlfn.XLOOKUP($B9, Result_Database!$A$2:$A$500, Result_Database!S$2:S$500),
  _xlfn.IFNA(_xlpm.result, "")
)</f>
        <v/>
      </c>
      <c r="U9" t="str">
        <f>_xlfn.LET(
  _xlpm.result, _xlfn.XLOOKUP($B9, Result_Database!$A$2:$A$500, Result_Database!T$2:T$500),
  _xlfn.IFNA(_xlpm.result, "")
)</f>
        <v/>
      </c>
      <c r="V9" t="str">
        <f>_xlfn.LET(
  _xlpm.result, _xlfn.XLOOKUP($B9, Result_Database!$A$2:$A$500, Result_Database!U$2:U$500),
  _xlfn.IFNA(_xlpm.result, "")
)</f>
        <v/>
      </c>
      <c r="W9" t="str">
        <f>_xlfn.LET(
  _xlpm.result, _xlfn.XLOOKUP($B9, Result_Database!$A$2:$A$500, Result_Database!V$2:V$500),
  _xlfn.IFNA(_xlpm.result, "")
)</f>
        <v/>
      </c>
      <c r="X9" t="str">
        <f>_xlfn.LET(
  _xlpm.result, _xlfn.XLOOKUP($B9, Result_Database!$A$2:$A$500, Result_Database!W$2:W$500),
  _xlfn.IFNA(_xlpm.result, "")
)</f>
        <v/>
      </c>
      <c r="Y9" t="str">
        <f>_xlfn.LET(
  _xlpm.result, _xlfn.XLOOKUP($B9, Result_Database!$A$2:$A$500, Result_Database!X$2:X$500),
  _xlfn.IFNA(_xlpm.result, "")
)</f>
        <v/>
      </c>
      <c r="Z9" t="str">
        <f>_xlfn.LET(
  _xlpm.result, _xlfn.XLOOKUP($B9, Result_Database!$A$2:$A$500, Result_Database!Y$2:Y$500),
  _xlfn.IFNA(_xlpm.result, "")
)</f>
        <v/>
      </c>
      <c r="AA9" t="str">
        <f>_xlfn.LET(
  _xlpm.result, _xlfn.XLOOKUP($B9, Result_Database!$A$2:$A$500, Result_Database!Z$2:Z$500),
  _xlfn.IFNA(_xlpm.result, "")
)</f>
        <v/>
      </c>
      <c r="AB9" t="str">
        <f>_xlfn.LET(
  _xlpm.result, _xlfn.XLOOKUP($B9, Result_Database!$A$2:$A$500, Result_Database!AA$2:AA$500),
  _xlfn.IFNA(_xlpm.result, "")
)</f>
        <v/>
      </c>
      <c r="AC9" t="str">
        <f>_xlfn.LET(
  _xlpm.result, _xlfn.XLOOKUP($B9, Result_Database!$A$2:$A$500, Result_Database!AB$2:AB$500),
  _xlfn.IFNA(_xlpm.result, "")
)</f>
        <v/>
      </c>
      <c r="AD9" t="str">
        <f>_xlfn.LET(
  _xlpm.result, _xlfn.XLOOKUP($B9, Result_Database!$A$2:$A$500, Result_Database!AC$2:AC$500),
  _xlfn.IFNA(_xlpm.result, "")
)</f>
        <v/>
      </c>
      <c r="AE9" t="str">
        <f>_xlfn.LET(
  _xlpm.result, _xlfn.XLOOKUP($B9, Result_Database!$A$2:$A$500, Result_Database!AD$2:AD$500),
  _xlfn.IFNA(_xlpm.result, "")
)</f>
        <v/>
      </c>
      <c r="AF9" t="str">
        <f>_xlfn.LET(
  _xlpm.result, _xlfn.XLOOKUP($B9, Result_Database!$A$2:$A$500, Result_Database!AE$2:AE$500),
  _xlfn.IFNA(_xlpm.result, "")
)</f>
        <v/>
      </c>
      <c r="AG9" t="str">
        <f>_xlfn.LET(
  _xlpm.result, _xlfn.XLOOKUP($B9, Result_Database!$A$2:$A$500, Result_Database!AF$2:AF$500),
  _xlfn.IFNA(_xlpm.result, "")
)</f>
        <v/>
      </c>
      <c r="AH9" t="str">
        <f>_xlfn.LET(
  _xlpm.result, _xlfn.XLOOKUP($B9, Result_Database!$A$2:$A$500, Result_Database!AG$2:AG$500),
  _xlfn.IFNA(_xlpm.result, "")
)</f>
        <v/>
      </c>
      <c r="AI9" t="str">
        <f>_xlfn.LET(
  _xlpm.result, _xlfn.XLOOKUP($B9, Result_Database!$A$2:$A$500, Result_Database!AH$2:AH$500),
  _xlfn.IFNA(_xlpm.result, "")
)</f>
        <v/>
      </c>
      <c r="AJ9" t="str">
        <f>_xlfn.LET(
  _xlpm.result, _xlfn.XLOOKUP($B9, Result_Database!$A$2:$A$500, Result_Database!AI$2:AI$500),
  _xlfn.IFNA(_xlpm.result, "")
)</f>
        <v/>
      </c>
      <c r="AK9" t="str">
        <f>_xlfn.LET(
  _xlpm.result, _xlfn.XLOOKUP($B9, Result_Database!$A$2:$A$500, Result_Database!AJ$2:AJ$500),
  _xlfn.IFNA(_xlpm.result, "")
)</f>
        <v/>
      </c>
      <c r="AL9" t="str">
        <f>_xlfn.LET(
  _xlpm.result, _xlfn.XLOOKUP($B9, Result_Database!$A$2:$A$500, Result_Database!AK$2:AK$500),
  _xlfn.IFNA(_xlpm.result, "")
)</f>
        <v/>
      </c>
      <c r="AM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9" t="str">
        <f>IF(SUM(Table5[[#This Row],[A1]:[C6]])&lt;&gt;0,SUM(Table5[[#This Row],[A1]:[C6]]),"")</f>
        <v/>
      </c>
      <c r="AW9" t="str">
        <f>IF(SUM(Table5[[#This Row],[D7]:[F9]])=0,"",SUM(Table5[[#This Row],[D7]:[F9]]))</f>
        <v/>
      </c>
      <c r="AX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9" t="str">
        <f>IF(COUNTIF(Table5[[#This Row],[English Language]:[Electrical/ Electronics]],"WITHHELD")=0,"",COUNTIF(Table5[[#This Row],[English Language]:[Electrical/ Electronics]],"WITHHELD"))</f>
        <v/>
      </c>
      <c r="BE9" t="str">
        <f>IF(SUM(Table5[[#This Row],[NO OF CREDITS]:[BELOW CREDITS]])=0,"",SUM(Table5[[#This Row],[NO OF CREDITS]:[BELOW CREDITS]]))</f>
        <v/>
      </c>
    </row>
    <row r="10" spans="1:57" x14ac:dyDescent="0.3">
      <c r="A10" t="str">
        <f>IF(B10&lt;&gt;"",COUNTA($B$6:B10),"")</f>
        <v/>
      </c>
      <c r="B10" t="str">
        <f>IF(Result_Database!A6="","",Result_Database!A6)</f>
        <v/>
      </c>
      <c r="C10" t="str">
        <f>_xlfn.LET(
_xlpm.result,_xlfn.XLOOKUP($B10,Result_Database!$A$2:$A$500,Result_Database!$B$2:$B$500),
_xlfn.IFNA(_xlpm.result,"")
)</f>
        <v/>
      </c>
      <c r="D10" t="str">
        <f>_xlfn.LET(
  _xlpm.result, _xlfn.XLOOKUP($B10, Result_Database!$A$2:$A$500, Result_Database!C$2:C$500),
  _xlfn.IFNA(_xlpm.result, "")
)</f>
        <v/>
      </c>
      <c r="E10" t="str">
        <f>_xlfn.LET(
  _xlpm.result, _xlfn.XLOOKUP($B10, Result_Database!$A$2:$A$500, Result_Database!D$2:D$500),
  _xlfn.IFNA(_xlpm.result, "")
)</f>
        <v/>
      </c>
      <c r="F10" t="str">
        <f>_xlfn.LET(
  _xlpm.result, _xlfn.XLOOKUP($B10, Result_Database!$A$2:$A$500, Result_Database!E$2:E$500),
  _xlfn.IFNA(_xlpm.result, "")
)</f>
        <v/>
      </c>
      <c r="G10" t="str">
        <f>_xlfn.LET(
  _xlpm.result, _xlfn.XLOOKUP($B10, Result_Database!$A$2:$A$500, Result_Database!F$2:F$500),
  _xlfn.IFNA(_xlpm.result, "")
)</f>
        <v/>
      </c>
      <c r="H10" t="str">
        <f>_xlfn.LET(
  _xlpm.result, _xlfn.XLOOKUP($B10, Result_Database!$A$2:$A$500, Result_Database!G$2:G$500),
  _xlfn.IFNA(_xlpm.result, "")
)</f>
        <v/>
      </c>
      <c r="I10" t="str">
        <f>_xlfn.LET(
  _xlpm.result, _xlfn.XLOOKUP($B10, Result_Database!$A$2:$A$500, Result_Database!H$2:H$500),
  _xlfn.IFNA(_xlpm.result, "")
)</f>
        <v/>
      </c>
      <c r="J10" t="str">
        <f>_xlfn.LET(
  _xlpm.result, _xlfn.XLOOKUP($B10, Result_Database!$A$2:$A$500, Result_Database!I$2:I$500),
  _xlfn.IFNA(_xlpm.result, "")
)</f>
        <v/>
      </c>
      <c r="K10" t="str">
        <f>_xlfn.LET(
  _xlpm.result, _xlfn.XLOOKUP($B10, Result_Database!$A$2:$A$500, Result_Database!J$2:J$500),
  _xlfn.IFNA(_xlpm.result, "")
)</f>
        <v/>
      </c>
      <c r="L10" t="str">
        <f>_xlfn.LET(
  _xlpm.result, _xlfn.XLOOKUP($B10, Result_Database!$A$2:$A$500, Result_Database!K$2:K$500),
  _xlfn.IFNA(_xlpm.result, "")
)</f>
        <v/>
      </c>
      <c r="M10" t="str">
        <f>_xlfn.LET(
  _xlpm.result, _xlfn.XLOOKUP($B10, Result_Database!$A$2:$A$500, Result_Database!L$2:L$500),
  _xlfn.IFNA(_xlpm.result, "")
)</f>
        <v/>
      </c>
      <c r="N10" t="str">
        <f>_xlfn.LET(
  _xlpm.result, _xlfn.XLOOKUP($B10, Result_Database!$A$2:$A$500, Result_Database!M$2:M$500),
  _xlfn.IFNA(_xlpm.result, "")
)</f>
        <v/>
      </c>
      <c r="O10" t="str">
        <f>_xlfn.LET(
  _xlpm.result, _xlfn.XLOOKUP($B10, Result_Database!$A$2:$A$500, Result_Database!N$2:N$500),
  _xlfn.IFNA(_xlpm.result, "")
)</f>
        <v/>
      </c>
      <c r="P10" t="str">
        <f>_xlfn.LET(
  _xlpm.result, _xlfn.XLOOKUP($B10, Result_Database!$A$2:$A$500, Result_Database!O$2:O$500),
  _xlfn.IFNA(_xlpm.result, "")
)</f>
        <v/>
      </c>
      <c r="Q10" t="str">
        <f>_xlfn.LET(
  _xlpm.result, _xlfn.XLOOKUP($B10, Result_Database!$A$2:$A$500, Result_Database!P$2:P$500),
  _xlfn.IFNA(_xlpm.result, "")
)</f>
        <v/>
      </c>
      <c r="R10" t="str">
        <f>_xlfn.LET(
  _xlpm.result, _xlfn.XLOOKUP($B10, Result_Database!$A$2:$A$500, Result_Database!Q$2:Q$500),
  _xlfn.IFNA(_xlpm.result, "")
)</f>
        <v/>
      </c>
      <c r="S10" t="str">
        <f>_xlfn.LET(
  _xlpm.result, _xlfn.XLOOKUP($B10, Result_Database!$A$2:$A$500, Result_Database!R$2:R$500),
  _xlfn.IFNA(_xlpm.result, "")
)</f>
        <v/>
      </c>
      <c r="T10" t="str">
        <f>_xlfn.LET(
  _xlpm.result, _xlfn.XLOOKUP($B10, Result_Database!$A$2:$A$500, Result_Database!S$2:S$500),
  _xlfn.IFNA(_xlpm.result, "")
)</f>
        <v/>
      </c>
      <c r="U10" t="str">
        <f>_xlfn.LET(
  _xlpm.result, _xlfn.XLOOKUP($B10, Result_Database!$A$2:$A$500, Result_Database!T$2:T$500),
  _xlfn.IFNA(_xlpm.result, "")
)</f>
        <v/>
      </c>
      <c r="V10" t="str">
        <f>_xlfn.LET(
  _xlpm.result, _xlfn.XLOOKUP($B10, Result_Database!$A$2:$A$500, Result_Database!U$2:U$500),
  _xlfn.IFNA(_xlpm.result, "")
)</f>
        <v/>
      </c>
      <c r="W10" t="str">
        <f>_xlfn.LET(
  _xlpm.result, _xlfn.XLOOKUP($B10, Result_Database!$A$2:$A$500, Result_Database!V$2:V$500),
  _xlfn.IFNA(_xlpm.result, "")
)</f>
        <v/>
      </c>
      <c r="X10" t="str">
        <f>_xlfn.LET(
  _xlpm.result, _xlfn.XLOOKUP($B10, Result_Database!$A$2:$A$500, Result_Database!W$2:W$500),
  _xlfn.IFNA(_xlpm.result, "")
)</f>
        <v/>
      </c>
      <c r="Y10" t="str">
        <f>_xlfn.LET(
  _xlpm.result, _xlfn.XLOOKUP($B10, Result_Database!$A$2:$A$500, Result_Database!X$2:X$500),
  _xlfn.IFNA(_xlpm.result, "")
)</f>
        <v/>
      </c>
      <c r="Z10" t="str">
        <f>_xlfn.LET(
  _xlpm.result, _xlfn.XLOOKUP($B10, Result_Database!$A$2:$A$500, Result_Database!Y$2:Y$500),
  _xlfn.IFNA(_xlpm.result, "")
)</f>
        <v/>
      </c>
      <c r="AA10" t="str">
        <f>_xlfn.LET(
  _xlpm.result, _xlfn.XLOOKUP($B10, Result_Database!$A$2:$A$500, Result_Database!Z$2:Z$500),
  _xlfn.IFNA(_xlpm.result, "")
)</f>
        <v/>
      </c>
      <c r="AB10" t="str">
        <f>_xlfn.LET(
  _xlpm.result, _xlfn.XLOOKUP($B10, Result_Database!$A$2:$A$500, Result_Database!AA$2:AA$500),
  _xlfn.IFNA(_xlpm.result, "")
)</f>
        <v/>
      </c>
      <c r="AC10" t="str">
        <f>_xlfn.LET(
  _xlpm.result, _xlfn.XLOOKUP($B10, Result_Database!$A$2:$A$500, Result_Database!AB$2:AB$500),
  _xlfn.IFNA(_xlpm.result, "")
)</f>
        <v/>
      </c>
      <c r="AD10" t="str">
        <f>_xlfn.LET(
  _xlpm.result, _xlfn.XLOOKUP($B10, Result_Database!$A$2:$A$500, Result_Database!AC$2:AC$500),
  _xlfn.IFNA(_xlpm.result, "")
)</f>
        <v/>
      </c>
      <c r="AE10" t="str">
        <f>_xlfn.LET(
  _xlpm.result, _xlfn.XLOOKUP($B10, Result_Database!$A$2:$A$500, Result_Database!AD$2:AD$500),
  _xlfn.IFNA(_xlpm.result, "")
)</f>
        <v/>
      </c>
      <c r="AF10" t="str">
        <f>_xlfn.LET(
  _xlpm.result, _xlfn.XLOOKUP($B10, Result_Database!$A$2:$A$500, Result_Database!AE$2:AE$500),
  _xlfn.IFNA(_xlpm.result, "")
)</f>
        <v/>
      </c>
      <c r="AG10" t="str">
        <f>_xlfn.LET(
  _xlpm.result, _xlfn.XLOOKUP($B10, Result_Database!$A$2:$A$500, Result_Database!AF$2:AF$500),
  _xlfn.IFNA(_xlpm.result, "")
)</f>
        <v/>
      </c>
      <c r="AH10" t="str">
        <f>_xlfn.LET(
  _xlpm.result, _xlfn.XLOOKUP($B10, Result_Database!$A$2:$A$500, Result_Database!AG$2:AG$500),
  _xlfn.IFNA(_xlpm.result, "")
)</f>
        <v/>
      </c>
      <c r="AI10" t="str">
        <f>_xlfn.LET(
  _xlpm.result, _xlfn.XLOOKUP($B10, Result_Database!$A$2:$A$500, Result_Database!AH$2:AH$500),
  _xlfn.IFNA(_xlpm.result, "")
)</f>
        <v/>
      </c>
      <c r="AJ10" t="str">
        <f>_xlfn.LET(
  _xlpm.result, _xlfn.XLOOKUP($B10, Result_Database!$A$2:$A$500, Result_Database!AI$2:AI$500),
  _xlfn.IFNA(_xlpm.result, "")
)</f>
        <v/>
      </c>
      <c r="AK10" t="str">
        <f>_xlfn.LET(
  _xlpm.result, _xlfn.XLOOKUP($B10, Result_Database!$A$2:$A$500, Result_Database!AJ$2:AJ$500),
  _xlfn.IFNA(_xlpm.result, "")
)</f>
        <v/>
      </c>
      <c r="AL10" t="str">
        <f>_xlfn.LET(
  _xlpm.result, _xlfn.XLOOKUP($B10, Result_Database!$A$2:$A$500, Result_Database!AK$2:AK$500),
  _xlfn.IFNA(_xlpm.result, "")
)</f>
        <v/>
      </c>
      <c r="AM1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0" t="str">
        <f>IF(SUM(Table5[[#This Row],[A1]:[C6]])&lt;&gt;0,SUM(Table5[[#This Row],[A1]:[C6]]),"")</f>
        <v/>
      </c>
      <c r="AW10" t="str">
        <f>IF(SUM(Table5[[#This Row],[D7]:[F9]])=0,"",SUM(Table5[[#This Row],[D7]:[F9]]))</f>
        <v/>
      </c>
      <c r="AX1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0" t="str">
        <f>IF(COUNTIF(Table5[[#This Row],[English Language]:[Electrical/ Electronics]],"WITHHELD")=0,"",COUNTIF(Table5[[#This Row],[English Language]:[Electrical/ Electronics]],"WITHHELD"))</f>
        <v/>
      </c>
      <c r="BE10" t="str">
        <f>IF(SUM(Table5[[#This Row],[NO OF CREDITS]:[BELOW CREDITS]])=0,"",SUM(Table5[[#This Row],[NO OF CREDITS]:[BELOW CREDITS]]))</f>
        <v/>
      </c>
    </row>
    <row r="11" spans="1:57" x14ac:dyDescent="0.3">
      <c r="A11" t="str">
        <f>IF(B11&lt;&gt;"",COUNTA($B$6:B11),"")</f>
        <v/>
      </c>
      <c r="B11" t="str">
        <f>IF(Result_Database!A7="","",Result_Database!A7)</f>
        <v/>
      </c>
      <c r="C11" t="str">
        <f>_xlfn.LET(
_xlpm.result,_xlfn.XLOOKUP($B11,Result_Database!$A$2:$A$500,Result_Database!$B$2:$B$500),
_xlfn.IFNA(_xlpm.result,"")
)</f>
        <v/>
      </c>
      <c r="D11" t="str">
        <f>_xlfn.LET(
  _xlpm.result, _xlfn.XLOOKUP($B11, Result_Database!$A$2:$A$500, Result_Database!C$2:C$500),
  _xlfn.IFNA(_xlpm.result, "")
)</f>
        <v/>
      </c>
      <c r="E11" t="str">
        <f>_xlfn.LET(
  _xlpm.result, _xlfn.XLOOKUP($B11, Result_Database!$A$2:$A$500, Result_Database!D$2:D$500),
  _xlfn.IFNA(_xlpm.result, "")
)</f>
        <v/>
      </c>
      <c r="F11" t="str">
        <f>_xlfn.LET(
  _xlpm.result, _xlfn.XLOOKUP($B11, Result_Database!$A$2:$A$500, Result_Database!E$2:E$500),
  _xlfn.IFNA(_xlpm.result, "")
)</f>
        <v/>
      </c>
      <c r="G11" t="str">
        <f>_xlfn.LET(
  _xlpm.result, _xlfn.XLOOKUP($B11, Result_Database!$A$2:$A$500, Result_Database!F$2:F$500),
  _xlfn.IFNA(_xlpm.result, "")
)</f>
        <v/>
      </c>
      <c r="H11" t="str">
        <f>_xlfn.LET(
  _xlpm.result, _xlfn.XLOOKUP($B11, Result_Database!$A$2:$A$500, Result_Database!G$2:G$500),
  _xlfn.IFNA(_xlpm.result, "")
)</f>
        <v/>
      </c>
      <c r="I11" t="str">
        <f>_xlfn.LET(
  _xlpm.result, _xlfn.XLOOKUP($B11, Result_Database!$A$2:$A$500, Result_Database!H$2:H$500),
  _xlfn.IFNA(_xlpm.result, "")
)</f>
        <v/>
      </c>
      <c r="J11" t="str">
        <f>_xlfn.LET(
  _xlpm.result, _xlfn.XLOOKUP($B11, Result_Database!$A$2:$A$500, Result_Database!I$2:I$500),
  _xlfn.IFNA(_xlpm.result, "")
)</f>
        <v/>
      </c>
      <c r="K11" t="str">
        <f>_xlfn.LET(
  _xlpm.result, _xlfn.XLOOKUP($B11, Result_Database!$A$2:$A$500, Result_Database!J$2:J$500),
  _xlfn.IFNA(_xlpm.result, "")
)</f>
        <v/>
      </c>
      <c r="L11" t="str">
        <f>_xlfn.LET(
  _xlpm.result, _xlfn.XLOOKUP($B11, Result_Database!$A$2:$A$500, Result_Database!K$2:K$500),
  _xlfn.IFNA(_xlpm.result, "")
)</f>
        <v/>
      </c>
      <c r="M11" t="str">
        <f>_xlfn.LET(
  _xlpm.result, _xlfn.XLOOKUP($B11, Result_Database!$A$2:$A$500, Result_Database!L$2:L$500),
  _xlfn.IFNA(_xlpm.result, "")
)</f>
        <v/>
      </c>
      <c r="N11" t="str">
        <f>_xlfn.LET(
  _xlpm.result, _xlfn.XLOOKUP($B11, Result_Database!$A$2:$A$500, Result_Database!M$2:M$500),
  _xlfn.IFNA(_xlpm.result, "")
)</f>
        <v/>
      </c>
      <c r="O11" t="str">
        <f>_xlfn.LET(
  _xlpm.result, _xlfn.XLOOKUP($B11, Result_Database!$A$2:$A$500, Result_Database!N$2:N$500),
  _xlfn.IFNA(_xlpm.result, "")
)</f>
        <v/>
      </c>
      <c r="P11" t="str">
        <f>_xlfn.LET(
  _xlpm.result, _xlfn.XLOOKUP($B11, Result_Database!$A$2:$A$500, Result_Database!O$2:O$500),
  _xlfn.IFNA(_xlpm.result, "")
)</f>
        <v/>
      </c>
      <c r="Q11" t="str">
        <f>_xlfn.LET(
  _xlpm.result, _xlfn.XLOOKUP($B11, Result_Database!$A$2:$A$500, Result_Database!P$2:P$500),
  _xlfn.IFNA(_xlpm.result, "")
)</f>
        <v/>
      </c>
      <c r="R11" t="str">
        <f>_xlfn.LET(
  _xlpm.result, _xlfn.XLOOKUP($B11, Result_Database!$A$2:$A$500, Result_Database!Q$2:Q$500),
  _xlfn.IFNA(_xlpm.result, "")
)</f>
        <v/>
      </c>
      <c r="S11" t="str">
        <f>_xlfn.LET(
  _xlpm.result, _xlfn.XLOOKUP($B11, Result_Database!$A$2:$A$500, Result_Database!R$2:R$500),
  _xlfn.IFNA(_xlpm.result, "")
)</f>
        <v/>
      </c>
      <c r="T11" t="str">
        <f>_xlfn.LET(
  _xlpm.result, _xlfn.XLOOKUP($B11, Result_Database!$A$2:$A$500, Result_Database!S$2:S$500),
  _xlfn.IFNA(_xlpm.result, "")
)</f>
        <v/>
      </c>
      <c r="U11" t="str">
        <f>_xlfn.LET(
  _xlpm.result, _xlfn.XLOOKUP($B11, Result_Database!$A$2:$A$500, Result_Database!T$2:T$500),
  _xlfn.IFNA(_xlpm.result, "")
)</f>
        <v/>
      </c>
      <c r="V11" t="str">
        <f>_xlfn.LET(
  _xlpm.result, _xlfn.XLOOKUP($B11, Result_Database!$A$2:$A$500, Result_Database!U$2:U$500),
  _xlfn.IFNA(_xlpm.result, "")
)</f>
        <v/>
      </c>
      <c r="W11" t="str">
        <f>_xlfn.LET(
  _xlpm.result, _xlfn.XLOOKUP($B11, Result_Database!$A$2:$A$500, Result_Database!V$2:V$500),
  _xlfn.IFNA(_xlpm.result, "")
)</f>
        <v/>
      </c>
      <c r="X11" t="str">
        <f>_xlfn.LET(
  _xlpm.result, _xlfn.XLOOKUP($B11, Result_Database!$A$2:$A$500, Result_Database!W$2:W$500),
  _xlfn.IFNA(_xlpm.result, "")
)</f>
        <v/>
      </c>
      <c r="Y11" t="str">
        <f>_xlfn.LET(
  _xlpm.result, _xlfn.XLOOKUP($B11, Result_Database!$A$2:$A$500, Result_Database!X$2:X$500),
  _xlfn.IFNA(_xlpm.result, "")
)</f>
        <v/>
      </c>
      <c r="Z11" t="str">
        <f>_xlfn.LET(
  _xlpm.result, _xlfn.XLOOKUP($B11, Result_Database!$A$2:$A$500, Result_Database!Y$2:Y$500),
  _xlfn.IFNA(_xlpm.result, "")
)</f>
        <v/>
      </c>
      <c r="AA11" t="str">
        <f>_xlfn.LET(
  _xlpm.result, _xlfn.XLOOKUP($B11, Result_Database!$A$2:$A$500, Result_Database!Z$2:Z$500),
  _xlfn.IFNA(_xlpm.result, "")
)</f>
        <v/>
      </c>
      <c r="AB11" t="str">
        <f>_xlfn.LET(
  _xlpm.result, _xlfn.XLOOKUP($B11, Result_Database!$A$2:$A$500, Result_Database!AA$2:AA$500),
  _xlfn.IFNA(_xlpm.result, "")
)</f>
        <v/>
      </c>
      <c r="AC11" t="str">
        <f>_xlfn.LET(
  _xlpm.result, _xlfn.XLOOKUP($B11, Result_Database!$A$2:$A$500, Result_Database!AB$2:AB$500),
  _xlfn.IFNA(_xlpm.result, "")
)</f>
        <v/>
      </c>
      <c r="AD11" t="str">
        <f>_xlfn.LET(
  _xlpm.result, _xlfn.XLOOKUP($B11, Result_Database!$A$2:$A$500, Result_Database!AC$2:AC$500),
  _xlfn.IFNA(_xlpm.result, "")
)</f>
        <v/>
      </c>
      <c r="AE11" t="str">
        <f>_xlfn.LET(
  _xlpm.result, _xlfn.XLOOKUP($B11, Result_Database!$A$2:$A$500, Result_Database!AD$2:AD$500),
  _xlfn.IFNA(_xlpm.result, "")
)</f>
        <v/>
      </c>
      <c r="AF11" t="str">
        <f>_xlfn.LET(
  _xlpm.result, _xlfn.XLOOKUP($B11, Result_Database!$A$2:$A$500, Result_Database!AE$2:AE$500),
  _xlfn.IFNA(_xlpm.result, "")
)</f>
        <v/>
      </c>
      <c r="AG11" t="str">
        <f>_xlfn.LET(
  _xlpm.result, _xlfn.XLOOKUP($B11, Result_Database!$A$2:$A$500, Result_Database!AF$2:AF$500),
  _xlfn.IFNA(_xlpm.result, "")
)</f>
        <v/>
      </c>
      <c r="AH11" t="str">
        <f>_xlfn.LET(
  _xlpm.result, _xlfn.XLOOKUP($B11, Result_Database!$A$2:$A$500, Result_Database!AG$2:AG$500),
  _xlfn.IFNA(_xlpm.result, "")
)</f>
        <v/>
      </c>
      <c r="AI11" t="str">
        <f>_xlfn.LET(
  _xlpm.result, _xlfn.XLOOKUP($B11, Result_Database!$A$2:$A$500, Result_Database!AH$2:AH$500),
  _xlfn.IFNA(_xlpm.result, "")
)</f>
        <v/>
      </c>
      <c r="AJ11" t="str">
        <f>_xlfn.LET(
  _xlpm.result, _xlfn.XLOOKUP($B11, Result_Database!$A$2:$A$500, Result_Database!AI$2:AI$500),
  _xlfn.IFNA(_xlpm.result, "")
)</f>
        <v/>
      </c>
      <c r="AK11" t="str">
        <f>_xlfn.LET(
  _xlpm.result, _xlfn.XLOOKUP($B11, Result_Database!$A$2:$A$500, Result_Database!AJ$2:AJ$500),
  _xlfn.IFNA(_xlpm.result, "")
)</f>
        <v/>
      </c>
      <c r="AL11" t="str">
        <f>_xlfn.LET(
  _xlpm.result, _xlfn.XLOOKUP($B11, Result_Database!$A$2:$A$500, Result_Database!AK$2:AK$500),
  _xlfn.IFNA(_xlpm.result, "")
)</f>
        <v/>
      </c>
      <c r="AM1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1" t="str">
        <f>IF(SUM(Table5[[#This Row],[A1]:[C6]])&lt;&gt;0,SUM(Table5[[#This Row],[A1]:[C6]]),"")</f>
        <v/>
      </c>
      <c r="AW11" t="str">
        <f>IF(SUM(Table5[[#This Row],[D7]:[F9]])=0,"",SUM(Table5[[#This Row],[D7]:[F9]]))</f>
        <v/>
      </c>
      <c r="AX1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1" t="str">
        <f>IF(COUNTIF(Table5[[#This Row],[English Language]:[Electrical/ Electronics]],"WITHHELD")=0,"",COUNTIF(Table5[[#This Row],[English Language]:[Electrical/ Electronics]],"WITHHELD"))</f>
        <v/>
      </c>
      <c r="BE11" t="str">
        <f>IF(SUM(Table5[[#This Row],[NO OF CREDITS]:[BELOW CREDITS]])=0,"",SUM(Table5[[#This Row],[NO OF CREDITS]:[BELOW CREDITS]]))</f>
        <v/>
      </c>
    </row>
    <row r="12" spans="1:57" x14ac:dyDescent="0.3">
      <c r="A12" t="str">
        <f>IF(B12&lt;&gt;"",COUNTA($B$6:B12),"")</f>
        <v/>
      </c>
      <c r="B12" t="str">
        <f>IF(Result_Database!A8="","",Result_Database!A8)</f>
        <v/>
      </c>
      <c r="C12" t="str">
        <f>_xlfn.LET(
_xlpm.result,_xlfn.XLOOKUP($B12,Result_Database!$A$2:$A$500,Result_Database!$B$2:$B$500),
_xlfn.IFNA(_xlpm.result,"")
)</f>
        <v/>
      </c>
      <c r="D12" t="str">
        <f>_xlfn.LET(
  _xlpm.result, _xlfn.XLOOKUP($B12, Result_Database!$A$2:$A$500, Result_Database!C$2:C$500),
  _xlfn.IFNA(_xlpm.result, "")
)</f>
        <v/>
      </c>
      <c r="E12" t="str">
        <f>_xlfn.LET(
  _xlpm.result, _xlfn.XLOOKUP($B12, Result_Database!$A$2:$A$500, Result_Database!D$2:D$500),
  _xlfn.IFNA(_xlpm.result, "")
)</f>
        <v/>
      </c>
      <c r="F12" t="str">
        <f>_xlfn.LET(
  _xlpm.result, _xlfn.XLOOKUP($B12, Result_Database!$A$2:$A$500, Result_Database!E$2:E$500),
  _xlfn.IFNA(_xlpm.result, "")
)</f>
        <v/>
      </c>
      <c r="G12" t="str">
        <f>_xlfn.LET(
  _xlpm.result, _xlfn.XLOOKUP($B12, Result_Database!$A$2:$A$500, Result_Database!F$2:F$500),
  _xlfn.IFNA(_xlpm.result, "")
)</f>
        <v/>
      </c>
      <c r="H12" t="str">
        <f>_xlfn.LET(
  _xlpm.result, _xlfn.XLOOKUP($B12, Result_Database!$A$2:$A$500, Result_Database!G$2:G$500),
  _xlfn.IFNA(_xlpm.result, "")
)</f>
        <v/>
      </c>
      <c r="I12" t="str">
        <f>_xlfn.LET(
  _xlpm.result, _xlfn.XLOOKUP($B12, Result_Database!$A$2:$A$500, Result_Database!H$2:H$500),
  _xlfn.IFNA(_xlpm.result, "")
)</f>
        <v/>
      </c>
      <c r="J12" t="str">
        <f>_xlfn.LET(
  _xlpm.result, _xlfn.XLOOKUP($B12, Result_Database!$A$2:$A$500, Result_Database!I$2:I$500),
  _xlfn.IFNA(_xlpm.result, "")
)</f>
        <v/>
      </c>
      <c r="K12" t="str">
        <f>_xlfn.LET(
  _xlpm.result, _xlfn.XLOOKUP($B12, Result_Database!$A$2:$A$500, Result_Database!J$2:J$500),
  _xlfn.IFNA(_xlpm.result, "")
)</f>
        <v/>
      </c>
      <c r="L12" t="str">
        <f>_xlfn.LET(
  _xlpm.result, _xlfn.XLOOKUP($B12, Result_Database!$A$2:$A$500, Result_Database!K$2:K$500),
  _xlfn.IFNA(_xlpm.result, "")
)</f>
        <v/>
      </c>
      <c r="M12" t="str">
        <f>_xlfn.LET(
  _xlpm.result, _xlfn.XLOOKUP($B12, Result_Database!$A$2:$A$500, Result_Database!L$2:L$500),
  _xlfn.IFNA(_xlpm.result, "")
)</f>
        <v/>
      </c>
      <c r="N12" t="str">
        <f>_xlfn.LET(
  _xlpm.result, _xlfn.XLOOKUP($B12, Result_Database!$A$2:$A$500, Result_Database!M$2:M$500),
  _xlfn.IFNA(_xlpm.result, "")
)</f>
        <v/>
      </c>
      <c r="O12" t="str">
        <f>_xlfn.LET(
  _xlpm.result, _xlfn.XLOOKUP($B12, Result_Database!$A$2:$A$500, Result_Database!N$2:N$500),
  _xlfn.IFNA(_xlpm.result, "")
)</f>
        <v/>
      </c>
      <c r="P12" t="str">
        <f>_xlfn.LET(
  _xlpm.result, _xlfn.XLOOKUP($B12, Result_Database!$A$2:$A$500, Result_Database!O$2:O$500),
  _xlfn.IFNA(_xlpm.result, "")
)</f>
        <v/>
      </c>
      <c r="Q12" t="str">
        <f>_xlfn.LET(
  _xlpm.result, _xlfn.XLOOKUP($B12, Result_Database!$A$2:$A$500, Result_Database!P$2:P$500),
  _xlfn.IFNA(_xlpm.result, "")
)</f>
        <v/>
      </c>
      <c r="R12" t="str">
        <f>_xlfn.LET(
  _xlpm.result, _xlfn.XLOOKUP($B12, Result_Database!$A$2:$A$500, Result_Database!Q$2:Q$500),
  _xlfn.IFNA(_xlpm.result, "")
)</f>
        <v/>
      </c>
      <c r="S12" t="str">
        <f>_xlfn.LET(
  _xlpm.result, _xlfn.XLOOKUP($B12, Result_Database!$A$2:$A$500, Result_Database!R$2:R$500),
  _xlfn.IFNA(_xlpm.result, "")
)</f>
        <v/>
      </c>
      <c r="T12" t="str">
        <f>_xlfn.LET(
  _xlpm.result, _xlfn.XLOOKUP($B12, Result_Database!$A$2:$A$500, Result_Database!S$2:S$500),
  _xlfn.IFNA(_xlpm.result, "")
)</f>
        <v/>
      </c>
      <c r="U12" t="str">
        <f>_xlfn.LET(
  _xlpm.result, _xlfn.XLOOKUP($B12, Result_Database!$A$2:$A$500, Result_Database!T$2:T$500),
  _xlfn.IFNA(_xlpm.result, "")
)</f>
        <v/>
      </c>
      <c r="V12" t="str">
        <f>_xlfn.LET(
  _xlpm.result, _xlfn.XLOOKUP($B12, Result_Database!$A$2:$A$500, Result_Database!U$2:U$500),
  _xlfn.IFNA(_xlpm.result, "")
)</f>
        <v/>
      </c>
      <c r="W12" t="str">
        <f>_xlfn.LET(
  _xlpm.result, _xlfn.XLOOKUP($B12, Result_Database!$A$2:$A$500, Result_Database!V$2:V$500),
  _xlfn.IFNA(_xlpm.result, "")
)</f>
        <v/>
      </c>
      <c r="X12" t="str">
        <f>_xlfn.LET(
  _xlpm.result, _xlfn.XLOOKUP($B12, Result_Database!$A$2:$A$500, Result_Database!W$2:W$500),
  _xlfn.IFNA(_xlpm.result, "")
)</f>
        <v/>
      </c>
      <c r="Y12" t="str">
        <f>_xlfn.LET(
  _xlpm.result, _xlfn.XLOOKUP($B12, Result_Database!$A$2:$A$500, Result_Database!X$2:X$500),
  _xlfn.IFNA(_xlpm.result, "")
)</f>
        <v/>
      </c>
      <c r="Z12" t="str">
        <f>_xlfn.LET(
  _xlpm.result, _xlfn.XLOOKUP($B12, Result_Database!$A$2:$A$500, Result_Database!Y$2:Y$500),
  _xlfn.IFNA(_xlpm.result, "")
)</f>
        <v/>
      </c>
      <c r="AA12" t="str">
        <f>_xlfn.LET(
  _xlpm.result, _xlfn.XLOOKUP($B12, Result_Database!$A$2:$A$500, Result_Database!Z$2:Z$500),
  _xlfn.IFNA(_xlpm.result, "")
)</f>
        <v/>
      </c>
      <c r="AB12" t="str">
        <f>_xlfn.LET(
  _xlpm.result, _xlfn.XLOOKUP($B12, Result_Database!$A$2:$A$500, Result_Database!AA$2:AA$500),
  _xlfn.IFNA(_xlpm.result, "")
)</f>
        <v/>
      </c>
      <c r="AC12" t="str">
        <f>_xlfn.LET(
  _xlpm.result, _xlfn.XLOOKUP($B12, Result_Database!$A$2:$A$500, Result_Database!AB$2:AB$500),
  _xlfn.IFNA(_xlpm.result, "")
)</f>
        <v/>
      </c>
      <c r="AD12" t="str">
        <f>_xlfn.LET(
  _xlpm.result, _xlfn.XLOOKUP($B12, Result_Database!$A$2:$A$500, Result_Database!AC$2:AC$500),
  _xlfn.IFNA(_xlpm.result, "")
)</f>
        <v/>
      </c>
      <c r="AE12" t="str">
        <f>_xlfn.LET(
  _xlpm.result, _xlfn.XLOOKUP($B12, Result_Database!$A$2:$A$500, Result_Database!AD$2:AD$500),
  _xlfn.IFNA(_xlpm.result, "")
)</f>
        <v/>
      </c>
      <c r="AF12" t="str">
        <f>_xlfn.LET(
  _xlpm.result, _xlfn.XLOOKUP($B12, Result_Database!$A$2:$A$500, Result_Database!AE$2:AE$500),
  _xlfn.IFNA(_xlpm.result, "")
)</f>
        <v/>
      </c>
      <c r="AG12" t="str">
        <f>_xlfn.LET(
  _xlpm.result, _xlfn.XLOOKUP($B12, Result_Database!$A$2:$A$500, Result_Database!AF$2:AF$500),
  _xlfn.IFNA(_xlpm.result, "")
)</f>
        <v/>
      </c>
      <c r="AH12" t="str">
        <f>_xlfn.LET(
  _xlpm.result, _xlfn.XLOOKUP($B12, Result_Database!$A$2:$A$500, Result_Database!AG$2:AG$500),
  _xlfn.IFNA(_xlpm.result, "")
)</f>
        <v/>
      </c>
      <c r="AI12" t="str">
        <f>_xlfn.LET(
  _xlpm.result, _xlfn.XLOOKUP($B12, Result_Database!$A$2:$A$500, Result_Database!AH$2:AH$500),
  _xlfn.IFNA(_xlpm.result, "")
)</f>
        <v/>
      </c>
      <c r="AJ12" t="str">
        <f>_xlfn.LET(
  _xlpm.result, _xlfn.XLOOKUP($B12, Result_Database!$A$2:$A$500, Result_Database!AI$2:AI$500),
  _xlfn.IFNA(_xlpm.result, "")
)</f>
        <v/>
      </c>
      <c r="AK12" t="str">
        <f>_xlfn.LET(
  _xlpm.result, _xlfn.XLOOKUP($B12, Result_Database!$A$2:$A$500, Result_Database!AJ$2:AJ$500),
  _xlfn.IFNA(_xlpm.result, "")
)</f>
        <v/>
      </c>
      <c r="AL12" t="str">
        <f>_xlfn.LET(
  _xlpm.result, _xlfn.XLOOKUP($B12, Result_Database!$A$2:$A$500, Result_Database!AK$2:AK$500),
  _xlfn.IFNA(_xlpm.result, "")
)</f>
        <v/>
      </c>
      <c r="AM1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2" t="str">
        <f>IF(SUM(Table5[[#This Row],[A1]:[C6]])&lt;&gt;0,SUM(Table5[[#This Row],[A1]:[C6]]),"")</f>
        <v/>
      </c>
      <c r="AW12" t="str">
        <f>IF(SUM(Table5[[#This Row],[D7]:[F9]])=0,"",SUM(Table5[[#This Row],[D7]:[F9]]))</f>
        <v/>
      </c>
      <c r="AX1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2" t="str">
        <f>IF(COUNTIF(Table5[[#This Row],[English Language]:[Electrical/ Electronics]],"WITHHELD")=0,"",COUNTIF(Table5[[#This Row],[English Language]:[Electrical/ Electronics]],"WITHHELD"))</f>
        <v/>
      </c>
      <c r="BE12" t="str">
        <f>IF(SUM(Table5[[#This Row],[NO OF CREDITS]:[BELOW CREDITS]])=0,"",SUM(Table5[[#This Row],[NO OF CREDITS]:[BELOW CREDITS]]))</f>
        <v/>
      </c>
    </row>
    <row r="13" spans="1:57" x14ac:dyDescent="0.3">
      <c r="A13" t="str">
        <f>IF(B13&lt;&gt;"",COUNTA($B$6:B13),"")</f>
        <v/>
      </c>
      <c r="B13" t="str">
        <f>IF(Result_Database!A9="","",Result_Database!A9)</f>
        <v/>
      </c>
      <c r="C13" t="str">
        <f>_xlfn.LET(
_xlpm.result,_xlfn.XLOOKUP($B13,Result_Database!$A$2:$A$500,Result_Database!$B$2:$B$500),
_xlfn.IFNA(_xlpm.result,"")
)</f>
        <v/>
      </c>
      <c r="D13" t="str">
        <f>_xlfn.LET(
  _xlpm.result, _xlfn.XLOOKUP($B13, Result_Database!$A$2:$A$500, Result_Database!C$2:C$500),
  _xlfn.IFNA(_xlpm.result, "")
)</f>
        <v/>
      </c>
      <c r="E13" t="str">
        <f>_xlfn.LET(
  _xlpm.result, _xlfn.XLOOKUP($B13, Result_Database!$A$2:$A$500, Result_Database!D$2:D$500),
  _xlfn.IFNA(_xlpm.result, "")
)</f>
        <v/>
      </c>
      <c r="F13" t="str">
        <f>_xlfn.LET(
  _xlpm.result, _xlfn.XLOOKUP($B13, Result_Database!$A$2:$A$500, Result_Database!E$2:E$500),
  _xlfn.IFNA(_xlpm.result, "")
)</f>
        <v/>
      </c>
      <c r="G13" t="str">
        <f>_xlfn.LET(
  _xlpm.result, _xlfn.XLOOKUP($B13, Result_Database!$A$2:$A$500, Result_Database!F$2:F$500),
  _xlfn.IFNA(_xlpm.result, "")
)</f>
        <v/>
      </c>
      <c r="H13" t="str">
        <f>_xlfn.LET(
  _xlpm.result, _xlfn.XLOOKUP($B13, Result_Database!$A$2:$A$500, Result_Database!G$2:G$500),
  _xlfn.IFNA(_xlpm.result, "")
)</f>
        <v/>
      </c>
      <c r="I13" t="str">
        <f>_xlfn.LET(
  _xlpm.result, _xlfn.XLOOKUP($B13, Result_Database!$A$2:$A$500, Result_Database!H$2:H$500),
  _xlfn.IFNA(_xlpm.result, "")
)</f>
        <v/>
      </c>
      <c r="J13" t="str">
        <f>_xlfn.LET(
  _xlpm.result, _xlfn.XLOOKUP($B13, Result_Database!$A$2:$A$500, Result_Database!I$2:I$500),
  _xlfn.IFNA(_xlpm.result, "")
)</f>
        <v/>
      </c>
      <c r="K13" t="str">
        <f>_xlfn.LET(
  _xlpm.result, _xlfn.XLOOKUP($B13, Result_Database!$A$2:$A$500, Result_Database!J$2:J$500),
  _xlfn.IFNA(_xlpm.result, "")
)</f>
        <v/>
      </c>
      <c r="L13" t="str">
        <f>_xlfn.LET(
  _xlpm.result, _xlfn.XLOOKUP($B13, Result_Database!$A$2:$A$500, Result_Database!K$2:K$500),
  _xlfn.IFNA(_xlpm.result, "")
)</f>
        <v/>
      </c>
      <c r="M13" t="str">
        <f>_xlfn.LET(
  _xlpm.result, _xlfn.XLOOKUP($B13, Result_Database!$A$2:$A$500, Result_Database!L$2:L$500),
  _xlfn.IFNA(_xlpm.result, "")
)</f>
        <v/>
      </c>
      <c r="N13" t="str">
        <f>_xlfn.LET(
  _xlpm.result, _xlfn.XLOOKUP($B13, Result_Database!$A$2:$A$500, Result_Database!M$2:M$500),
  _xlfn.IFNA(_xlpm.result, "")
)</f>
        <v/>
      </c>
      <c r="O13" t="str">
        <f>_xlfn.LET(
  _xlpm.result, _xlfn.XLOOKUP($B13, Result_Database!$A$2:$A$500, Result_Database!N$2:N$500),
  _xlfn.IFNA(_xlpm.result, "")
)</f>
        <v/>
      </c>
      <c r="P13" t="str">
        <f>_xlfn.LET(
  _xlpm.result, _xlfn.XLOOKUP($B13, Result_Database!$A$2:$A$500, Result_Database!O$2:O$500),
  _xlfn.IFNA(_xlpm.result, "")
)</f>
        <v/>
      </c>
      <c r="Q13" t="str">
        <f>_xlfn.LET(
  _xlpm.result, _xlfn.XLOOKUP($B13, Result_Database!$A$2:$A$500, Result_Database!P$2:P$500),
  _xlfn.IFNA(_xlpm.result, "")
)</f>
        <v/>
      </c>
      <c r="R13" t="str">
        <f>_xlfn.LET(
  _xlpm.result, _xlfn.XLOOKUP($B13, Result_Database!$A$2:$A$500, Result_Database!Q$2:Q$500),
  _xlfn.IFNA(_xlpm.result, "")
)</f>
        <v/>
      </c>
      <c r="S13" t="str">
        <f>_xlfn.LET(
  _xlpm.result, _xlfn.XLOOKUP($B13, Result_Database!$A$2:$A$500, Result_Database!R$2:R$500),
  _xlfn.IFNA(_xlpm.result, "")
)</f>
        <v/>
      </c>
      <c r="T13" t="str">
        <f>_xlfn.LET(
  _xlpm.result, _xlfn.XLOOKUP($B13, Result_Database!$A$2:$A$500, Result_Database!S$2:S$500),
  _xlfn.IFNA(_xlpm.result, "")
)</f>
        <v/>
      </c>
      <c r="U13" t="str">
        <f>_xlfn.LET(
  _xlpm.result, _xlfn.XLOOKUP($B13, Result_Database!$A$2:$A$500, Result_Database!T$2:T$500),
  _xlfn.IFNA(_xlpm.result, "")
)</f>
        <v/>
      </c>
      <c r="V13" t="str">
        <f>_xlfn.LET(
  _xlpm.result, _xlfn.XLOOKUP($B13, Result_Database!$A$2:$A$500, Result_Database!U$2:U$500),
  _xlfn.IFNA(_xlpm.result, "")
)</f>
        <v/>
      </c>
      <c r="W13" t="str">
        <f>_xlfn.LET(
  _xlpm.result, _xlfn.XLOOKUP($B13, Result_Database!$A$2:$A$500, Result_Database!V$2:V$500),
  _xlfn.IFNA(_xlpm.result, "")
)</f>
        <v/>
      </c>
      <c r="X13" t="str">
        <f>_xlfn.LET(
  _xlpm.result, _xlfn.XLOOKUP($B13, Result_Database!$A$2:$A$500, Result_Database!W$2:W$500),
  _xlfn.IFNA(_xlpm.result, "")
)</f>
        <v/>
      </c>
      <c r="Y13" t="str">
        <f>_xlfn.LET(
  _xlpm.result, _xlfn.XLOOKUP($B13, Result_Database!$A$2:$A$500, Result_Database!X$2:X$500),
  _xlfn.IFNA(_xlpm.result, "")
)</f>
        <v/>
      </c>
      <c r="Z13" t="str">
        <f>_xlfn.LET(
  _xlpm.result, _xlfn.XLOOKUP($B13, Result_Database!$A$2:$A$500, Result_Database!Y$2:Y$500),
  _xlfn.IFNA(_xlpm.result, "")
)</f>
        <v/>
      </c>
      <c r="AA13" t="str">
        <f>_xlfn.LET(
  _xlpm.result, _xlfn.XLOOKUP($B13, Result_Database!$A$2:$A$500, Result_Database!Z$2:Z$500),
  _xlfn.IFNA(_xlpm.result, "")
)</f>
        <v/>
      </c>
      <c r="AB13" t="str">
        <f>_xlfn.LET(
  _xlpm.result, _xlfn.XLOOKUP($B13, Result_Database!$A$2:$A$500, Result_Database!AA$2:AA$500),
  _xlfn.IFNA(_xlpm.result, "")
)</f>
        <v/>
      </c>
      <c r="AC13" t="str">
        <f>_xlfn.LET(
  _xlpm.result, _xlfn.XLOOKUP($B13, Result_Database!$A$2:$A$500, Result_Database!AB$2:AB$500),
  _xlfn.IFNA(_xlpm.result, "")
)</f>
        <v/>
      </c>
      <c r="AD13" t="str">
        <f>_xlfn.LET(
  _xlpm.result, _xlfn.XLOOKUP($B13, Result_Database!$A$2:$A$500, Result_Database!AC$2:AC$500),
  _xlfn.IFNA(_xlpm.result, "")
)</f>
        <v/>
      </c>
      <c r="AE13" t="str">
        <f>_xlfn.LET(
  _xlpm.result, _xlfn.XLOOKUP($B13, Result_Database!$A$2:$A$500, Result_Database!AD$2:AD$500),
  _xlfn.IFNA(_xlpm.result, "")
)</f>
        <v/>
      </c>
      <c r="AF13" t="str">
        <f>_xlfn.LET(
  _xlpm.result, _xlfn.XLOOKUP($B13, Result_Database!$A$2:$A$500, Result_Database!AE$2:AE$500),
  _xlfn.IFNA(_xlpm.result, "")
)</f>
        <v/>
      </c>
      <c r="AG13" t="str">
        <f>_xlfn.LET(
  _xlpm.result, _xlfn.XLOOKUP($B13, Result_Database!$A$2:$A$500, Result_Database!AF$2:AF$500),
  _xlfn.IFNA(_xlpm.result, "")
)</f>
        <v/>
      </c>
      <c r="AH13" t="str">
        <f>_xlfn.LET(
  _xlpm.result, _xlfn.XLOOKUP($B13, Result_Database!$A$2:$A$500, Result_Database!AG$2:AG$500),
  _xlfn.IFNA(_xlpm.result, "")
)</f>
        <v/>
      </c>
      <c r="AI13" t="str">
        <f>_xlfn.LET(
  _xlpm.result, _xlfn.XLOOKUP($B13, Result_Database!$A$2:$A$500, Result_Database!AH$2:AH$500),
  _xlfn.IFNA(_xlpm.result, "")
)</f>
        <v/>
      </c>
      <c r="AJ13" t="str">
        <f>_xlfn.LET(
  _xlpm.result, _xlfn.XLOOKUP($B13, Result_Database!$A$2:$A$500, Result_Database!AI$2:AI$500),
  _xlfn.IFNA(_xlpm.result, "")
)</f>
        <v/>
      </c>
      <c r="AK13" t="str">
        <f>_xlfn.LET(
  _xlpm.result, _xlfn.XLOOKUP($B13, Result_Database!$A$2:$A$500, Result_Database!AJ$2:AJ$500),
  _xlfn.IFNA(_xlpm.result, "")
)</f>
        <v/>
      </c>
      <c r="AL13" t="str">
        <f>_xlfn.LET(
  _xlpm.result, _xlfn.XLOOKUP($B13, Result_Database!$A$2:$A$500, Result_Database!AK$2:AK$500),
  _xlfn.IFNA(_xlpm.result, "")
)</f>
        <v/>
      </c>
      <c r="AM1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3" t="str">
        <f>IF(SUM(Table5[[#This Row],[A1]:[C6]])&lt;&gt;0,SUM(Table5[[#This Row],[A1]:[C6]]),"")</f>
        <v/>
      </c>
      <c r="AW13" t="str">
        <f>IF(SUM(Table5[[#This Row],[D7]:[F9]])=0,"",SUM(Table5[[#This Row],[D7]:[F9]]))</f>
        <v/>
      </c>
      <c r="AX1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3" t="str">
        <f>IF(COUNTIF(Table5[[#This Row],[English Language]:[Electrical/ Electronics]],"WITHHELD")=0,"",COUNTIF(Table5[[#This Row],[English Language]:[Electrical/ Electronics]],"WITHHELD"))</f>
        <v/>
      </c>
      <c r="BE13" t="str">
        <f>IF(SUM(Table5[[#This Row],[NO OF CREDITS]:[BELOW CREDITS]])=0,"",SUM(Table5[[#This Row],[NO OF CREDITS]:[BELOW CREDITS]]))</f>
        <v/>
      </c>
    </row>
    <row r="14" spans="1:57" x14ac:dyDescent="0.3">
      <c r="A14" t="str">
        <f>IF(B14&lt;&gt;"",COUNTA($B$6:B14),"")</f>
        <v/>
      </c>
      <c r="B14" t="str">
        <f>IF(Result_Database!A10="","",Result_Database!A10)</f>
        <v/>
      </c>
      <c r="C14" t="str">
        <f>_xlfn.LET(
_xlpm.result,_xlfn.XLOOKUP($B14,Result_Database!$A$2:$A$500,Result_Database!$B$2:$B$500),
_xlfn.IFNA(_xlpm.result,"")
)</f>
        <v/>
      </c>
      <c r="D14" t="str">
        <f>_xlfn.LET(
  _xlpm.result, _xlfn.XLOOKUP($B14, Result_Database!$A$2:$A$500, Result_Database!C$2:C$500),
  _xlfn.IFNA(_xlpm.result, "")
)</f>
        <v/>
      </c>
      <c r="E14" t="str">
        <f>_xlfn.LET(
  _xlpm.result, _xlfn.XLOOKUP($B14, Result_Database!$A$2:$A$500, Result_Database!D$2:D$500),
  _xlfn.IFNA(_xlpm.result, "")
)</f>
        <v/>
      </c>
      <c r="F14" t="str">
        <f>_xlfn.LET(
  _xlpm.result, _xlfn.XLOOKUP($B14, Result_Database!$A$2:$A$500, Result_Database!E$2:E$500),
  _xlfn.IFNA(_xlpm.result, "")
)</f>
        <v/>
      </c>
      <c r="G14" t="str">
        <f>_xlfn.LET(
  _xlpm.result, _xlfn.XLOOKUP($B14, Result_Database!$A$2:$A$500, Result_Database!F$2:F$500),
  _xlfn.IFNA(_xlpm.result, "")
)</f>
        <v/>
      </c>
      <c r="H14" t="str">
        <f>_xlfn.LET(
  _xlpm.result, _xlfn.XLOOKUP($B14, Result_Database!$A$2:$A$500, Result_Database!G$2:G$500),
  _xlfn.IFNA(_xlpm.result, "")
)</f>
        <v/>
      </c>
      <c r="I14" t="str">
        <f>_xlfn.LET(
  _xlpm.result, _xlfn.XLOOKUP($B14, Result_Database!$A$2:$A$500, Result_Database!H$2:H$500),
  _xlfn.IFNA(_xlpm.result, "")
)</f>
        <v/>
      </c>
      <c r="J14" t="str">
        <f>_xlfn.LET(
  _xlpm.result, _xlfn.XLOOKUP($B14, Result_Database!$A$2:$A$500, Result_Database!I$2:I$500),
  _xlfn.IFNA(_xlpm.result, "")
)</f>
        <v/>
      </c>
      <c r="K14" t="str">
        <f>_xlfn.LET(
  _xlpm.result, _xlfn.XLOOKUP($B14, Result_Database!$A$2:$A$500, Result_Database!J$2:J$500),
  _xlfn.IFNA(_xlpm.result, "")
)</f>
        <v/>
      </c>
      <c r="L14" t="str">
        <f>_xlfn.LET(
  _xlpm.result, _xlfn.XLOOKUP($B14, Result_Database!$A$2:$A$500, Result_Database!K$2:K$500),
  _xlfn.IFNA(_xlpm.result, "")
)</f>
        <v/>
      </c>
      <c r="M14" t="str">
        <f>_xlfn.LET(
  _xlpm.result, _xlfn.XLOOKUP($B14, Result_Database!$A$2:$A$500, Result_Database!L$2:L$500),
  _xlfn.IFNA(_xlpm.result, "")
)</f>
        <v/>
      </c>
      <c r="N14" t="str">
        <f>_xlfn.LET(
  _xlpm.result, _xlfn.XLOOKUP($B14, Result_Database!$A$2:$A$500, Result_Database!M$2:M$500),
  _xlfn.IFNA(_xlpm.result, "")
)</f>
        <v/>
      </c>
      <c r="O14" t="str">
        <f>_xlfn.LET(
  _xlpm.result, _xlfn.XLOOKUP($B14, Result_Database!$A$2:$A$500, Result_Database!N$2:N$500),
  _xlfn.IFNA(_xlpm.result, "")
)</f>
        <v/>
      </c>
      <c r="P14" t="str">
        <f>_xlfn.LET(
  _xlpm.result, _xlfn.XLOOKUP($B14, Result_Database!$A$2:$A$500, Result_Database!O$2:O$500),
  _xlfn.IFNA(_xlpm.result, "")
)</f>
        <v/>
      </c>
      <c r="Q14" t="str">
        <f>_xlfn.LET(
  _xlpm.result, _xlfn.XLOOKUP($B14, Result_Database!$A$2:$A$500, Result_Database!P$2:P$500),
  _xlfn.IFNA(_xlpm.result, "")
)</f>
        <v/>
      </c>
      <c r="R14" t="str">
        <f>_xlfn.LET(
  _xlpm.result, _xlfn.XLOOKUP($B14, Result_Database!$A$2:$A$500, Result_Database!Q$2:Q$500),
  _xlfn.IFNA(_xlpm.result, "")
)</f>
        <v/>
      </c>
      <c r="S14" t="str">
        <f>_xlfn.LET(
  _xlpm.result, _xlfn.XLOOKUP($B14, Result_Database!$A$2:$A$500, Result_Database!R$2:R$500),
  _xlfn.IFNA(_xlpm.result, "")
)</f>
        <v/>
      </c>
      <c r="T14" t="str">
        <f>_xlfn.LET(
  _xlpm.result, _xlfn.XLOOKUP($B14, Result_Database!$A$2:$A$500, Result_Database!S$2:S$500),
  _xlfn.IFNA(_xlpm.result, "")
)</f>
        <v/>
      </c>
      <c r="U14" t="str">
        <f>_xlfn.LET(
  _xlpm.result, _xlfn.XLOOKUP($B14, Result_Database!$A$2:$A$500, Result_Database!T$2:T$500),
  _xlfn.IFNA(_xlpm.result, "")
)</f>
        <v/>
      </c>
      <c r="V14" t="str">
        <f>_xlfn.LET(
  _xlpm.result, _xlfn.XLOOKUP($B14, Result_Database!$A$2:$A$500, Result_Database!U$2:U$500),
  _xlfn.IFNA(_xlpm.result, "")
)</f>
        <v/>
      </c>
      <c r="W14" t="str">
        <f>_xlfn.LET(
  _xlpm.result, _xlfn.XLOOKUP($B14, Result_Database!$A$2:$A$500, Result_Database!V$2:V$500),
  _xlfn.IFNA(_xlpm.result, "")
)</f>
        <v/>
      </c>
      <c r="X14" t="str">
        <f>_xlfn.LET(
  _xlpm.result, _xlfn.XLOOKUP($B14, Result_Database!$A$2:$A$500, Result_Database!W$2:W$500),
  _xlfn.IFNA(_xlpm.result, "")
)</f>
        <v/>
      </c>
      <c r="Y14" t="str">
        <f>_xlfn.LET(
  _xlpm.result, _xlfn.XLOOKUP($B14, Result_Database!$A$2:$A$500, Result_Database!X$2:X$500),
  _xlfn.IFNA(_xlpm.result, "")
)</f>
        <v/>
      </c>
      <c r="Z14" t="str">
        <f>_xlfn.LET(
  _xlpm.result, _xlfn.XLOOKUP($B14, Result_Database!$A$2:$A$500, Result_Database!Y$2:Y$500),
  _xlfn.IFNA(_xlpm.result, "")
)</f>
        <v/>
      </c>
      <c r="AA14" t="str">
        <f>_xlfn.LET(
  _xlpm.result, _xlfn.XLOOKUP($B14, Result_Database!$A$2:$A$500, Result_Database!Z$2:Z$500),
  _xlfn.IFNA(_xlpm.result, "")
)</f>
        <v/>
      </c>
      <c r="AB14" t="str">
        <f>_xlfn.LET(
  _xlpm.result, _xlfn.XLOOKUP($B14, Result_Database!$A$2:$A$500, Result_Database!AA$2:AA$500),
  _xlfn.IFNA(_xlpm.result, "")
)</f>
        <v/>
      </c>
      <c r="AC14" t="str">
        <f>_xlfn.LET(
  _xlpm.result, _xlfn.XLOOKUP($B14, Result_Database!$A$2:$A$500, Result_Database!AB$2:AB$500),
  _xlfn.IFNA(_xlpm.result, "")
)</f>
        <v/>
      </c>
      <c r="AD14" t="str">
        <f>_xlfn.LET(
  _xlpm.result, _xlfn.XLOOKUP($B14, Result_Database!$A$2:$A$500, Result_Database!AC$2:AC$500),
  _xlfn.IFNA(_xlpm.result, "")
)</f>
        <v/>
      </c>
      <c r="AE14" t="str">
        <f>_xlfn.LET(
  _xlpm.result, _xlfn.XLOOKUP($B14, Result_Database!$A$2:$A$500, Result_Database!AD$2:AD$500),
  _xlfn.IFNA(_xlpm.result, "")
)</f>
        <v/>
      </c>
      <c r="AF14" t="str">
        <f>_xlfn.LET(
  _xlpm.result, _xlfn.XLOOKUP($B14, Result_Database!$A$2:$A$500, Result_Database!AE$2:AE$500),
  _xlfn.IFNA(_xlpm.result, "")
)</f>
        <v/>
      </c>
      <c r="AG14" t="str">
        <f>_xlfn.LET(
  _xlpm.result, _xlfn.XLOOKUP($B14, Result_Database!$A$2:$A$500, Result_Database!AF$2:AF$500),
  _xlfn.IFNA(_xlpm.result, "")
)</f>
        <v/>
      </c>
      <c r="AH14" t="str">
        <f>_xlfn.LET(
  _xlpm.result, _xlfn.XLOOKUP($B14, Result_Database!$A$2:$A$500, Result_Database!AG$2:AG$500),
  _xlfn.IFNA(_xlpm.result, "")
)</f>
        <v/>
      </c>
      <c r="AI14" t="str">
        <f>_xlfn.LET(
  _xlpm.result, _xlfn.XLOOKUP($B14, Result_Database!$A$2:$A$500, Result_Database!AH$2:AH$500),
  _xlfn.IFNA(_xlpm.result, "")
)</f>
        <v/>
      </c>
      <c r="AJ14" t="str">
        <f>_xlfn.LET(
  _xlpm.result, _xlfn.XLOOKUP($B14, Result_Database!$A$2:$A$500, Result_Database!AI$2:AI$500),
  _xlfn.IFNA(_xlpm.result, "")
)</f>
        <v/>
      </c>
      <c r="AK14" t="str">
        <f>_xlfn.LET(
  _xlpm.result, _xlfn.XLOOKUP($B14, Result_Database!$A$2:$A$500, Result_Database!AJ$2:AJ$500),
  _xlfn.IFNA(_xlpm.result, "")
)</f>
        <v/>
      </c>
      <c r="AL14" t="str">
        <f>_xlfn.LET(
  _xlpm.result, _xlfn.XLOOKUP($B14, Result_Database!$A$2:$A$500, Result_Database!AK$2:AK$500),
  _xlfn.IFNA(_xlpm.result, "")
)</f>
        <v/>
      </c>
      <c r="AM1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4" t="str">
        <f>IF(SUM(Table5[[#This Row],[A1]:[C6]])&lt;&gt;0,SUM(Table5[[#This Row],[A1]:[C6]]),"")</f>
        <v/>
      </c>
      <c r="AW14" t="str">
        <f>IF(SUM(Table5[[#This Row],[D7]:[F9]])=0,"",SUM(Table5[[#This Row],[D7]:[F9]]))</f>
        <v/>
      </c>
      <c r="AX1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4" t="str">
        <f>IF(COUNTIF(Table5[[#This Row],[English Language]:[Electrical/ Electronics]],"WITHHELD")=0,"",COUNTIF(Table5[[#This Row],[English Language]:[Electrical/ Electronics]],"WITHHELD"))</f>
        <v/>
      </c>
      <c r="BE14" t="str">
        <f>IF(SUM(Table5[[#This Row],[NO OF CREDITS]:[BELOW CREDITS]])=0,"",SUM(Table5[[#This Row],[NO OF CREDITS]:[BELOW CREDITS]]))</f>
        <v/>
      </c>
    </row>
    <row r="15" spans="1:57" x14ac:dyDescent="0.3">
      <c r="A15" t="str">
        <f>IF(B15&lt;&gt;"",COUNTA($B$6:B15),"")</f>
        <v/>
      </c>
      <c r="B15" t="str">
        <f>IF(Result_Database!A11="","",Result_Database!A11)</f>
        <v/>
      </c>
      <c r="C15" t="str">
        <f>_xlfn.LET(
_xlpm.result,_xlfn.XLOOKUP($B15,Result_Database!$A$2:$A$500,Result_Database!$B$2:$B$500),
_xlfn.IFNA(_xlpm.result,"")
)</f>
        <v/>
      </c>
      <c r="D15" t="str">
        <f>_xlfn.LET(
  _xlpm.result, _xlfn.XLOOKUP($B15, Result_Database!$A$2:$A$500, Result_Database!C$2:C$500),
  _xlfn.IFNA(_xlpm.result, "")
)</f>
        <v/>
      </c>
      <c r="E15" t="str">
        <f>_xlfn.LET(
  _xlpm.result, _xlfn.XLOOKUP($B15, Result_Database!$A$2:$A$500, Result_Database!D$2:D$500),
  _xlfn.IFNA(_xlpm.result, "")
)</f>
        <v/>
      </c>
      <c r="F15" t="str">
        <f>_xlfn.LET(
  _xlpm.result, _xlfn.XLOOKUP($B15, Result_Database!$A$2:$A$500, Result_Database!E$2:E$500),
  _xlfn.IFNA(_xlpm.result, "")
)</f>
        <v/>
      </c>
      <c r="G15" t="str">
        <f>_xlfn.LET(
  _xlpm.result, _xlfn.XLOOKUP($B15, Result_Database!$A$2:$A$500, Result_Database!F$2:F$500),
  _xlfn.IFNA(_xlpm.result, "")
)</f>
        <v/>
      </c>
      <c r="H15" t="str">
        <f>_xlfn.LET(
  _xlpm.result, _xlfn.XLOOKUP($B15, Result_Database!$A$2:$A$500, Result_Database!G$2:G$500),
  _xlfn.IFNA(_xlpm.result, "")
)</f>
        <v/>
      </c>
      <c r="I15" t="str">
        <f>_xlfn.LET(
  _xlpm.result, _xlfn.XLOOKUP($B15, Result_Database!$A$2:$A$500, Result_Database!H$2:H$500),
  _xlfn.IFNA(_xlpm.result, "")
)</f>
        <v/>
      </c>
      <c r="J15" t="str">
        <f>_xlfn.LET(
  _xlpm.result, _xlfn.XLOOKUP($B15, Result_Database!$A$2:$A$500, Result_Database!I$2:I$500),
  _xlfn.IFNA(_xlpm.result, "")
)</f>
        <v/>
      </c>
      <c r="K15" t="str">
        <f>_xlfn.LET(
  _xlpm.result, _xlfn.XLOOKUP($B15, Result_Database!$A$2:$A$500, Result_Database!J$2:J$500),
  _xlfn.IFNA(_xlpm.result, "")
)</f>
        <v/>
      </c>
      <c r="L15" t="str">
        <f>_xlfn.LET(
  _xlpm.result, _xlfn.XLOOKUP($B15, Result_Database!$A$2:$A$500, Result_Database!K$2:K$500),
  _xlfn.IFNA(_xlpm.result, "")
)</f>
        <v/>
      </c>
      <c r="M15" t="str">
        <f>_xlfn.LET(
  _xlpm.result, _xlfn.XLOOKUP($B15, Result_Database!$A$2:$A$500, Result_Database!L$2:L$500),
  _xlfn.IFNA(_xlpm.result, "")
)</f>
        <v/>
      </c>
      <c r="N15" t="str">
        <f>_xlfn.LET(
  _xlpm.result, _xlfn.XLOOKUP($B15, Result_Database!$A$2:$A$500, Result_Database!M$2:M$500),
  _xlfn.IFNA(_xlpm.result, "")
)</f>
        <v/>
      </c>
      <c r="O15" t="str">
        <f>_xlfn.LET(
  _xlpm.result, _xlfn.XLOOKUP($B15, Result_Database!$A$2:$A$500, Result_Database!N$2:N$500),
  _xlfn.IFNA(_xlpm.result, "")
)</f>
        <v/>
      </c>
      <c r="P15" t="str">
        <f>_xlfn.LET(
  _xlpm.result, _xlfn.XLOOKUP($B15, Result_Database!$A$2:$A$500, Result_Database!O$2:O$500),
  _xlfn.IFNA(_xlpm.result, "")
)</f>
        <v/>
      </c>
      <c r="Q15" t="str">
        <f>_xlfn.LET(
  _xlpm.result, _xlfn.XLOOKUP($B15, Result_Database!$A$2:$A$500, Result_Database!P$2:P$500),
  _xlfn.IFNA(_xlpm.result, "")
)</f>
        <v/>
      </c>
      <c r="R15" t="str">
        <f>_xlfn.LET(
  _xlpm.result, _xlfn.XLOOKUP($B15, Result_Database!$A$2:$A$500, Result_Database!Q$2:Q$500),
  _xlfn.IFNA(_xlpm.result, "")
)</f>
        <v/>
      </c>
      <c r="S15" t="str">
        <f>_xlfn.LET(
  _xlpm.result, _xlfn.XLOOKUP($B15, Result_Database!$A$2:$A$500, Result_Database!R$2:R$500),
  _xlfn.IFNA(_xlpm.result, "")
)</f>
        <v/>
      </c>
      <c r="T15" t="str">
        <f>_xlfn.LET(
  _xlpm.result, _xlfn.XLOOKUP($B15, Result_Database!$A$2:$A$500, Result_Database!S$2:S$500),
  _xlfn.IFNA(_xlpm.result, "")
)</f>
        <v/>
      </c>
      <c r="U15" t="str">
        <f>_xlfn.LET(
  _xlpm.result, _xlfn.XLOOKUP($B15, Result_Database!$A$2:$A$500, Result_Database!T$2:T$500),
  _xlfn.IFNA(_xlpm.result, "")
)</f>
        <v/>
      </c>
      <c r="V15" t="str">
        <f>_xlfn.LET(
  _xlpm.result, _xlfn.XLOOKUP($B15, Result_Database!$A$2:$A$500, Result_Database!U$2:U$500),
  _xlfn.IFNA(_xlpm.result, "")
)</f>
        <v/>
      </c>
      <c r="W15" t="str">
        <f>_xlfn.LET(
  _xlpm.result, _xlfn.XLOOKUP($B15, Result_Database!$A$2:$A$500, Result_Database!V$2:V$500),
  _xlfn.IFNA(_xlpm.result, "")
)</f>
        <v/>
      </c>
      <c r="X15" t="str">
        <f>_xlfn.LET(
  _xlpm.result, _xlfn.XLOOKUP($B15, Result_Database!$A$2:$A$500, Result_Database!W$2:W$500),
  _xlfn.IFNA(_xlpm.result, "")
)</f>
        <v/>
      </c>
      <c r="Y15" t="str">
        <f>_xlfn.LET(
  _xlpm.result, _xlfn.XLOOKUP($B15, Result_Database!$A$2:$A$500, Result_Database!X$2:X$500),
  _xlfn.IFNA(_xlpm.result, "")
)</f>
        <v/>
      </c>
      <c r="Z15" t="str">
        <f>_xlfn.LET(
  _xlpm.result, _xlfn.XLOOKUP($B15, Result_Database!$A$2:$A$500, Result_Database!Y$2:Y$500),
  _xlfn.IFNA(_xlpm.result, "")
)</f>
        <v/>
      </c>
      <c r="AA15" t="str">
        <f>_xlfn.LET(
  _xlpm.result, _xlfn.XLOOKUP($B15, Result_Database!$A$2:$A$500, Result_Database!Z$2:Z$500),
  _xlfn.IFNA(_xlpm.result, "")
)</f>
        <v/>
      </c>
      <c r="AB15" t="str">
        <f>_xlfn.LET(
  _xlpm.result, _xlfn.XLOOKUP($B15, Result_Database!$A$2:$A$500, Result_Database!AA$2:AA$500),
  _xlfn.IFNA(_xlpm.result, "")
)</f>
        <v/>
      </c>
      <c r="AC15" t="str">
        <f>_xlfn.LET(
  _xlpm.result, _xlfn.XLOOKUP($B15, Result_Database!$A$2:$A$500, Result_Database!AB$2:AB$500),
  _xlfn.IFNA(_xlpm.result, "")
)</f>
        <v/>
      </c>
      <c r="AD15" t="str">
        <f>_xlfn.LET(
  _xlpm.result, _xlfn.XLOOKUP($B15, Result_Database!$A$2:$A$500, Result_Database!AC$2:AC$500),
  _xlfn.IFNA(_xlpm.result, "")
)</f>
        <v/>
      </c>
      <c r="AE15" t="str">
        <f>_xlfn.LET(
  _xlpm.result, _xlfn.XLOOKUP($B15, Result_Database!$A$2:$A$500, Result_Database!AD$2:AD$500),
  _xlfn.IFNA(_xlpm.result, "")
)</f>
        <v/>
      </c>
      <c r="AF15" t="str">
        <f>_xlfn.LET(
  _xlpm.result, _xlfn.XLOOKUP($B15, Result_Database!$A$2:$A$500, Result_Database!AE$2:AE$500),
  _xlfn.IFNA(_xlpm.result, "")
)</f>
        <v/>
      </c>
      <c r="AG15" t="str">
        <f>_xlfn.LET(
  _xlpm.result, _xlfn.XLOOKUP($B15, Result_Database!$A$2:$A$500, Result_Database!AF$2:AF$500),
  _xlfn.IFNA(_xlpm.result, "")
)</f>
        <v/>
      </c>
      <c r="AH15" t="str">
        <f>_xlfn.LET(
  _xlpm.result, _xlfn.XLOOKUP($B15, Result_Database!$A$2:$A$500, Result_Database!AG$2:AG$500),
  _xlfn.IFNA(_xlpm.result, "")
)</f>
        <v/>
      </c>
      <c r="AI15" t="str">
        <f>_xlfn.LET(
  _xlpm.result, _xlfn.XLOOKUP($B15, Result_Database!$A$2:$A$500, Result_Database!AH$2:AH$500),
  _xlfn.IFNA(_xlpm.result, "")
)</f>
        <v/>
      </c>
      <c r="AJ15" t="str">
        <f>_xlfn.LET(
  _xlpm.result, _xlfn.XLOOKUP($B15, Result_Database!$A$2:$A$500, Result_Database!AI$2:AI$500),
  _xlfn.IFNA(_xlpm.result, "")
)</f>
        <v/>
      </c>
      <c r="AK15" t="str">
        <f>_xlfn.LET(
  _xlpm.result, _xlfn.XLOOKUP($B15, Result_Database!$A$2:$A$500, Result_Database!AJ$2:AJ$500),
  _xlfn.IFNA(_xlpm.result, "")
)</f>
        <v/>
      </c>
      <c r="AL15" t="str">
        <f>_xlfn.LET(
  _xlpm.result, _xlfn.XLOOKUP($B15, Result_Database!$A$2:$A$500, Result_Database!AK$2:AK$500),
  _xlfn.IFNA(_xlpm.result, "")
)</f>
        <v/>
      </c>
      <c r="AM1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5" t="str">
        <f>IF(SUM(Table5[[#This Row],[A1]:[C6]])&lt;&gt;0,SUM(Table5[[#This Row],[A1]:[C6]]),"")</f>
        <v/>
      </c>
      <c r="AW15" t="str">
        <f>IF(SUM(Table5[[#This Row],[D7]:[F9]])=0,"",SUM(Table5[[#This Row],[D7]:[F9]]))</f>
        <v/>
      </c>
      <c r="AX1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5" t="str">
        <f>IF(COUNTIF(Table5[[#This Row],[English Language]:[Electrical/ Electronics]],"WITHHELD")=0,"",COUNTIF(Table5[[#This Row],[English Language]:[Electrical/ Electronics]],"WITHHELD"))</f>
        <v/>
      </c>
      <c r="BE15" t="str">
        <f>IF(SUM(Table5[[#This Row],[NO OF CREDITS]:[BELOW CREDITS]])=0,"",SUM(Table5[[#This Row],[NO OF CREDITS]:[BELOW CREDITS]]))</f>
        <v/>
      </c>
    </row>
    <row r="16" spans="1:57" x14ac:dyDescent="0.3">
      <c r="A16" t="str">
        <f>IF(B16&lt;&gt;"",COUNTA($B$6:B16),"")</f>
        <v/>
      </c>
      <c r="B16" t="str">
        <f>IF(Result_Database!A12="","",Result_Database!A12)</f>
        <v/>
      </c>
      <c r="C16" t="str">
        <f>_xlfn.LET(
_xlpm.result,_xlfn.XLOOKUP($B16,Result_Database!$A$2:$A$500,Result_Database!$B$2:$B$500),
_xlfn.IFNA(_xlpm.result,"")
)</f>
        <v/>
      </c>
      <c r="D16" t="str">
        <f>_xlfn.LET(
  _xlpm.result, _xlfn.XLOOKUP($B16, Result_Database!$A$2:$A$500, Result_Database!C$2:C$500),
  _xlfn.IFNA(_xlpm.result, "")
)</f>
        <v/>
      </c>
      <c r="E16" t="str">
        <f>_xlfn.LET(
  _xlpm.result, _xlfn.XLOOKUP($B16, Result_Database!$A$2:$A$500, Result_Database!D$2:D$500),
  _xlfn.IFNA(_xlpm.result, "")
)</f>
        <v/>
      </c>
      <c r="F16" t="str">
        <f>_xlfn.LET(
  _xlpm.result, _xlfn.XLOOKUP($B16, Result_Database!$A$2:$A$500, Result_Database!E$2:E$500),
  _xlfn.IFNA(_xlpm.result, "")
)</f>
        <v/>
      </c>
      <c r="G16" t="str">
        <f>_xlfn.LET(
  _xlpm.result, _xlfn.XLOOKUP($B16, Result_Database!$A$2:$A$500, Result_Database!F$2:F$500),
  _xlfn.IFNA(_xlpm.result, "")
)</f>
        <v/>
      </c>
      <c r="H16" t="str">
        <f>_xlfn.LET(
  _xlpm.result, _xlfn.XLOOKUP($B16, Result_Database!$A$2:$A$500, Result_Database!G$2:G$500),
  _xlfn.IFNA(_xlpm.result, "")
)</f>
        <v/>
      </c>
      <c r="I16" t="str">
        <f>_xlfn.LET(
  _xlpm.result, _xlfn.XLOOKUP($B16, Result_Database!$A$2:$A$500, Result_Database!H$2:H$500),
  _xlfn.IFNA(_xlpm.result, "")
)</f>
        <v/>
      </c>
      <c r="J16" t="str">
        <f>_xlfn.LET(
  _xlpm.result, _xlfn.XLOOKUP($B16, Result_Database!$A$2:$A$500, Result_Database!I$2:I$500),
  _xlfn.IFNA(_xlpm.result, "")
)</f>
        <v/>
      </c>
      <c r="K16" t="str">
        <f>_xlfn.LET(
  _xlpm.result, _xlfn.XLOOKUP($B16, Result_Database!$A$2:$A$500, Result_Database!J$2:J$500),
  _xlfn.IFNA(_xlpm.result, "")
)</f>
        <v/>
      </c>
      <c r="L16" t="str">
        <f>_xlfn.LET(
  _xlpm.result, _xlfn.XLOOKUP($B16, Result_Database!$A$2:$A$500, Result_Database!K$2:K$500),
  _xlfn.IFNA(_xlpm.result, "")
)</f>
        <v/>
      </c>
      <c r="M16" t="str">
        <f>_xlfn.LET(
  _xlpm.result, _xlfn.XLOOKUP($B16, Result_Database!$A$2:$A$500, Result_Database!L$2:L$500),
  _xlfn.IFNA(_xlpm.result, "")
)</f>
        <v/>
      </c>
      <c r="N16" t="str">
        <f>_xlfn.LET(
  _xlpm.result, _xlfn.XLOOKUP($B16, Result_Database!$A$2:$A$500, Result_Database!M$2:M$500),
  _xlfn.IFNA(_xlpm.result, "")
)</f>
        <v/>
      </c>
      <c r="O16" t="str">
        <f>_xlfn.LET(
  _xlpm.result, _xlfn.XLOOKUP($B16, Result_Database!$A$2:$A$500, Result_Database!N$2:N$500),
  _xlfn.IFNA(_xlpm.result, "")
)</f>
        <v/>
      </c>
      <c r="P16" t="str">
        <f>_xlfn.LET(
  _xlpm.result, _xlfn.XLOOKUP($B16, Result_Database!$A$2:$A$500, Result_Database!O$2:O$500),
  _xlfn.IFNA(_xlpm.result, "")
)</f>
        <v/>
      </c>
      <c r="Q16" t="str">
        <f>_xlfn.LET(
  _xlpm.result, _xlfn.XLOOKUP($B16, Result_Database!$A$2:$A$500, Result_Database!P$2:P$500),
  _xlfn.IFNA(_xlpm.result, "")
)</f>
        <v/>
      </c>
      <c r="R16" t="str">
        <f>_xlfn.LET(
  _xlpm.result, _xlfn.XLOOKUP($B16, Result_Database!$A$2:$A$500, Result_Database!Q$2:Q$500),
  _xlfn.IFNA(_xlpm.result, "")
)</f>
        <v/>
      </c>
      <c r="S16" t="str">
        <f>_xlfn.LET(
  _xlpm.result, _xlfn.XLOOKUP($B16, Result_Database!$A$2:$A$500, Result_Database!R$2:R$500),
  _xlfn.IFNA(_xlpm.result, "")
)</f>
        <v/>
      </c>
      <c r="T16" t="str">
        <f>_xlfn.LET(
  _xlpm.result, _xlfn.XLOOKUP($B16, Result_Database!$A$2:$A$500, Result_Database!S$2:S$500),
  _xlfn.IFNA(_xlpm.result, "")
)</f>
        <v/>
      </c>
      <c r="U16" t="str">
        <f>_xlfn.LET(
  _xlpm.result, _xlfn.XLOOKUP($B16, Result_Database!$A$2:$A$500, Result_Database!T$2:T$500),
  _xlfn.IFNA(_xlpm.result, "")
)</f>
        <v/>
      </c>
      <c r="V16" t="str">
        <f>_xlfn.LET(
  _xlpm.result, _xlfn.XLOOKUP($B16, Result_Database!$A$2:$A$500, Result_Database!U$2:U$500),
  _xlfn.IFNA(_xlpm.result, "")
)</f>
        <v/>
      </c>
      <c r="W16" t="str">
        <f>_xlfn.LET(
  _xlpm.result, _xlfn.XLOOKUP($B16, Result_Database!$A$2:$A$500, Result_Database!V$2:V$500),
  _xlfn.IFNA(_xlpm.result, "")
)</f>
        <v/>
      </c>
      <c r="X16" t="str">
        <f>_xlfn.LET(
  _xlpm.result, _xlfn.XLOOKUP($B16, Result_Database!$A$2:$A$500, Result_Database!W$2:W$500),
  _xlfn.IFNA(_xlpm.result, "")
)</f>
        <v/>
      </c>
      <c r="Y16" t="str">
        <f>_xlfn.LET(
  _xlpm.result, _xlfn.XLOOKUP($B16, Result_Database!$A$2:$A$500, Result_Database!X$2:X$500),
  _xlfn.IFNA(_xlpm.result, "")
)</f>
        <v/>
      </c>
      <c r="Z16" t="str">
        <f>_xlfn.LET(
  _xlpm.result, _xlfn.XLOOKUP($B16, Result_Database!$A$2:$A$500, Result_Database!Y$2:Y$500),
  _xlfn.IFNA(_xlpm.result, "")
)</f>
        <v/>
      </c>
      <c r="AA16" t="str">
        <f>_xlfn.LET(
  _xlpm.result, _xlfn.XLOOKUP($B16, Result_Database!$A$2:$A$500, Result_Database!Z$2:Z$500),
  _xlfn.IFNA(_xlpm.result, "")
)</f>
        <v/>
      </c>
      <c r="AB16" t="str">
        <f>_xlfn.LET(
  _xlpm.result, _xlfn.XLOOKUP($B16, Result_Database!$A$2:$A$500, Result_Database!AA$2:AA$500),
  _xlfn.IFNA(_xlpm.result, "")
)</f>
        <v/>
      </c>
      <c r="AC16" t="str">
        <f>_xlfn.LET(
  _xlpm.result, _xlfn.XLOOKUP($B16, Result_Database!$A$2:$A$500, Result_Database!AB$2:AB$500),
  _xlfn.IFNA(_xlpm.result, "")
)</f>
        <v/>
      </c>
      <c r="AD16" t="str">
        <f>_xlfn.LET(
  _xlpm.result, _xlfn.XLOOKUP($B16, Result_Database!$A$2:$A$500, Result_Database!AC$2:AC$500),
  _xlfn.IFNA(_xlpm.result, "")
)</f>
        <v/>
      </c>
      <c r="AE16" t="str">
        <f>_xlfn.LET(
  _xlpm.result, _xlfn.XLOOKUP($B16, Result_Database!$A$2:$A$500, Result_Database!AD$2:AD$500),
  _xlfn.IFNA(_xlpm.result, "")
)</f>
        <v/>
      </c>
      <c r="AF16" t="str">
        <f>_xlfn.LET(
  _xlpm.result, _xlfn.XLOOKUP($B16, Result_Database!$A$2:$A$500, Result_Database!AE$2:AE$500),
  _xlfn.IFNA(_xlpm.result, "")
)</f>
        <v/>
      </c>
      <c r="AG16" t="str">
        <f>_xlfn.LET(
  _xlpm.result, _xlfn.XLOOKUP($B16, Result_Database!$A$2:$A$500, Result_Database!AF$2:AF$500),
  _xlfn.IFNA(_xlpm.result, "")
)</f>
        <v/>
      </c>
      <c r="AH16" t="str">
        <f>_xlfn.LET(
  _xlpm.result, _xlfn.XLOOKUP($B16, Result_Database!$A$2:$A$500, Result_Database!AG$2:AG$500),
  _xlfn.IFNA(_xlpm.result, "")
)</f>
        <v/>
      </c>
      <c r="AI16" t="str">
        <f>_xlfn.LET(
  _xlpm.result, _xlfn.XLOOKUP($B16, Result_Database!$A$2:$A$500, Result_Database!AH$2:AH$500),
  _xlfn.IFNA(_xlpm.result, "")
)</f>
        <v/>
      </c>
      <c r="AJ16" t="str">
        <f>_xlfn.LET(
  _xlpm.result, _xlfn.XLOOKUP($B16, Result_Database!$A$2:$A$500, Result_Database!AI$2:AI$500),
  _xlfn.IFNA(_xlpm.result, "")
)</f>
        <v/>
      </c>
      <c r="AK16" t="str">
        <f>_xlfn.LET(
  _xlpm.result, _xlfn.XLOOKUP($B16, Result_Database!$A$2:$A$500, Result_Database!AJ$2:AJ$500),
  _xlfn.IFNA(_xlpm.result, "")
)</f>
        <v/>
      </c>
      <c r="AL16" t="str">
        <f>_xlfn.LET(
  _xlpm.result, _xlfn.XLOOKUP($B16, Result_Database!$A$2:$A$500, Result_Database!AK$2:AK$500),
  _xlfn.IFNA(_xlpm.result, "")
)</f>
        <v/>
      </c>
      <c r="AM1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6" t="str">
        <f>IF(SUM(Table5[[#This Row],[A1]:[C6]])&lt;&gt;0,SUM(Table5[[#This Row],[A1]:[C6]]),"")</f>
        <v/>
      </c>
      <c r="AW16" t="str">
        <f>IF(SUM(Table5[[#This Row],[D7]:[F9]])=0,"",SUM(Table5[[#This Row],[D7]:[F9]]))</f>
        <v/>
      </c>
      <c r="AX1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6" t="str">
        <f>IF(COUNTIF(Table5[[#This Row],[English Language]:[Electrical/ Electronics]],"WITHHELD")=0,"",COUNTIF(Table5[[#This Row],[English Language]:[Electrical/ Electronics]],"WITHHELD"))</f>
        <v/>
      </c>
      <c r="BE16" t="str">
        <f>IF(SUM(Table5[[#This Row],[NO OF CREDITS]:[BELOW CREDITS]])=0,"",SUM(Table5[[#This Row],[NO OF CREDITS]:[BELOW CREDITS]]))</f>
        <v/>
      </c>
    </row>
    <row r="17" spans="1:57" x14ac:dyDescent="0.3">
      <c r="A17" t="str">
        <f>IF(B17&lt;&gt;"",COUNTA($B$6:B17),"")</f>
        <v/>
      </c>
      <c r="B17" t="str">
        <f>IF(Result_Database!A13="","",Result_Database!A13)</f>
        <v/>
      </c>
      <c r="C17" t="str">
        <f>_xlfn.LET(
_xlpm.result,_xlfn.XLOOKUP($B17,Result_Database!$A$2:$A$500,Result_Database!$B$2:$B$500),
_xlfn.IFNA(_xlpm.result,"")
)</f>
        <v/>
      </c>
      <c r="D17" t="str">
        <f>_xlfn.LET(
  _xlpm.result, _xlfn.XLOOKUP($B17, Result_Database!$A$2:$A$500, Result_Database!C$2:C$500),
  _xlfn.IFNA(_xlpm.result, "")
)</f>
        <v/>
      </c>
      <c r="E17" t="str">
        <f>_xlfn.LET(
  _xlpm.result, _xlfn.XLOOKUP($B17, Result_Database!$A$2:$A$500, Result_Database!D$2:D$500),
  _xlfn.IFNA(_xlpm.result, "")
)</f>
        <v/>
      </c>
      <c r="F17" t="str">
        <f>_xlfn.LET(
  _xlpm.result, _xlfn.XLOOKUP($B17, Result_Database!$A$2:$A$500, Result_Database!E$2:E$500),
  _xlfn.IFNA(_xlpm.result, "")
)</f>
        <v/>
      </c>
      <c r="G17" t="str">
        <f>_xlfn.LET(
  _xlpm.result, _xlfn.XLOOKUP($B17, Result_Database!$A$2:$A$500, Result_Database!F$2:F$500),
  _xlfn.IFNA(_xlpm.result, "")
)</f>
        <v/>
      </c>
      <c r="H17" t="str">
        <f>_xlfn.LET(
  _xlpm.result, _xlfn.XLOOKUP($B17, Result_Database!$A$2:$A$500, Result_Database!G$2:G$500),
  _xlfn.IFNA(_xlpm.result, "")
)</f>
        <v/>
      </c>
      <c r="I17" t="str">
        <f>_xlfn.LET(
  _xlpm.result, _xlfn.XLOOKUP($B17, Result_Database!$A$2:$A$500, Result_Database!H$2:H$500),
  _xlfn.IFNA(_xlpm.result, "")
)</f>
        <v/>
      </c>
      <c r="J17" t="str">
        <f>_xlfn.LET(
  _xlpm.result, _xlfn.XLOOKUP($B17, Result_Database!$A$2:$A$500, Result_Database!I$2:I$500),
  _xlfn.IFNA(_xlpm.result, "")
)</f>
        <v/>
      </c>
      <c r="K17" t="str">
        <f>_xlfn.LET(
  _xlpm.result, _xlfn.XLOOKUP($B17, Result_Database!$A$2:$A$500, Result_Database!J$2:J$500),
  _xlfn.IFNA(_xlpm.result, "")
)</f>
        <v/>
      </c>
      <c r="L17" t="str">
        <f>_xlfn.LET(
  _xlpm.result, _xlfn.XLOOKUP($B17, Result_Database!$A$2:$A$500, Result_Database!K$2:K$500),
  _xlfn.IFNA(_xlpm.result, "")
)</f>
        <v/>
      </c>
      <c r="M17" t="str">
        <f>_xlfn.LET(
  _xlpm.result, _xlfn.XLOOKUP($B17, Result_Database!$A$2:$A$500, Result_Database!L$2:L$500),
  _xlfn.IFNA(_xlpm.result, "")
)</f>
        <v/>
      </c>
      <c r="N17" t="str">
        <f>_xlfn.LET(
  _xlpm.result, _xlfn.XLOOKUP($B17, Result_Database!$A$2:$A$500, Result_Database!M$2:M$500),
  _xlfn.IFNA(_xlpm.result, "")
)</f>
        <v/>
      </c>
      <c r="O17" t="str">
        <f>_xlfn.LET(
  _xlpm.result, _xlfn.XLOOKUP($B17, Result_Database!$A$2:$A$500, Result_Database!N$2:N$500),
  _xlfn.IFNA(_xlpm.result, "")
)</f>
        <v/>
      </c>
      <c r="P17" t="str">
        <f>_xlfn.LET(
  _xlpm.result, _xlfn.XLOOKUP($B17, Result_Database!$A$2:$A$500, Result_Database!O$2:O$500),
  _xlfn.IFNA(_xlpm.result, "")
)</f>
        <v/>
      </c>
      <c r="Q17" t="str">
        <f>_xlfn.LET(
  _xlpm.result, _xlfn.XLOOKUP($B17, Result_Database!$A$2:$A$500, Result_Database!P$2:P$500),
  _xlfn.IFNA(_xlpm.result, "")
)</f>
        <v/>
      </c>
      <c r="R17" t="str">
        <f>_xlfn.LET(
  _xlpm.result, _xlfn.XLOOKUP($B17, Result_Database!$A$2:$A$500, Result_Database!Q$2:Q$500),
  _xlfn.IFNA(_xlpm.result, "")
)</f>
        <v/>
      </c>
      <c r="S17" t="str">
        <f>_xlfn.LET(
  _xlpm.result, _xlfn.XLOOKUP($B17, Result_Database!$A$2:$A$500, Result_Database!R$2:R$500),
  _xlfn.IFNA(_xlpm.result, "")
)</f>
        <v/>
      </c>
      <c r="T17" t="str">
        <f>_xlfn.LET(
  _xlpm.result, _xlfn.XLOOKUP($B17, Result_Database!$A$2:$A$500, Result_Database!S$2:S$500),
  _xlfn.IFNA(_xlpm.result, "")
)</f>
        <v/>
      </c>
      <c r="U17" t="str">
        <f>_xlfn.LET(
  _xlpm.result, _xlfn.XLOOKUP($B17, Result_Database!$A$2:$A$500, Result_Database!T$2:T$500),
  _xlfn.IFNA(_xlpm.result, "")
)</f>
        <v/>
      </c>
      <c r="V17" t="str">
        <f>_xlfn.LET(
  _xlpm.result, _xlfn.XLOOKUP($B17, Result_Database!$A$2:$A$500, Result_Database!U$2:U$500),
  _xlfn.IFNA(_xlpm.result, "")
)</f>
        <v/>
      </c>
      <c r="W17" t="str">
        <f>_xlfn.LET(
  _xlpm.result, _xlfn.XLOOKUP($B17, Result_Database!$A$2:$A$500, Result_Database!V$2:V$500),
  _xlfn.IFNA(_xlpm.result, "")
)</f>
        <v/>
      </c>
      <c r="X17" t="str">
        <f>_xlfn.LET(
  _xlpm.result, _xlfn.XLOOKUP($B17, Result_Database!$A$2:$A$500, Result_Database!W$2:W$500),
  _xlfn.IFNA(_xlpm.result, "")
)</f>
        <v/>
      </c>
      <c r="Y17" t="str">
        <f>_xlfn.LET(
  _xlpm.result, _xlfn.XLOOKUP($B17, Result_Database!$A$2:$A$500, Result_Database!X$2:X$500),
  _xlfn.IFNA(_xlpm.result, "")
)</f>
        <v/>
      </c>
      <c r="Z17" t="str">
        <f>_xlfn.LET(
  _xlpm.result, _xlfn.XLOOKUP($B17, Result_Database!$A$2:$A$500, Result_Database!Y$2:Y$500),
  _xlfn.IFNA(_xlpm.result, "")
)</f>
        <v/>
      </c>
      <c r="AA17" t="str">
        <f>_xlfn.LET(
  _xlpm.result, _xlfn.XLOOKUP($B17, Result_Database!$A$2:$A$500, Result_Database!Z$2:Z$500),
  _xlfn.IFNA(_xlpm.result, "")
)</f>
        <v/>
      </c>
      <c r="AB17" t="str">
        <f>_xlfn.LET(
  _xlpm.result, _xlfn.XLOOKUP($B17, Result_Database!$A$2:$A$500, Result_Database!AA$2:AA$500),
  _xlfn.IFNA(_xlpm.result, "")
)</f>
        <v/>
      </c>
      <c r="AC17" t="str">
        <f>_xlfn.LET(
  _xlpm.result, _xlfn.XLOOKUP($B17, Result_Database!$A$2:$A$500, Result_Database!AB$2:AB$500),
  _xlfn.IFNA(_xlpm.result, "")
)</f>
        <v/>
      </c>
      <c r="AD17" t="str">
        <f>_xlfn.LET(
  _xlpm.result, _xlfn.XLOOKUP($B17, Result_Database!$A$2:$A$500, Result_Database!AC$2:AC$500),
  _xlfn.IFNA(_xlpm.result, "")
)</f>
        <v/>
      </c>
      <c r="AE17" t="str">
        <f>_xlfn.LET(
  _xlpm.result, _xlfn.XLOOKUP($B17, Result_Database!$A$2:$A$500, Result_Database!AD$2:AD$500),
  _xlfn.IFNA(_xlpm.result, "")
)</f>
        <v/>
      </c>
      <c r="AF17" t="str">
        <f>_xlfn.LET(
  _xlpm.result, _xlfn.XLOOKUP($B17, Result_Database!$A$2:$A$500, Result_Database!AE$2:AE$500),
  _xlfn.IFNA(_xlpm.result, "")
)</f>
        <v/>
      </c>
      <c r="AG17" t="str">
        <f>_xlfn.LET(
  _xlpm.result, _xlfn.XLOOKUP($B17, Result_Database!$A$2:$A$500, Result_Database!AF$2:AF$500),
  _xlfn.IFNA(_xlpm.result, "")
)</f>
        <v/>
      </c>
      <c r="AH17" t="str">
        <f>_xlfn.LET(
  _xlpm.result, _xlfn.XLOOKUP($B17, Result_Database!$A$2:$A$500, Result_Database!AG$2:AG$500),
  _xlfn.IFNA(_xlpm.result, "")
)</f>
        <v/>
      </c>
      <c r="AI17" t="str">
        <f>_xlfn.LET(
  _xlpm.result, _xlfn.XLOOKUP($B17, Result_Database!$A$2:$A$500, Result_Database!AH$2:AH$500),
  _xlfn.IFNA(_xlpm.result, "")
)</f>
        <v/>
      </c>
      <c r="AJ17" t="str">
        <f>_xlfn.LET(
  _xlpm.result, _xlfn.XLOOKUP($B17, Result_Database!$A$2:$A$500, Result_Database!AI$2:AI$500),
  _xlfn.IFNA(_xlpm.result, "")
)</f>
        <v/>
      </c>
      <c r="AK17" t="str">
        <f>_xlfn.LET(
  _xlpm.result, _xlfn.XLOOKUP($B17, Result_Database!$A$2:$A$500, Result_Database!AJ$2:AJ$500),
  _xlfn.IFNA(_xlpm.result, "")
)</f>
        <v/>
      </c>
      <c r="AL17" t="str">
        <f>_xlfn.LET(
  _xlpm.result, _xlfn.XLOOKUP($B17, Result_Database!$A$2:$A$500, Result_Database!AK$2:AK$500),
  _xlfn.IFNA(_xlpm.result, "")
)</f>
        <v/>
      </c>
      <c r="AM1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7" t="str">
        <f>IF(SUM(Table5[[#This Row],[A1]:[C6]])&lt;&gt;0,SUM(Table5[[#This Row],[A1]:[C6]]),"")</f>
        <v/>
      </c>
      <c r="AW17" t="str">
        <f>IF(SUM(Table5[[#This Row],[D7]:[F9]])=0,"",SUM(Table5[[#This Row],[D7]:[F9]]))</f>
        <v/>
      </c>
      <c r="AX1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7" t="str">
        <f>IF(COUNTIF(Table5[[#This Row],[English Language]:[Electrical/ Electronics]],"WITHHELD")=0,"",COUNTIF(Table5[[#This Row],[English Language]:[Electrical/ Electronics]],"WITHHELD"))</f>
        <v/>
      </c>
      <c r="BE17" t="str">
        <f>IF(SUM(Table5[[#This Row],[NO OF CREDITS]:[BELOW CREDITS]])=0,"",SUM(Table5[[#This Row],[NO OF CREDITS]:[BELOW CREDITS]]))</f>
        <v/>
      </c>
    </row>
    <row r="18" spans="1:57" x14ac:dyDescent="0.3">
      <c r="A18" t="str">
        <f>IF(B18&lt;&gt;"",COUNTA($B$6:B18),"")</f>
        <v/>
      </c>
      <c r="B18" t="str">
        <f>IF(Result_Database!A14="","",Result_Database!A14)</f>
        <v/>
      </c>
      <c r="C18" t="str">
        <f>_xlfn.LET(
_xlpm.result,_xlfn.XLOOKUP($B18,Result_Database!$A$2:$A$500,Result_Database!$B$2:$B$500),
_xlfn.IFNA(_xlpm.result,"")
)</f>
        <v/>
      </c>
      <c r="D18" t="str">
        <f>_xlfn.LET(
  _xlpm.result, _xlfn.XLOOKUP($B18, Result_Database!$A$2:$A$500, Result_Database!C$2:C$500),
  _xlfn.IFNA(_xlpm.result, "")
)</f>
        <v/>
      </c>
      <c r="E18" t="str">
        <f>_xlfn.LET(
  _xlpm.result, _xlfn.XLOOKUP($B18, Result_Database!$A$2:$A$500, Result_Database!D$2:D$500),
  _xlfn.IFNA(_xlpm.result, "")
)</f>
        <v/>
      </c>
      <c r="F18" t="str">
        <f>_xlfn.LET(
  _xlpm.result, _xlfn.XLOOKUP($B18, Result_Database!$A$2:$A$500, Result_Database!E$2:E$500),
  _xlfn.IFNA(_xlpm.result, "")
)</f>
        <v/>
      </c>
      <c r="G18" t="str">
        <f>_xlfn.LET(
  _xlpm.result, _xlfn.XLOOKUP($B18, Result_Database!$A$2:$A$500, Result_Database!F$2:F$500),
  _xlfn.IFNA(_xlpm.result, "")
)</f>
        <v/>
      </c>
      <c r="H18" t="str">
        <f>_xlfn.LET(
  _xlpm.result, _xlfn.XLOOKUP($B18, Result_Database!$A$2:$A$500, Result_Database!G$2:G$500),
  _xlfn.IFNA(_xlpm.result, "")
)</f>
        <v/>
      </c>
      <c r="I18" t="str">
        <f>_xlfn.LET(
  _xlpm.result, _xlfn.XLOOKUP($B18, Result_Database!$A$2:$A$500, Result_Database!H$2:H$500),
  _xlfn.IFNA(_xlpm.result, "")
)</f>
        <v/>
      </c>
      <c r="J18" t="str">
        <f>_xlfn.LET(
  _xlpm.result, _xlfn.XLOOKUP($B18, Result_Database!$A$2:$A$500, Result_Database!I$2:I$500),
  _xlfn.IFNA(_xlpm.result, "")
)</f>
        <v/>
      </c>
      <c r="K18" t="str">
        <f>_xlfn.LET(
  _xlpm.result, _xlfn.XLOOKUP($B18, Result_Database!$A$2:$A$500, Result_Database!J$2:J$500),
  _xlfn.IFNA(_xlpm.result, "")
)</f>
        <v/>
      </c>
      <c r="L18" t="str">
        <f>_xlfn.LET(
  _xlpm.result, _xlfn.XLOOKUP($B18, Result_Database!$A$2:$A$500, Result_Database!K$2:K$500),
  _xlfn.IFNA(_xlpm.result, "")
)</f>
        <v/>
      </c>
      <c r="M18" t="str">
        <f>_xlfn.LET(
  _xlpm.result, _xlfn.XLOOKUP($B18, Result_Database!$A$2:$A$500, Result_Database!L$2:L$500),
  _xlfn.IFNA(_xlpm.result, "")
)</f>
        <v/>
      </c>
      <c r="N18" t="str">
        <f>_xlfn.LET(
  _xlpm.result, _xlfn.XLOOKUP($B18, Result_Database!$A$2:$A$500, Result_Database!M$2:M$500),
  _xlfn.IFNA(_xlpm.result, "")
)</f>
        <v/>
      </c>
      <c r="O18" t="str">
        <f>_xlfn.LET(
  _xlpm.result, _xlfn.XLOOKUP($B18, Result_Database!$A$2:$A$500, Result_Database!N$2:N$500),
  _xlfn.IFNA(_xlpm.result, "")
)</f>
        <v/>
      </c>
      <c r="P18" t="str">
        <f>_xlfn.LET(
  _xlpm.result, _xlfn.XLOOKUP($B18, Result_Database!$A$2:$A$500, Result_Database!O$2:O$500),
  _xlfn.IFNA(_xlpm.result, "")
)</f>
        <v/>
      </c>
      <c r="Q18" t="str">
        <f>_xlfn.LET(
  _xlpm.result, _xlfn.XLOOKUP($B18, Result_Database!$A$2:$A$500, Result_Database!P$2:P$500),
  _xlfn.IFNA(_xlpm.result, "")
)</f>
        <v/>
      </c>
      <c r="R18" t="str">
        <f>_xlfn.LET(
  _xlpm.result, _xlfn.XLOOKUP($B18, Result_Database!$A$2:$A$500, Result_Database!Q$2:Q$500),
  _xlfn.IFNA(_xlpm.result, "")
)</f>
        <v/>
      </c>
      <c r="S18" t="str">
        <f>_xlfn.LET(
  _xlpm.result, _xlfn.XLOOKUP($B18, Result_Database!$A$2:$A$500, Result_Database!R$2:R$500),
  _xlfn.IFNA(_xlpm.result, "")
)</f>
        <v/>
      </c>
      <c r="T18" t="str">
        <f>_xlfn.LET(
  _xlpm.result, _xlfn.XLOOKUP($B18, Result_Database!$A$2:$A$500, Result_Database!S$2:S$500),
  _xlfn.IFNA(_xlpm.result, "")
)</f>
        <v/>
      </c>
      <c r="U18" t="str">
        <f>_xlfn.LET(
  _xlpm.result, _xlfn.XLOOKUP($B18, Result_Database!$A$2:$A$500, Result_Database!T$2:T$500),
  _xlfn.IFNA(_xlpm.result, "")
)</f>
        <v/>
      </c>
      <c r="V18" t="str">
        <f>_xlfn.LET(
  _xlpm.result, _xlfn.XLOOKUP($B18, Result_Database!$A$2:$A$500, Result_Database!U$2:U$500),
  _xlfn.IFNA(_xlpm.result, "")
)</f>
        <v/>
      </c>
      <c r="W18" t="str">
        <f>_xlfn.LET(
  _xlpm.result, _xlfn.XLOOKUP($B18, Result_Database!$A$2:$A$500, Result_Database!V$2:V$500),
  _xlfn.IFNA(_xlpm.result, "")
)</f>
        <v/>
      </c>
      <c r="X18" t="str">
        <f>_xlfn.LET(
  _xlpm.result, _xlfn.XLOOKUP($B18, Result_Database!$A$2:$A$500, Result_Database!W$2:W$500),
  _xlfn.IFNA(_xlpm.result, "")
)</f>
        <v/>
      </c>
      <c r="Y18" t="str">
        <f>_xlfn.LET(
  _xlpm.result, _xlfn.XLOOKUP($B18, Result_Database!$A$2:$A$500, Result_Database!X$2:X$500),
  _xlfn.IFNA(_xlpm.result, "")
)</f>
        <v/>
      </c>
      <c r="Z18" t="str">
        <f>_xlfn.LET(
  _xlpm.result, _xlfn.XLOOKUP($B18, Result_Database!$A$2:$A$500, Result_Database!Y$2:Y$500),
  _xlfn.IFNA(_xlpm.result, "")
)</f>
        <v/>
      </c>
      <c r="AA18" t="str">
        <f>_xlfn.LET(
  _xlpm.result, _xlfn.XLOOKUP($B18, Result_Database!$A$2:$A$500, Result_Database!Z$2:Z$500),
  _xlfn.IFNA(_xlpm.result, "")
)</f>
        <v/>
      </c>
      <c r="AB18" t="str">
        <f>_xlfn.LET(
  _xlpm.result, _xlfn.XLOOKUP($B18, Result_Database!$A$2:$A$500, Result_Database!AA$2:AA$500),
  _xlfn.IFNA(_xlpm.result, "")
)</f>
        <v/>
      </c>
      <c r="AC18" t="str">
        <f>_xlfn.LET(
  _xlpm.result, _xlfn.XLOOKUP($B18, Result_Database!$A$2:$A$500, Result_Database!AB$2:AB$500),
  _xlfn.IFNA(_xlpm.result, "")
)</f>
        <v/>
      </c>
      <c r="AD18" t="str">
        <f>_xlfn.LET(
  _xlpm.result, _xlfn.XLOOKUP($B18, Result_Database!$A$2:$A$500, Result_Database!AC$2:AC$500),
  _xlfn.IFNA(_xlpm.result, "")
)</f>
        <v/>
      </c>
      <c r="AE18" t="str">
        <f>_xlfn.LET(
  _xlpm.result, _xlfn.XLOOKUP($B18, Result_Database!$A$2:$A$500, Result_Database!AD$2:AD$500),
  _xlfn.IFNA(_xlpm.result, "")
)</f>
        <v/>
      </c>
      <c r="AF18" t="str">
        <f>_xlfn.LET(
  _xlpm.result, _xlfn.XLOOKUP($B18, Result_Database!$A$2:$A$500, Result_Database!AE$2:AE$500),
  _xlfn.IFNA(_xlpm.result, "")
)</f>
        <v/>
      </c>
      <c r="AG18" t="str">
        <f>_xlfn.LET(
  _xlpm.result, _xlfn.XLOOKUP($B18, Result_Database!$A$2:$A$500, Result_Database!AF$2:AF$500),
  _xlfn.IFNA(_xlpm.result, "")
)</f>
        <v/>
      </c>
      <c r="AH18" t="str">
        <f>_xlfn.LET(
  _xlpm.result, _xlfn.XLOOKUP($B18, Result_Database!$A$2:$A$500, Result_Database!AG$2:AG$500),
  _xlfn.IFNA(_xlpm.result, "")
)</f>
        <v/>
      </c>
      <c r="AI18" t="str">
        <f>_xlfn.LET(
  _xlpm.result, _xlfn.XLOOKUP($B18, Result_Database!$A$2:$A$500, Result_Database!AH$2:AH$500),
  _xlfn.IFNA(_xlpm.result, "")
)</f>
        <v/>
      </c>
      <c r="AJ18" t="str">
        <f>_xlfn.LET(
  _xlpm.result, _xlfn.XLOOKUP($B18, Result_Database!$A$2:$A$500, Result_Database!AI$2:AI$500),
  _xlfn.IFNA(_xlpm.result, "")
)</f>
        <v/>
      </c>
      <c r="AK18" t="str">
        <f>_xlfn.LET(
  _xlpm.result, _xlfn.XLOOKUP($B18, Result_Database!$A$2:$A$500, Result_Database!AJ$2:AJ$500),
  _xlfn.IFNA(_xlpm.result, "")
)</f>
        <v/>
      </c>
      <c r="AL18" t="str">
        <f>_xlfn.LET(
  _xlpm.result, _xlfn.XLOOKUP($B18, Result_Database!$A$2:$A$500, Result_Database!AK$2:AK$500),
  _xlfn.IFNA(_xlpm.result, "")
)</f>
        <v/>
      </c>
      <c r="AM1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8" t="str">
        <f>IF(SUM(Table5[[#This Row],[A1]:[C6]])&lt;&gt;0,SUM(Table5[[#This Row],[A1]:[C6]]),"")</f>
        <v/>
      </c>
      <c r="AW18" t="str">
        <f>IF(SUM(Table5[[#This Row],[D7]:[F9]])=0,"",SUM(Table5[[#This Row],[D7]:[F9]]))</f>
        <v/>
      </c>
      <c r="AX1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8" t="str">
        <f>IF(COUNTIF(Table5[[#This Row],[English Language]:[Electrical/ Electronics]],"WITHHELD")=0,"",COUNTIF(Table5[[#This Row],[English Language]:[Electrical/ Electronics]],"WITHHELD"))</f>
        <v/>
      </c>
      <c r="BE18" t="str">
        <f>IF(SUM(Table5[[#This Row],[NO OF CREDITS]:[BELOW CREDITS]])=0,"",SUM(Table5[[#This Row],[NO OF CREDITS]:[BELOW CREDITS]]))</f>
        <v/>
      </c>
    </row>
    <row r="19" spans="1:57" x14ac:dyDescent="0.3">
      <c r="A19" t="str">
        <f>IF(B19&lt;&gt;"",COUNTA($B$6:B19),"")</f>
        <v/>
      </c>
      <c r="B19" t="str">
        <f>IF(Result_Database!A15="","",Result_Database!A15)</f>
        <v/>
      </c>
      <c r="C19" t="str">
        <f>_xlfn.LET(
_xlpm.result,_xlfn.XLOOKUP($B19,Result_Database!$A$2:$A$500,Result_Database!$B$2:$B$500),
_xlfn.IFNA(_xlpm.result,"")
)</f>
        <v/>
      </c>
      <c r="D19" t="str">
        <f>_xlfn.LET(
  _xlpm.result, _xlfn.XLOOKUP($B19, Result_Database!$A$2:$A$500, Result_Database!C$2:C$500),
  _xlfn.IFNA(_xlpm.result, "")
)</f>
        <v/>
      </c>
      <c r="E19" t="str">
        <f>_xlfn.LET(
  _xlpm.result, _xlfn.XLOOKUP($B19, Result_Database!$A$2:$A$500, Result_Database!D$2:D$500),
  _xlfn.IFNA(_xlpm.result, "")
)</f>
        <v/>
      </c>
      <c r="F19" t="str">
        <f>_xlfn.LET(
  _xlpm.result, _xlfn.XLOOKUP($B19, Result_Database!$A$2:$A$500, Result_Database!E$2:E$500),
  _xlfn.IFNA(_xlpm.result, "")
)</f>
        <v/>
      </c>
      <c r="G19" t="str">
        <f>_xlfn.LET(
  _xlpm.result, _xlfn.XLOOKUP($B19, Result_Database!$A$2:$A$500, Result_Database!F$2:F$500),
  _xlfn.IFNA(_xlpm.result, "")
)</f>
        <v/>
      </c>
      <c r="H19" t="str">
        <f>_xlfn.LET(
  _xlpm.result, _xlfn.XLOOKUP($B19, Result_Database!$A$2:$A$500, Result_Database!G$2:G$500),
  _xlfn.IFNA(_xlpm.result, "")
)</f>
        <v/>
      </c>
      <c r="I19" t="str">
        <f>_xlfn.LET(
  _xlpm.result, _xlfn.XLOOKUP($B19, Result_Database!$A$2:$A$500, Result_Database!H$2:H$500),
  _xlfn.IFNA(_xlpm.result, "")
)</f>
        <v/>
      </c>
      <c r="J19" t="str">
        <f>_xlfn.LET(
  _xlpm.result, _xlfn.XLOOKUP($B19, Result_Database!$A$2:$A$500, Result_Database!I$2:I$500),
  _xlfn.IFNA(_xlpm.result, "")
)</f>
        <v/>
      </c>
      <c r="K19" t="str">
        <f>_xlfn.LET(
  _xlpm.result, _xlfn.XLOOKUP($B19, Result_Database!$A$2:$A$500, Result_Database!J$2:J$500),
  _xlfn.IFNA(_xlpm.result, "")
)</f>
        <v/>
      </c>
      <c r="L19" t="str">
        <f>_xlfn.LET(
  _xlpm.result, _xlfn.XLOOKUP($B19, Result_Database!$A$2:$A$500, Result_Database!K$2:K$500),
  _xlfn.IFNA(_xlpm.result, "")
)</f>
        <v/>
      </c>
      <c r="M19" t="str">
        <f>_xlfn.LET(
  _xlpm.result, _xlfn.XLOOKUP($B19, Result_Database!$A$2:$A$500, Result_Database!L$2:L$500),
  _xlfn.IFNA(_xlpm.result, "")
)</f>
        <v/>
      </c>
      <c r="N19" t="str">
        <f>_xlfn.LET(
  _xlpm.result, _xlfn.XLOOKUP($B19, Result_Database!$A$2:$A$500, Result_Database!M$2:M$500),
  _xlfn.IFNA(_xlpm.result, "")
)</f>
        <v/>
      </c>
      <c r="O19" t="str">
        <f>_xlfn.LET(
  _xlpm.result, _xlfn.XLOOKUP($B19, Result_Database!$A$2:$A$500, Result_Database!N$2:N$500),
  _xlfn.IFNA(_xlpm.result, "")
)</f>
        <v/>
      </c>
      <c r="P19" t="str">
        <f>_xlfn.LET(
  _xlpm.result, _xlfn.XLOOKUP($B19, Result_Database!$A$2:$A$500, Result_Database!O$2:O$500),
  _xlfn.IFNA(_xlpm.result, "")
)</f>
        <v/>
      </c>
      <c r="Q19" t="str">
        <f>_xlfn.LET(
  _xlpm.result, _xlfn.XLOOKUP($B19, Result_Database!$A$2:$A$500, Result_Database!P$2:P$500),
  _xlfn.IFNA(_xlpm.result, "")
)</f>
        <v/>
      </c>
      <c r="R19" t="str">
        <f>_xlfn.LET(
  _xlpm.result, _xlfn.XLOOKUP($B19, Result_Database!$A$2:$A$500, Result_Database!Q$2:Q$500),
  _xlfn.IFNA(_xlpm.result, "")
)</f>
        <v/>
      </c>
      <c r="S19" t="str">
        <f>_xlfn.LET(
  _xlpm.result, _xlfn.XLOOKUP($B19, Result_Database!$A$2:$A$500, Result_Database!R$2:R$500),
  _xlfn.IFNA(_xlpm.result, "")
)</f>
        <v/>
      </c>
      <c r="T19" t="str">
        <f>_xlfn.LET(
  _xlpm.result, _xlfn.XLOOKUP($B19, Result_Database!$A$2:$A$500, Result_Database!S$2:S$500),
  _xlfn.IFNA(_xlpm.result, "")
)</f>
        <v/>
      </c>
      <c r="U19" t="str">
        <f>_xlfn.LET(
  _xlpm.result, _xlfn.XLOOKUP($B19, Result_Database!$A$2:$A$500, Result_Database!T$2:T$500),
  _xlfn.IFNA(_xlpm.result, "")
)</f>
        <v/>
      </c>
      <c r="V19" t="str">
        <f>_xlfn.LET(
  _xlpm.result, _xlfn.XLOOKUP($B19, Result_Database!$A$2:$A$500, Result_Database!U$2:U$500),
  _xlfn.IFNA(_xlpm.result, "")
)</f>
        <v/>
      </c>
      <c r="W19" t="str">
        <f>_xlfn.LET(
  _xlpm.result, _xlfn.XLOOKUP($B19, Result_Database!$A$2:$A$500, Result_Database!V$2:V$500),
  _xlfn.IFNA(_xlpm.result, "")
)</f>
        <v/>
      </c>
      <c r="X19" t="str">
        <f>_xlfn.LET(
  _xlpm.result, _xlfn.XLOOKUP($B19, Result_Database!$A$2:$A$500, Result_Database!W$2:W$500),
  _xlfn.IFNA(_xlpm.result, "")
)</f>
        <v/>
      </c>
      <c r="Y19" t="str">
        <f>_xlfn.LET(
  _xlpm.result, _xlfn.XLOOKUP($B19, Result_Database!$A$2:$A$500, Result_Database!X$2:X$500),
  _xlfn.IFNA(_xlpm.result, "")
)</f>
        <v/>
      </c>
      <c r="Z19" t="str">
        <f>_xlfn.LET(
  _xlpm.result, _xlfn.XLOOKUP($B19, Result_Database!$A$2:$A$500, Result_Database!Y$2:Y$500),
  _xlfn.IFNA(_xlpm.result, "")
)</f>
        <v/>
      </c>
      <c r="AA19" t="str">
        <f>_xlfn.LET(
  _xlpm.result, _xlfn.XLOOKUP($B19, Result_Database!$A$2:$A$500, Result_Database!Z$2:Z$500),
  _xlfn.IFNA(_xlpm.result, "")
)</f>
        <v/>
      </c>
      <c r="AB19" t="str">
        <f>_xlfn.LET(
  _xlpm.result, _xlfn.XLOOKUP($B19, Result_Database!$A$2:$A$500, Result_Database!AA$2:AA$500),
  _xlfn.IFNA(_xlpm.result, "")
)</f>
        <v/>
      </c>
      <c r="AC19" t="str">
        <f>_xlfn.LET(
  _xlpm.result, _xlfn.XLOOKUP($B19, Result_Database!$A$2:$A$500, Result_Database!AB$2:AB$500),
  _xlfn.IFNA(_xlpm.result, "")
)</f>
        <v/>
      </c>
      <c r="AD19" t="str">
        <f>_xlfn.LET(
  _xlpm.result, _xlfn.XLOOKUP($B19, Result_Database!$A$2:$A$500, Result_Database!AC$2:AC$500),
  _xlfn.IFNA(_xlpm.result, "")
)</f>
        <v/>
      </c>
      <c r="AE19" t="str">
        <f>_xlfn.LET(
  _xlpm.result, _xlfn.XLOOKUP($B19, Result_Database!$A$2:$A$500, Result_Database!AD$2:AD$500),
  _xlfn.IFNA(_xlpm.result, "")
)</f>
        <v/>
      </c>
      <c r="AF19" t="str">
        <f>_xlfn.LET(
  _xlpm.result, _xlfn.XLOOKUP($B19, Result_Database!$A$2:$A$500, Result_Database!AE$2:AE$500),
  _xlfn.IFNA(_xlpm.result, "")
)</f>
        <v/>
      </c>
      <c r="AG19" t="str">
        <f>_xlfn.LET(
  _xlpm.result, _xlfn.XLOOKUP($B19, Result_Database!$A$2:$A$500, Result_Database!AF$2:AF$500),
  _xlfn.IFNA(_xlpm.result, "")
)</f>
        <v/>
      </c>
      <c r="AH19" t="str">
        <f>_xlfn.LET(
  _xlpm.result, _xlfn.XLOOKUP($B19, Result_Database!$A$2:$A$500, Result_Database!AG$2:AG$500),
  _xlfn.IFNA(_xlpm.result, "")
)</f>
        <v/>
      </c>
      <c r="AI19" t="str">
        <f>_xlfn.LET(
  _xlpm.result, _xlfn.XLOOKUP($B19, Result_Database!$A$2:$A$500, Result_Database!AH$2:AH$500),
  _xlfn.IFNA(_xlpm.result, "")
)</f>
        <v/>
      </c>
      <c r="AJ19" t="str">
        <f>_xlfn.LET(
  _xlpm.result, _xlfn.XLOOKUP($B19, Result_Database!$A$2:$A$500, Result_Database!AI$2:AI$500),
  _xlfn.IFNA(_xlpm.result, "")
)</f>
        <v/>
      </c>
      <c r="AK19" t="str">
        <f>_xlfn.LET(
  _xlpm.result, _xlfn.XLOOKUP($B19, Result_Database!$A$2:$A$500, Result_Database!AJ$2:AJ$500),
  _xlfn.IFNA(_xlpm.result, "")
)</f>
        <v/>
      </c>
      <c r="AL19" t="str">
        <f>_xlfn.LET(
  _xlpm.result, _xlfn.XLOOKUP($B19, Result_Database!$A$2:$A$500, Result_Database!AK$2:AK$500),
  _xlfn.IFNA(_xlpm.result, "")
)</f>
        <v/>
      </c>
      <c r="AM1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9" t="str">
        <f>IF(SUM(Table5[[#This Row],[A1]:[C6]])&lt;&gt;0,SUM(Table5[[#This Row],[A1]:[C6]]),"")</f>
        <v/>
      </c>
      <c r="AW19" t="str">
        <f>IF(SUM(Table5[[#This Row],[D7]:[F9]])=0,"",SUM(Table5[[#This Row],[D7]:[F9]]))</f>
        <v/>
      </c>
      <c r="AX1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9" t="str">
        <f>IF(COUNTIF(Table5[[#This Row],[English Language]:[Electrical/ Electronics]],"WITHHELD")=0,"",COUNTIF(Table5[[#This Row],[English Language]:[Electrical/ Electronics]],"WITHHELD"))</f>
        <v/>
      </c>
      <c r="BE19" t="str">
        <f>IF(SUM(Table5[[#This Row],[NO OF CREDITS]:[BELOW CREDITS]])=0,"",SUM(Table5[[#This Row],[NO OF CREDITS]:[BELOW CREDITS]]))</f>
        <v/>
      </c>
    </row>
    <row r="20" spans="1:57" x14ac:dyDescent="0.3">
      <c r="A20" t="str">
        <f>IF(B20&lt;&gt;"",COUNTA($B$6:B20),"")</f>
        <v/>
      </c>
      <c r="B20" t="str">
        <f>IF(Result_Database!A16="","",Result_Database!A16)</f>
        <v/>
      </c>
      <c r="C20" t="str">
        <f>_xlfn.LET(
_xlpm.result,_xlfn.XLOOKUP($B20,Result_Database!$A$2:$A$500,Result_Database!$B$2:$B$500),
_xlfn.IFNA(_xlpm.result,"")
)</f>
        <v/>
      </c>
      <c r="D20" t="str">
        <f>_xlfn.LET(
  _xlpm.result, _xlfn.XLOOKUP($B20, Result_Database!$A$2:$A$500, Result_Database!C$2:C$500),
  _xlfn.IFNA(_xlpm.result, "")
)</f>
        <v/>
      </c>
      <c r="E20" t="str">
        <f>_xlfn.LET(
  _xlpm.result, _xlfn.XLOOKUP($B20, Result_Database!$A$2:$A$500, Result_Database!D$2:D$500),
  _xlfn.IFNA(_xlpm.result, "")
)</f>
        <v/>
      </c>
      <c r="F20" t="str">
        <f>_xlfn.LET(
  _xlpm.result, _xlfn.XLOOKUP($B20, Result_Database!$A$2:$A$500, Result_Database!E$2:E$500),
  _xlfn.IFNA(_xlpm.result, "")
)</f>
        <v/>
      </c>
      <c r="G20" t="str">
        <f>_xlfn.LET(
  _xlpm.result, _xlfn.XLOOKUP($B20, Result_Database!$A$2:$A$500, Result_Database!F$2:F$500),
  _xlfn.IFNA(_xlpm.result, "")
)</f>
        <v/>
      </c>
      <c r="H20" t="str">
        <f>_xlfn.LET(
  _xlpm.result, _xlfn.XLOOKUP($B20, Result_Database!$A$2:$A$500, Result_Database!G$2:G$500),
  _xlfn.IFNA(_xlpm.result, "")
)</f>
        <v/>
      </c>
      <c r="I20" t="str">
        <f>_xlfn.LET(
  _xlpm.result, _xlfn.XLOOKUP($B20, Result_Database!$A$2:$A$500, Result_Database!H$2:H$500),
  _xlfn.IFNA(_xlpm.result, "")
)</f>
        <v/>
      </c>
      <c r="J20" t="str">
        <f>_xlfn.LET(
  _xlpm.result, _xlfn.XLOOKUP($B20, Result_Database!$A$2:$A$500, Result_Database!I$2:I$500),
  _xlfn.IFNA(_xlpm.result, "")
)</f>
        <v/>
      </c>
      <c r="K20" t="str">
        <f>_xlfn.LET(
  _xlpm.result, _xlfn.XLOOKUP($B20, Result_Database!$A$2:$A$500, Result_Database!J$2:J$500),
  _xlfn.IFNA(_xlpm.result, "")
)</f>
        <v/>
      </c>
      <c r="L20" t="str">
        <f>_xlfn.LET(
  _xlpm.result, _xlfn.XLOOKUP($B20, Result_Database!$A$2:$A$500, Result_Database!K$2:K$500),
  _xlfn.IFNA(_xlpm.result, "")
)</f>
        <v/>
      </c>
      <c r="M20" t="str">
        <f>_xlfn.LET(
  _xlpm.result, _xlfn.XLOOKUP($B20, Result_Database!$A$2:$A$500, Result_Database!L$2:L$500),
  _xlfn.IFNA(_xlpm.result, "")
)</f>
        <v/>
      </c>
      <c r="N20" t="str">
        <f>_xlfn.LET(
  _xlpm.result, _xlfn.XLOOKUP($B20, Result_Database!$A$2:$A$500, Result_Database!M$2:M$500),
  _xlfn.IFNA(_xlpm.result, "")
)</f>
        <v/>
      </c>
      <c r="O20" t="str">
        <f>_xlfn.LET(
  _xlpm.result, _xlfn.XLOOKUP($B20, Result_Database!$A$2:$A$500, Result_Database!N$2:N$500),
  _xlfn.IFNA(_xlpm.result, "")
)</f>
        <v/>
      </c>
      <c r="P20" t="str">
        <f>_xlfn.LET(
  _xlpm.result, _xlfn.XLOOKUP($B20, Result_Database!$A$2:$A$500, Result_Database!O$2:O$500),
  _xlfn.IFNA(_xlpm.result, "")
)</f>
        <v/>
      </c>
      <c r="Q20" t="str">
        <f>_xlfn.LET(
  _xlpm.result, _xlfn.XLOOKUP($B20, Result_Database!$A$2:$A$500, Result_Database!P$2:P$500),
  _xlfn.IFNA(_xlpm.result, "")
)</f>
        <v/>
      </c>
      <c r="R20" t="str">
        <f>_xlfn.LET(
  _xlpm.result, _xlfn.XLOOKUP($B20, Result_Database!$A$2:$A$500, Result_Database!Q$2:Q$500),
  _xlfn.IFNA(_xlpm.result, "")
)</f>
        <v/>
      </c>
      <c r="S20" t="str">
        <f>_xlfn.LET(
  _xlpm.result, _xlfn.XLOOKUP($B20, Result_Database!$A$2:$A$500, Result_Database!R$2:R$500),
  _xlfn.IFNA(_xlpm.result, "")
)</f>
        <v/>
      </c>
      <c r="T20" t="str">
        <f>_xlfn.LET(
  _xlpm.result, _xlfn.XLOOKUP($B20, Result_Database!$A$2:$A$500, Result_Database!S$2:S$500),
  _xlfn.IFNA(_xlpm.result, "")
)</f>
        <v/>
      </c>
      <c r="U20" t="str">
        <f>_xlfn.LET(
  _xlpm.result, _xlfn.XLOOKUP($B20, Result_Database!$A$2:$A$500, Result_Database!T$2:T$500),
  _xlfn.IFNA(_xlpm.result, "")
)</f>
        <v/>
      </c>
      <c r="V20" t="str">
        <f>_xlfn.LET(
  _xlpm.result, _xlfn.XLOOKUP($B20, Result_Database!$A$2:$A$500, Result_Database!U$2:U$500),
  _xlfn.IFNA(_xlpm.result, "")
)</f>
        <v/>
      </c>
      <c r="W20" t="str">
        <f>_xlfn.LET(
  _xlpm.result, _xlfn.XLOOKUP($B20, Result_Database!$A$2:$A$500, Result_Database!V$2:V$500),
  _xlfn.IFNA(_xlpm.result, "")
)</f>
        <v/>
      </c>
      <c r="X20" t="str">
        <f>_xlfn.LET(
  _xlpm.result, _xlfn.XLOOKUP($B20, Result_Database!$A$2:$A$500, Result_Database!W$2:W$500),
  _xlfn.IFNA(_xlpm.result, "")
)</f>
        <v/>
      </c>
      <c r="Y20" t="str">
        <f>_xlfn.LET(
  _xlpm.result, _xlfn.XLOOKUP($B20, Result_Database!$A$2:$A$500, Result_Database!X$2:X$500),
  _xlfn.IFNA(_xlpm.result, "")
)</f>
        <v/>
      </c>
      <c r="Z20" t="str">
        <f>_xlfn.LET(
  _xlpm.result, _xlfn.XLOOKUP($B20, Result_Database!$A$2:$A$500, Result_Database!Y$2:Y$500),
  _xlfn.IFNA(_xlpm.result, "")
)</f>
        <v/>
      </c>
      <c r="AA20" t="str">
        <f>_xlfn.LET(
  _xlpm.result, _xlfn.XLOOKUP($B20, Result_Database!$A$2:$A$500, Result_Database!Z$2:Z$500),
  _xlfn.IFNA(_xlpm.result, "")
)</f>
        <v/>
      </c>
      <c r="AB20" t="str">
        <f>_xlfn.LET(
  _xlpm.result, _xlfn.XLOOKUP($B20, Result_Database!$A$2:$A$500, Result_Database!AA$2:AA$500),
  _xlfn.IFNA(_xlpm.result, "")
)</f>
        <v/>
      </c>
      <c r="AC20" t="str">
        <f>_xlfn.LET(
  _xlpm.result, _xlfn.XLOOKUP($B20, Result_Database!$A$2:$A$500, Result_Database!AB$2:AB$500),
  _xlfn.IFNA(_xlpm.result, "")
)</f>
        <v/>
      </c>
      <c r="AD20" t="str">
        <f>_xlfn.LET(
  _xlpm.result, _xlfn.XLOOKUP($B20, Result_Database!$A$2:$A$500, Result_Database!AC$2:AC$500),
  _xlfn.IFNA(_xlpm.result, "")
)</f>
        <v/>
      </c>
      <c r="AE20" t="str">
        <f>_xlfn.LET(
  _xlpm.result, _xlfn.XLOOKUP($B20, Result_Database!$A$2:$A$500, Result_Database!AD$2:AD$500),
  _xlfn.IFNA(_xlpm.result, "")
)</f>
        <v/>
      </c>
      <c r="AF20" t="str">
        <f>_xlfn.LET(
  _xlpm.result, _xlfn.XLOOKUP($B20, Result_Database!$A$2:$A$500, Result_Database!AE$2:AE$500),
  _xlfn.IFNA(_xlpm.result, "")
)</f>
        <v/>
      </c>
      <c r="AG20" t="str">
        <f>_xlfn.LET(
  _xlpm.result, _xlfn.XLOOKUP($B20, Result_Database!$A$2:$A$500, Result_Database!AF$2:AF$500),
  _xlfn.IFNA(_xlpm.result, "")
)</f>
        <v/>
      </c>
      <c r="AH20" t="str">
        <f>_xlfn.LET(
  _xlpm.result, _xlfn.XLOOKUP($B20, Result_Database!$A$2:$A$500, Result_Database!AG$2:AG$500),
  _xlfn.IFNA(_xlpm.result, "")
)</f>
        <v/>
      </c>
      <c r="AI20" t="str">
        <f>_xlfn.LET(
  _xlpm.result, _xlfn.XLOOKUP($B20, Result_Database!$A$2:$A$500, Result_Database!AH$2:AH$500),
  _xlfn.IFNA(_xlpm.result, "")
)</f>
        <v/>
      </c>
      <c r="AJ20" t="str">
        <f>_xlfn.LET(
  _xlpm.result, _xlfn.XLOOKUP($B20, Result_Database!$A$2:$A$500, Result_Database!AI$2:AI$500),
  _xlfn.IFNA(_xlpm.result, "")
)</f>
        <v/>
      </c>
      <c r="AK20" t="str">
        <f>_xlfn.LET(
  _xlpm.result, _xlfn.XLOOKUP($B20, Result_Database!$A$2:$A$500, Result_Database!AJ$2:AJ$500),
  _xlfn.IFNA(_xlpm.result, "")
)</f>
        <v/>
      </c>
      <c r="AL20" t="str">
        <f>_xlfn.LET(
  _xlpm.result, _xlfn.XLOOKUP($B20, Result_Database!$A$2:$A$500, Result_Database!AK$2:AK$500),
  _xlfn.IFNA(_xlpm.result, "")
)</f>
        <v/>
      </c>
      <c r="AM2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0" t="str">
        <f>IF(SUM(Table5[[#This Row],[A1]:[C6]])&lt;&gt;0,SUM(Table5[[#This Row],[A1]:[C6]]),"")</f>
        <v/>
      </c>
      <c r="AW20" t="str">
        <f>IF(SUM(Table5[[#This Row],[D7]:[F9]])=0,"",SUM(Table5[[#This Row],[D7]:[F9]]))</f>
        <v/>
      </c>
      <c r="AX2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0" t="str">
        <f>IF(COUNTIF(Table5[[#This Row],[English Language]:[Electrical/ Electronics]],"WITHHELD")=0,"",COUNTIF(Table5[[#This Row],[English Language]:[Electrical/ Electronics]],"WITHHELD"))</f>
        <v/>
      </c>
      <c r="BE20" t="str">
        <f>IF(SUM(Table5[[#This Row],[NO OF CREDITS]:[BELOW CREDITS]])=0,"",SUM(Table5[[#This Row],[NO OF CREDITS]:[BELOW CREDITS]]))</f>
        <v/>
      </c>
    </row>
    <row r="21" spans="1:57" x14ac:dyDescent="0.3">
      <c r="A21" t="str">
        <f>IF(B21&lt;&gt;"",COUNTA($B$6:B21),"")</f>
        <v/>
      </c>
      <c r="B21" t="str">
        <f>IF(Result_Database!A17="","",Result_Database!A17)</f>
        <v/>
      </c>
      <c r="C21" t="str">
        <f>_xlfn.LET(
_xlpm.result,_xlfn.XLOOKUP($B21,Result_Database!$A$2:$A$500,Result_Database!$B$2:$B$500),
_xlfn.IFNA(_xlpm.result,"")
)</f>
        <v/>
      </c>
      <c r="D21" t="str">
        <f>_xlfn.LET(
  _xlpm.result, _xlfn.XLOOKUP($B21, Result_Database!$A$2:$A$500, Result_Database!C$2:C$500),
  _xlfn.IFNA(_xlpm.result, "")
)</f>
        <v/>
      </c>
      <c r="E21" t="str">
        <f>_xlfn.LET(
  _xlpm.result, _xlfn.XLOOKUP($B21, Result_Database!$A$2:$A$500, Result_Database!D$2:D$500),
  _xlfn.IFNA(_xlpm.result, "")
)</f>
        <v/>
      </c>
      <c r="F21" t="str">
        <f>_xlfn.LET(
  _xlpm.result, _xlfn.XLOOKUP($B21, Result_Database!$A$2:$A$500, Result_Database!E$2:E$500),
  _xlfn.IFNA(_xlpm.result, "")
)</f>
        <v/>
      </c>
      <c r="G21" t="str">
        <f>_xlfn.LET(
  _xlpm.result, _xlfn.XLOOKUP($B21, Result_Database!$A$2:$A$500, Result_Database!F$2:F$500),
  _xlfn.IFNA(_xlpm.result, "")
)</f>
        <v/>
      </c>
      <c r="H21" t="str">
        <f>_xlfn.LET(
  _xlpm.result, _xlfn.XLOOKUP($B21, Result_Database!$A$2:$A$500, Result_Database!G$2:G$500),
  _xlfn.IFNA(_xlpm.result, "")
)</f>
        <v/>
      </c>
      <c r="I21" t="str">
        <f>_xlfn.LET(
  _xlpm.result, _xlfn.XLOOKUP($B21, Result_Database!$A$2:$A$500, Result_Database!H$2:H$500),
  _xlfn.IFNA(_xlpm.result, "")
)</f>
        <v/>
      </c>
      <c r="J21" t="str">
        <f>_xlfn.LET(
  _xlpm.result, _xlfn.XLOOKUP($B21, Result_Database!$A$2:$A$500, Result_Database!I$2:I$500),
  _xlfn.IFNA(_xlpm.result, "")
)</f>
        <v/>
      </c>
      <c r="K21" t="str">
        <f>_xlfn.LET(
  _xlpm.result, _xlfn.XLOOKUP($B21, Result_Database!$A$2:$A$500, Result_Database!J$2:J$500),
  _xlfn.IFNA(_xlpm.result, "")
)</f>
        <v/>
      </c>
      <c r="L21" t="str">
        <f>_xlfn.LET(
  _xlpm.result, _xlfn.XLOOKUP($B21, Result_Database!$A$2:$A$500, Result_Database!K$2:K$500),
  _xlfn.IFNA(_xlpm.result, "")
)</f>
        <v/>
      </c>
      <c r="M21" t="str">
        <f>_xlfn.LET(
  _xlpm.result, _xlfn.XLOOKUP($B21, Result_Database!$A$2:$A$500, Result_Database!L$2:L$500),
  _xlfn.IFNA(_xlpm.result, "")
)</f>
        <v/>
      </c>
      <c r="N21" t="str">
        <f>_xlfn.LET(
  _xlpm.result, _xlfn.XLOOKUP($B21, Result_Database!$A$2:$A$500, Result_Database!M$2:M$500),
  _xlfn.IFNA(_xlpm.result, "")
)</f>
        <v/>
      </c>
      <c r="O21" t="str">
        <f>_xlfn.LET(
  _xlpm.result, _xlfn.XLOOKUP($B21, Result_Database!$A$2:$A$500, Result_Database!N$2:N$500),
  _xlfn.IFNA(_xlpm.result, "")
)</f>
        <v/>
      </c>
      <c r="P21" t="str">
        <f>_xlfn.LET(
  _xlpm.result, _xlfn.XLOOKUP($B21, Result_Database!$A$2:$A$500, Result_Database!O$2:O$500),
  _xlfn.IFNA(_xlpm.result, "")
)</f>
        <v/>
      </c>
      <c r="Q21" t="str">
        <f>_xlfn.LET(
  _xlpm.result, _xlfn.XLOOKUP($B21, Result_Database!$A$2:$A$500, Result_Database!P$2:P$500),
  _xlfn.IFNA(_xlpm.result, "")
)</f>
        <v/>
      </c>
      <c r="R21" t="str">
        <f>_xlfn.LET(
  _xlpm.result, _xlfn.XLOOKUP($B21, Result_Database!$A$2:$A$500, Result_Database!Q$2:Q$500),
  _xlfn.IFNA(_xlpm.result, "")
)</f>
        <v/>
      </c>
      <c r="S21" t="str">
        <f>_xlfn.LET(
  _xlpm.result, _xlfn.XLOOKUP($B21, Result_Database!$A$2:$A$500, Result_Database!R$2:R$500),
  _xlfn.IFNA(_xlpm.result, "")
)</f>
        <v/>
      </c>
      <c r="T21" t="str">
        <f>_xlfn.LET(
  _xlpm.result, _xlfn.XLOOKUP($B21, Result_Database!$A$2:$A$500, Result_Database!S$2:S$500),
  _xlfn.IFNA(_xlpm.result, "")
)</f>
        <v/>
      </c>
      <c r="U21" t="str">
        <f>_xlfn.LET(
  _xlpm.result, _xlfn.XLOOKUP($B21, Result_Database!$A$2:$A$500, Result_Database!T$2:T$500),
  _xlfn.IFNA(_xlpm.result, "")
)</f>
        <v/>
      </c>
      <c r="V21" t="str">
        <f>_xlfn.LET(
  _xlpm.result, _xlfn.XLOOKUP($B21, Result_Database!$A$2:$A$500, Result_Database!U$2:U$500),
  _xlfn.IFNA(_xlpm.result, "")
)</f>
        <v/>
      </c>
      <c r="W21" t="str">
        <f>_xlfn.LET(
  _xlpm.result, _xlfn.XLOOKUP($B21, Result_Database!$A$2:$A$500, Result_Database!V$2:V$500),
  _xlfn.IFNA(_xlpm.result, "")
)</f>
        <v/>
      </c>
      <c r="X21" t="str">
        <f>_xlfn.LET(
  _xlpm.result, _xlfn.XLOOKUP($B21, Result_Database!$A$2:$A$500, Result_Database!W$2:W$500),
  _xlfn.IFNA(_xlpm.result, "")
)</f>
        <v/>
      </c>
      <c r="Y21" t="str">
        <f>_xlfn.LET(
  _xlpm.result, _xlfn.XLOOKUP($B21, Result_Database!$A$2:$A$500, Result_Database!X$2:X$500),
  _xlfn.IFNA(_xlpm.result, "")
)</f>
        <v/>
      </c>
      <c r="Z21" t="str">
        <f>_xlfn.LET(
  _xlpm.result, _xlfn.XLOOKUP($B21, Result_Database!$A$2:$A$500, Result_Database!Y$2:Y$500),
  _xlfn.IFNA(_xlpm.result, "")
)</f>
        <v/>
      </c>
      <c r="AA21" t="str">
        <f>_xlfn.LET(
  _xlpm.result, _xlfn.XLOOKUP($B21, Result_Database!$A$2:$A$500, Result_Database!Z$2:Z$500),
  _xlfn.IFNA(_xlpm.result, "")
)</f>
        <v/>
      </c>
      <c r="AB21" t="str">
        <f>_xlfn.LET(
  _xlpm.result, _xlfn.XLOOKUP($B21, Result_Database!$A$2:$A$500, Result_Database!AA$2:AA$500),
  _xlfn.IFNA(_xlpm.result, "")
)</f>
        <v/>
      </c>
      <c r="AC21" t="str">
        <f>_xlfn.LET(
  _xlpm.result, _xlfn.XLOOKUP($B21, Result_Database!$A$2:$A$500, Result_Database!AB$2:AB$500),
  _xlfn.IFNA(_xlpm.result, "")
)</f>
        <v/>
      </c>
      <c r="AD21" t="str">
        <f>_xlfn.LET(
  _xlpm.result, _xlfn.XLOOKUP($B21, Result_Database!$A$2:$A$500, Result_Database!AC$2:AC$500),
  _xlfn.IFNA(_xlpm.result, "")
)</f>
        <v/>
      </c>
      <c r="AE21" t="str">
        <f>_xlfn.LET(
  _xlpm.result, _xlfn.XLOOKUP($B21, Result_Database!$A$2:$A$500, Result_Database!AD$2:AD$500),
  _xlfn.IFNA(_xlpm.result, "")
)</f>
        <v/>
      </c>
      <c r="AF21" t="str">
        <f>_xlfn.LET(
  _xlpm.result, _xlfn.XLOOKUP($B21, Result_Database!$A$2:$A$500, Result_Database!AE$2:AE$500),
  _xlfn.IFNA(_xlpm.result, "")
)</f>
        <v/>
      </c>
      <c r="AG21" t="str">
        <f>_xlfn.LET(
  _xlpm.result, _xlfn.XLOOKUP($B21, Result_Database!$A$2:$A$500, Result_Database!AF$2:AF$500),
  _xlfn.IFNA(_xlpm.result, "")
)</f>
        <v/>
      </c>
      <c r="AH21" t="str">
        <f>_xlfn.LET(
  _xlpm.result, _xlfn.XLOOKUP($B21, Result_Database!$A$2:$A$500, Result_Database!AG$2:AG$500),
  _xlfn.IFNA(_xlpm.result, "")
)</f>
        <v/>
      </c>
      <c r="AI21" t="str">
        <f>_xlfn.LET(
  _xlpm.result, _xlfn.XLOOKUP($B21, Result_Database!$A$2:$A$500, Result_Database!AH$2:AH$500),
  _xlfn.IFNA(_xlpm.result, "")
)</f>
        <v/>
      </c>
      <c r="AJ21" t="str">
        <f>_xlfn.LET(
  _xlpm.result, _xlfn.XLOOKUP($B21, Result_Database!$A$2:$A$500, Result_Database!AI$2:AI$500),
  _xlfn.IFNA(_xlpm.result, "")
)</f>
        <v/>
      </c>
      <c r="AK21" t="str">
        <f>_xlfn.LET(
  _xlpm.result, _xlfn.XLOOKUP($B21, Result_Database!$A$2:$A$500, Result_Database!AJ$2:AJ$500),
  _xlfn.IFNA(_xlpm.result, "")
)</f>
        <v/>
      </c>
      <c r="AL21" t="str">
        <f>_xlfn.LET(
  _xlpm.result, _xlfn.XLOOKUP($B21, Result_Database!$A$2:$A$500, Result_Database!AK$2:AK$500),
  _xlfn.IFNA(_xlpm.result, "")
)</f>
        <v/>
      </c>
      <c r="AM2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1" t="str">
        <f>IF(SUM(Table5[[#This Row],[A1]:[C6]])&lt;&gt;0,SUM(Table5[[#This Row],[A1]:[C6]]),"")</f>
        <v/>
      </c>
      <c r="AW21" t="str">
        <f>IF(SUM(Table5[[#This Row],[D7]:[F9]])=0,"",SUM(Table5[[#This Row],[D7]:[F9]]))</f>
        <v/>
      </c>
      <c r="AX2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1" t="str">
        <f>IF(COUNTIF(Table5[[#This Row],[English Language]:[Electrical/ Electronics]],"WITHHELD")=0,"",COUNTIF(Table5[[#This Row],[English Language]:[Electrical/ Electronics]],"WITHHELD"))</f>
        <v/>
      </c>
      <c r="BE21" t="str">
        <f>IF(SUM(Table5[[#This Row],[NO OF CREDITS]:[BELOW CREDITS]])=0,"",SUM(Table5[[#This Row],[NO OF CREDITS]:[BELOW CREDITS]]))</f>
        <v/>
      </c>
    </row>
    <row r="22" spans="1:57" x14ac:dyDescent="0.3">
      <c r="A22" t="str">
        <f>IF(B22&lt;&gt;"",COUNTA($B$6:B22),"")</f>
        <v/>
      </c>
      <c r="B22" t="str">
        <f>IF(Result_Database!A18="","",Result_Database!A18)</f>
        <v/>
      </c>
      <c r="C22" t="str">
        <f>_xlfn.LET(
_xlpm.result,_xlfn.XLOOKUP($B22,Result_Database!$A$2:$A$500,Result_Database!$B$2:$B$500),
_xlfn.IFNA(_xlpm.result,"")
)</f>
        <v/>
      </c>
      <c r="D22" t="str">
        <f>_xlfn.LET(
  _xlpm.result, _xlfn.XLOOKUP($B22, Result_Database!$A$2:$A$500, Result_Database!C$2:C$500),
  _xlfn.IFNA(_xlpm.result, "")
)</f>
        <v/>
      </c>
      <c r="E22" t="str">
        <f>_xlfn.LET(
  _xlpm.result, _xlfn.XLOOKUP($B22, Result_Database!$A$2:$A$500, Result_Database!D$2:D$500),
  _xlfn.IFNA(_xlpm.result, "")
)</f>
        <v/>
      </c>
      <c r="F22" t="str">
        <f>_xlfn.LET(
  _xlpm.result, _xlfn.XLOOKUP($B22, Result_Database!$A$2:$A$500, Result_Database!E$2:E$500),
  _xlfn.IFNA(_xlpm.result, "")
)</f>
        <v/>
      </c>
      <c r="G22" t="str">
        <f>_xlfn.LET(
  _xlpm.result, _xlfn.XLOOKUP($B22, Result_Database!$A$2:$A$500, Result_Database!F$2:F$500),
  _xlfn.IFNA(_xlpm.result, "")
)</f>
        <v/>
      </c>
      <c r="H22" t="str">
        <f>_xlfn.LET(
  _xlpm.result, _xlfn.XLOOKUP($B22, Result_Database!$A$2:$A$500, Result_Database!G$2:G$500),
  _xlfn.IFNA(_xlpm.result, "")
)</f>
        <v/>
      </c>
      <c r="I22" t="str">
        <f>_xlfn.LET(
  _xlpm.result, _xlfn.XLOOKUP($B22, Result_Database!$A$2:$A$500, Result_Database!H$2:H$500),
  _xlfn.IFNA(_xlpm.result, "")
)</f>
        <v/>
      </c>
      <c r="J22" t="str">
        <f>_xlfn.LET(
  _xlpm.result, _xlfn.XLOOKUP($B22, Result_Database!$A$2:$A$500, Result_Database!I$2:I$500),
  _xlfn.IFNA(_xlpm.result, "")
)</f>
        <v/>
      </c>
      <c r="K22" t="str">
        <f>_xlfn.LET(
  _xlpm.result, _xlfn.XLOOKUP($B22, Result_Database!$A$2:$A$500, Result_Database!J$2:J$500),
  _xlfn.IFNA(_xlpm.result, "")
)</f>
        <v/>
      </c>
      <c r="L22" t="str">
        <f>_xlfn.LET(
  _xlpm.result, _xlfn.XLOOKUP($B22, Result_Database!$A$2:$A$500, Result_Database!K$2:K$500),
  _xlfn.IFNA(_xlpm.result, "")
)</f>
        <v/>
      </c>
      <c r="M22" t="str">
        <f>_xlfn.LET(
  _xlpm.result, _xlfn.XLOOKUP($B22, Result_Database!$A$2:$A$500, Result_Database!L$2:L$500),
  _xlfn.IFNA(_xlpm.result, "")
)</f>
        <v/>
      </c>
      <c r="N22" t="str">
        <f>_xlfn.LET(
  _xlpm.result, _xlfn.XLOOKUP($B22, Result_Database!$A$2:$A$500, Result_Database!M$2:M$500),
  _xlfn.IFNA(_xlpm.result, "")
)</f>
        <v/>
      </c>
      <c r="O22" t="str">
        <f>_xlfn.LET(
  _xlpm.result, _xlfn.XLOOKUP($B22, Result_Database!$A$2:$A$500, Result_Database!N$2:N$500),
  _xlfn.IFNA(_xlpm.result, "")
)</f>
        <v/>
      </c>
      <c r="P22" t="str">
        <f>_xlfn.LET(
  _xlpm.result, _xlfn.XLOOKUP($B22, Result_Database!$A$2:$A$500, Result_Database!O$2:O$500),
  _xlfn.IFNA(_xlpm.result, "")
)</f>
        <v/>
      </c>
      <c r="Q22" t="str">
        <f>_xlfn.LET(
  _xlpm.result, _xlfn.XLOOKUP($B22, Result_Database!$A$2:$A$500, Result_Database!P$2:P$500),
  _xlfn.IFNA(_xlpm.result, "")
)</f>
        <v/>
      </c>
      <c r="R22" t="str">
        <f>_xlfn.LET(
  _xlpm.result, _xlfn.XLOOKUP($B22, Result_Database!$A$2:$A$500, Result_Database!Q$2:Q$500),
  _xlfn.IFNA(_xlpm.result, "")
)</f>
        <v/>
      </c>
      <c r="S22" t="str">
        <f>_xlfn.LET(
  _xlpm.result, _xlfn.XLOOKUP($B22, Result_Database!$A$2:$A$500, Result_Database!R$2:R$500),
  _xlfn.IFNA(_xlpm.result, "")
)</f>
        <v/>
      </c>
      <c r="T22" t="str">
        <f>_xlfn.LET(
  _xlpm.result, _xlfn.XLOOKUP($B22, Result_Database!$A$2:$A$500, Result_Database!S$2:S$500),
  _xlfn.IFNA(_xlpm.result, "")
)</f>
        <v/>
      </c>
      <c r="U22" t="str">
        <f>_xlfn.LET(
  _xlpm.result, _xlfn.XLOOKUP($B22, Result_Database!$A$2:$A$500, Result_Database!T$2:T$500),
  _xlfn.IFNA(_xlpm.result, "")
)</f>
        <v/>
      </c>
      <c r="V22" t="str">
        <f>_xlfn.LET(
  _xlpm.result, _xlfn.XLOOKUP($B22, Result_Database!$A$2:$A$500, Result_Database!U$2:U$500),
  _xlfn.IFNA(_xlpm.result, "")
)</f>
        <v/>
      </c>
      <c r="W22" t="str">
        <f>_xlfn.LET(
  _xlpm.result, _xlfn.XLOOKUP($B22, Result_Database!$A$2:$A$500, Result_Database!V$2:V$500),
  _xlfn.IFNA(_xlpm.result, "")
)</f>
        <v/>
      </c>
      <c r="X22" t="str">
        <f>_xlfn.LET(
  _xlpm.result, _xlfn.XLOOKUP($B22, Result_Database!$A$2:$A$500, Result_Database!W$2:W$500),
  _xlfn.IFNA(_xlpm.result, "")
)</f>
        <v/>
      </c>
      <c r="Y22" t="str">
        <f>_xlfn.LET(
  _xlpm.result, _xlfn.XLOOKUP($B22, Result_Database!$A$2:$A$500, Result_Database!X$2:X$500),
  _xlfn.IFNA(_xlpm.result, "")
)</f>
        <v/>
      </c>
      <c r="Z22" t="str">
        <f>_xlfn.LET(
  _xlpm.result, _xlfn.XLOOKUP($B22, Result_Database!$A$2:$A$500, Result_Database!Y$2:Y$500),
  _xlfn.IFNA(_xlpm.result, "")
)</f>
        <v/>
      </c>
      <c r="AA22" t="str">
        <f>_xlfn.LET(
  _xlpm.result, _xlfn.XLOOKUP($B22, Result_Database!$A$2:$A$500, Result_Database!Z$2:Z$500),
  _xlfn.IFNA(_xlpm.result, "")
)</f>
        <v/>
      </c>
      <c r="AB22" t="str">
        <f>_xlfn.LET(
  _xlpm.result, _xlfn.XLOOKUP($B22, Result_Database!$A$2:$A$500, Result_Database!AA$2:AA$500),
  _xlfn.IFNA(_xlpm.result, "")
)</f>
        <v/>
      </c>
      <c r="AC22" t="str">
        <f>_xlfn.LET(
  _xlpm.result, _xlfn.XLOOKUP($B22, Result_Database!$A$2:$A$500, Result_Database!AB$2:AB$500),
  _xlfn.IFNA(_xlpm.result, "")
)</f>
        <v/>
      </c>
      <c r="AD22" t="str">
        <f>_xlfn.LET(
  _xlpm.result, _xlfn.XLOOKUP($B22, Result_Database!$A$2:$A$500, Result_Database!AC$2:AC$500),
  _xlfn.IFNA(_xlpm.result, "")
)</f>
        <v/>
      </c>
      <c r="AE22" t="str">
        <f>_xlfn.LET(
  _xlpm.result, _xlfn.XLOOKUP($B22, Result_Database!$A$2:$A$500, Result_Database!AD$2:AD$500),
  _xlfn.IFNA(_xlpm.result, "")
)</f>
        <v/>
      </c>
      <c r="AF22" t="str">
        <f>_xlfn.LET(
  _xlpm.result, _xlfn.XLOOKUP($B22, Result_Database!$A$2:$A$500, Result_Database!AE$2:AE$500),
  _xlfn.IFNA(_xlpm.result, "")
)</f>
        <v/>
      </c>
      <c r="AG22" t="str">
        <f>_xlfn.LET(
  _xlpm.result, _xlfn.XLOOKUP($B22, Result_Database!$A$2:$A$500, Result_Database!AF$2:AF$500),
  _xlfn.IFNA(_xlpm.result, "")
)</f>
        <v/>
      </c>
      <c r="AH22" t="str">
        <f>_xlfn.LET(
  _xlpm.result, _xlfn.XLOOKUP($B22, Result_Database!$A$2:$A$500, Result_Database!AG$2:AG$500),
  _xlfn.IFNA(_xlpm.result, "")
)</f>
        <v/>
      </c>
      <c r="AI22" t="str">
        <f>_xlfn.LET(
  _xlpm.result, _xlfn.XLOOKUP($B22, Result_Database!$A$2:$A$500, Result_Database!AH$2:AH$500),
  _xlfn.IFNA(_xlpm.result, "")
)</f>
        <v/>
      </c>
      <c r="AJ22" t="str">
        <f>_xlfn.LET(
  _xlpm.result, _xlfn.XLOOKUP($B22, Result_Database!$A$2:$A$500, Result_Database!AI$2:AI$500),
  _xlfn.IFNA(_xlpm.result, "")
)</f>
        <v/>
      </c>
      <c r="AK22" t="str">
        <f>_xlfn.LET(
  _xlpm.result, _xlfn.XLOOKUP($B22, Result_Database!$A$2:$A$500, Result_Database!AJ$2:AJ$500),
  _xlfn.IFNA(_xlpm.result, "")
)</f>
        <v/>
      </c>
      <c r="AL22" t="str">
        <f>_xlfn.LET(
  _xlpm.result, _xlfn.XLOOKUP($B22, Result_Database!$A$2:$A$500, Result_Database!AK$2:AK$500),
  _xlfn.IFNA(_xlpm.result, "")
)</f>
        <v/>
      </c>
      <c r="AM2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2" t="str">
        <f>IF(SUM(Table5[[#This Row],[A1]:[C6]])&lt;&gt;0,SUM(Table5[[#This Row],[A1]:[C6]]),"")</f>
        <v/>
      </c>
      <c r="AW22" t="str">
        <f>IF(SUM(Table5[[#This Row],[D7]:[F9]])=0,"",SUM(Table5[[#This Row],[D7]:[F9]]))</f>
        <v/>
      </c>
      <c r="AX2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2" t="str">
        <f>IF(COUNTIF(Table5[[#This Row],[English Language]:[Electrical/ Electronics]],"WITHHELD")=0,"",COUNTIF(Table5[[#This Row],[English Language]:[Electrical/ Electronics]],"WITHHELD"))</f>
        <v/>
      </c>
      <c r="BE22" t="str">
        <f>IF(SUM(Table5[[#This Row],[NO OF CREDITS]:[BELOW CREDITS]])=0,"",SUM(Table5[[#This Row],[NO OF CREDITS]:[BELOW CREDITS]]))</f>
        <v/>
      </c>
    </row>
    <row r="23" spans="1:57" x14ac:dyDescent="0.3">
      <c r="A23" t="str">
        <f>IF(B23&lt;&gt;"",COUNTA($B$6:B23),"")</f>
        <v/>
      </c>
      <c r="B23" t="str">
        <f>IF(Result_Database!A19="","",Result_Database!A19)</f>
        <v/>
      </c>
      <c r="C23" t="str">
        <f>_xlfn.LET(
_xlpm.result,_xlfn.XLOOKUP($B23,Result_Database!$A$2:$A$500,Result_Database!$B$2:$B$500),
_xlfn.IFNA(_xlpm.result,"")
)</f>
        <v/>
      </c>
      <c r="D23" t="str">
        <f>_xlfn.LET(
  _xlpm.result, _xlfn.XLOOKUP($B23, Result_Database!$A$2:$A$500, Result_Database!C$2:C$500),
  _xlfn.IFNA(_xlpm.result, "")
)</f>
        <v/>
      </c>
      <c r="E23" t="str">
        <f>_xlfn.LET(
  _xlpm.result, _xlfn.XLOOKUP($B23, Result_Database!$A$2:$A$500, Result_Database!D$2:D$500),
  _xlfn.IFNA(_xlpm.result, "")
)</f>
        <v/>
      </c>
      <c r="F23" t="str">
        <f>_xlfn.LET(
  _xlpm.result, _xlfn.XLOOKUP($B23, Result_Database!$A$2:$A$500, Result_Database!E$2:E$500),
  _xlfn.IFNA(_xlpm.result, "")
)</f>
        <v/>
      </c>
      <c r="G23" t="str">
        <f>_xlfn.LET(
  _xlpm.result, _xlfn.XLOOKUP($B23, Result_Database!$A$2:$A$500, Result_Database!F$2:F$500),
  _xlfn.IFNA(_xlpm.result, "")
)</f>
        <v/>
      </c>
      <c r="H23" t="str">
        <f>_xlfn.LET(
  _xlpm.result, _xlfn.XLOOKUP($B23, Result_Database!$A$2:$A$500, Result_Database!G$2:G$500),
  _xlfn.IFNA(_xlpm.result, "")
)</f>
        <v/>
      </c>
      <c r="I23" t="str">
        <f>_xlfn.LET(
  _xlpm.result, _xlfn.XLOOKUP($B23, Result_Database!$A$2:$A$500, Result_Database!H$2:H$500),
  _xlfn.IFNA(_xlpm.result, "")
)</f>
        <v/>
      </c>
      <c r="J23" t="str">
        <f>_xlfn.LET(
  _xlpm.result, _xlfn.XLOOKUP($B23, Result_Database!$A$2:$A$500, Result_Database!I$2:I$500),
  _xlfn.IFNA(_xlpm.result, "")
)</f>
        <v/>
      </c>
      <c r="K23" t="str">
        <f>_xlfn.LET(
  _xlpm.result, _xlfn.XLOOKUP($B23, Result_Database!$A$2:$A$500, Result_Database!J$2:J$500),
  _xlfn.IFNA(_xlpm.result, "")
)</f>
        <v/>
      </c>
      <c r="L23" t="str">
        <f>_xlfn.LET(
  _xlpm.result, _xlfn.XLOOKUP($B23, Result_Database!$A$2:$A$500, Result_Database!K$2:K$500),
  _xlfn.IFNA(_xlpm.result, "")
)</f>
        <v/>
      </c>
      <c r="M23" t="str">
        <f>_xlfn.LET(
  _xlpm.result, _xlfn.XLOOKUP($B23, Result_Database!$A$2:$A$500, Result_Database!L$2:L$500),
  _xlfn.IFNA(_xlpm.result, "")
)</f>
        <v/>
      </c>
      <c r="N23" t="str">
        <f>_xlfn.LET(
  _xlpm.result, _xlfn.XLOOKUP($B23, Result_Database!$A$2:$A$500, Result_Database!M$2:M$500),
  _xlfn.IFNA(_xlpm.result, "")
)</f>
        <v/>
      </c>
      <c r="O23" t="str">
        <f>_xlfn.LET(
  _xlpm.result, _xlfn.XLOOKUP($B23, Result_Database!$A$2:$A$500, Result_Database!N$2:N$500),
  _xlfn.IFNA(_xlpm.result, "")
)</f>
        <v/>
      </c>
      <c r="P23" t="str">
        <f>_xlfn.LET(
  _xlpm.result, _xlfn.XLOOKUP($B23, Result_Database!$A$2:$A$500, Result_Database!O$2:O$500),
  _xlfn.IFNA(_xlpm.result, "")
)</f>
        <v/>
      </c>
      <c r="Q23" t="str">
        <f>_xlfn.LET(
  _xlpm.result, _xlfn.XLOOKUP($B23, Result_Database!$A$2:$A$500, Result_Database!P$2:P$500),
  _xlfn.IFNA(_xlpm.result, "")
)</f>
        <v/>
      </c>
      <c r="R23" t="str">
        <f>_xlfn.LET(
  _xlpm.result, _xlfn.XLOOKUP($B23, Result_Database!$A$2:$A$500, Result_Database!Q$2:Q$500),
  _xlfn.IFNA(_xlpm.result, "")
)</f>
        <v/>
      </c>
      <c r="S23" t="str">
        <f>_xlfn.LET(
  _xlpm.result, _xlfn.XLOOKUP($B23, Result_Database!$A$2:$A$500, Result_Database!R$2:R$500),
  _xlfn.IFNA(_xlpm.result, "")
)</f>
        <v/>
      </c>
      <c r="T23" t="str">
        <f>_xlfn.LET(
  _xlpm.result, _xlfn.XLOOKUP($B23, Result_Database!$A$2:$A$500, Result_Database!S$2:S$500),
  _xlfn.IFNA(_xlpm.result, "")
)</f>
        <v/>
      </c>
      <c r="U23" t="str">
        <f>_xlfn.LET(
  _xlpm.result, _xlfn.XLOOKUP($B23, Result_Database!$A$2:$A$500, Result_Database!T$2:T$500),
  _xlfn.IFNA(_xlpm.result, "")
)</f>
        <v/>
      </c>
      <c r="V23" t="str">
        <f>_xlfn.LET(
  _xlpm.result, _xlfn.XLOOKUP($B23, Result_Database!$A$2:$A$500, Result_Database!U$2:U$500),
  _xlfn.IFNA(_xlpm.result, "")
)</f>
        <v/>
      </c>
      <c r="W23" t="str">
        <f>_xlfn.LET(
  _xlpm.result, _xlfn.XLOOKUP($B23, Result_Database!$A$2:$A$500, Result_Database!V$2:V$500),
  _xlfn.IFNA(_xlpm.result, "")
)</f>
        <v/>
      </c>
      <c r="X23" t="str">
        <f>_xlfn.LET(
  _xlpm.result, _xlfn.XLOOKUP($B23, Result_Database!$A$2:$A$500, Result_Database!W$2:W$500),
  _xlfn.IFNA(_xlpm.result, "")
)</f>
        <v/>
      </c>
      <c r="Y23" t="str">
        <f>_xlfn.LET(
  _xlpm.result, _xlfn.XLOOKUP($B23, Result_Database!$A$2:$A$500, Result_Database!X$2:X$500),
  _xlfn.IFNA(_xlpm.result, "")
)</f>
        <v/>
      </c>
      <c r="Z23" t="str">
        <f>_xlfn.LET(
  _xlpm.result, _xlfn.XLOOKUP($B23, Result_Database!$A$2:$A$500, Result_Database!Y$2:Y$500),
  _xlfn.IFNA(_xlpm.result, "")
)</f>
        <v/>
      </c>
      <c r="AA23" t="str">
        <f>_xlfn.LET(
  _xlpm.result, _xlfn.XLOOKUP($B23, Result_Database!$A$2:$A$500, Result_Database!Z$2:Z$500),
  _xlfn.IFNA(_xlpm.result, "")
)</f>
        <v/>
      </c>
      <c r="AB23" t="str">
        <f>_xlfn.LET(
  _xlpm.result, _xlfn.XLOOKUP($B23, Result_Database!$A$2:$A$500, Result_Database!AA$2:AA$500),
  _xlfn.IFNA(_xlpm.result, "")
)</f>
        <v/>
      </c>
      <c r="AC23" t="str">
        <f>_xlfn.LET(
  _xlpm.result, _xlfn.XLOOKUP($B23, Result_Database!$A$2:$A$500, Result_Database!AB$2:AB$500),
  _xlfn.IFNA(_xlpm.result, "")
)</f>
        <v/>
      </c>
      <c r="AD23" t="str">
        <f>_xlfn.LET(
  _xlpm.result, _xlfn.XLOOKUP($B23, Result_Database!$A$2:$A$500, Result_Database!AC$2:AC$500),
  _xlfn.IFNA(_xlpm.result, "")
)</f>
        <v/>
      </c>
      <c r="AE23" t="str">
        <f>_xlfn.LET(
  _xlpm.result, _xlfn.XLOOKUP($B23, Result_Database!$A$2:$A$500, Result_Database!AD$2:AD$500),
  _xlfn.IFNA(_xlpm.result, "")
)</f>
        <v/>
      </c>
      <c r="AF23" t="str">
        <f>_xlfn.LET(
  _xlpm.result, _xlfn.XLOOKUP($B23, Result_Database!$A$2:$A$500, Result_Database!AE$2:AE$500),
  _xlfn.IFNA(_xlpm.result, "")
)</f>
        <v/>
      </c>
      <c r="AG23" t="str">
        <f>_xlfn.LET(
  _xlpm.result, _xlfn.XLOOKUP($B23, Result_Database!$A$2:$A$500, Result_Database!AF$2:AF$500),
  _xlfn.IFNA(_xlpm.result, "")
)</f>
        <v/>
      </c>
      <c r="AH23" t="str">
        <f>_xlfn.LET(
  _xlpm.result, _xlfn.XLOOKUP($B23, Result_Database!$A$2:$A$500, Result_Database!AG$2:AG$500),
  _xlfn.IFNA(_xlpm.result, "")
)</f>
        <v/>
      </c>
      <c r="AI23" t="str">
        <f>_xlfn.LET(
  _xlpm.result, _xlfn.XLOOKUP($B23, Result_Database!$A$2:$A$500, Result_Database!AH$2:AH$500),
  _xlfn.IFNA(_xlpm.result, "")
)</f>
        <v/>
      </c>
      <c r="AJ23" t="str">
        <f>_xlfn.LET(
  _xlpm.result, _xlfn.XLOOKUP($B23, Result_Database!$A$2:$A$500, Result_Database!AI$2:AI$500),
  _xlfn.IFNA(_xlpm.result, "")
)</f>
        <v/>
      </c>
      <c r="AK23" t="str">
        <f>_xlfn.LET(
  _xlpm.result, _xlfn.XLOOKUP($B23, Result_Database!$A$2:$A$500, Result_Database!AJ$2:AJ$500),
  _xlfn.IFNA(_xlpm.result, "")
)</f>
        <v/>
      </c>
      <c r="AL23" t="str">
        <f>_xlfn.LET(
  _xlpm.result, _xlfn.XLOOKUP($B23, Result_Database!$A$2:$A$500, Result_Database!AK$2:AK$500),
  _xlfn.IFNA(_xlpm.result, "")
)</f>
        <v/>
      </c>
      <c r="AM2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3" t="str">
        <f>IF(SUM(Table5[[#This Row],[A1]:[C6]])&lt;&gt;0,SUM(Table5[[#This Row],[A1]:[C6]]),"")</f>
        <v/>
      </c>
      <c r="AW23" t="str">
        <f>IF(SUM(Table5[[#This Row],[D7]:[F9]])=0,"",SUM(Table5[[#This Row],[D7]:[F9]]))</f>
        <v/>
      </c>
      <c r="AX2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3" t="str">
        <f>IF(COUNTIF(Table5[[#This Row],[English Language]:[Electrical/ Electronics]],"WITHHELD")=0,"",COUNTIF(Table5[[#This Row],[English Language]:[Electrical/ Electronics]],"WITHHELD"))</f>
        <v/>
      </c>
      <c r="BE23" t="str">
        <f>IF(SUM(Table5[[#This Row],[NO OF CREDITS]:[BELOW CREDITS]])=0,"",SUM(Table5[[#This Row],[NO OF CREDITS]:[BELOW CREDITS]]))</f>
        <v/>
      </c>
    </row>
    <row r="24" spans="1:57" x14ac:dyDescent="0.3">
      <c r="A24" t="str">
        <f>IF(B24&lt;&gt;"",COUNTA($B$6:B24),"")</f>
        <v/>
      </c>
      <c r="B24" t="str">
        <f>IF(Result_Database!A20="","",Result_Database!A20)</f>
        <v/>
      </c>
      <c r="C24" t="str">
        <f>_xlfn.LET(
_xlpm.result,_xlfn.XLOOKUP($B24,Result_Database!$A$2:$A$500,Result_Database!$B$2:$B$500),
_xlfn.IFNA(_xlpm.result,"")
)</f>
        <v/>
      </c>
      <c r="D24" t="str">
        <f>_xlfn.LET(
  _xlpm.result, _xlfn.XLOOKUP($B24, Result_Database!$A$2:$A$500, Result_Database!C$2:C$500),
  _xlfn.IFNA(_xlpm.result, "")
)</f>
        <v/>
      </c>
      <c r="E24" t="str">
        <f>_xlfn.LET(
  _xlpm.result, _xlfn.XLOOKUP($B24, Result_Database!$A$2:$A$500, Result_Database!D$2:D$500),
  _xlfn.IFNA(_xlpm.result, "")
)</f>
        <v/>
      </c>
      <c r="F24" t="str">
        <f>_xlfn.LET(
  _xlpm.result, _xlfn.XLOOKUP($B24, Result_Database!$A$2:$A$500, Result_Database!E$2:E$500),
  _xlfn.IFNA(_xlpm.result, "")
)</f>
        <v/>
      </c>
      <c r="G24" t="str">
        <f>_xlfn.LET(
  _xlpm.result, _xlfn.XLOOKUP($B24, Result_Database!$A$2:$A$500, Result_Database!F$2:F$500),
  _xlfn.IFNA(_xlpm.result, "")
)</f>
        <v/>
      </c>
      <c r="H24" t="str">
        <f>_xlfn.LET(
  _xlpm.result, _xlfn.XLOOKUP($B24, Result_Database!$A$2:$A$500, Result_Database!G$2:G$500),
  _xlfn.IFNA(_xlpm.result, "")
)</f>
        <v/>
      </c>
      <c r="I24" t="str">
        <f>_xlfn.LET(
  _xlpm.result, _xlfn.XLOOKUP($B24, Result_Database!$A$2:$A$500, Result_Database!H$2:H$500),
  _xlfn.IFNA(_xlpm.result, "")
)</f>
        <v/>
      </c>
      <c r="J24" t="str">
        <f>_xlfn.LET(
  _xlpm.result, _xlfn.XLOOKUP($B24, Result_Database!$A$2:$A$500, Result_Database!I$2:I$500),
  _xlfn.IFNA(_xlpm.result, "")
)</f>
        <v/>
      </c>
      <c r="K24" t="str">
        <f>_xlfn.LET(
  _xlpm.result, _xlfn.XLOOKUP($B24, Result_Database!$A$2:$A$500, Result_Database!J$2:J$500),
  _xlfn.IFNA(_xlpm.result, "")
)</f>
        <v/>
      </c>
      <c r="L24" t="str">
        <f>_xlfn.LET(
  _xlpm.result, _xlfn.XLOOKUP($B24, Result_Database!$A$2:$A$500, Result_Database!K$2:K$500),
  _xlfn.IFNA(_xlpm.result, "")
)</f>
        <v/>
      </c>
      <c r="M24" t="str">
        <f>_xlfn.LET(
  _xlpm.result, _xlfn.XLOOKUP($B24, Result_Database!$A$2:$A$500, Result_Database!L$2:L$500),
  _xlfn.IFNA(_xlpm.result, "")
)</f>
        <v/>
      </c>
      <c r="N24" t="str">
        <f>_xlfn.LET(
  _xlpm.result, _xlfn.XLOOKUP($B24, Result_Database!$A$2:$A$500, Result_Database!M$2:M$500),
  _xlfn.IFNA(_xlpm.result, "")
)</f>
        <v/>
      </c>
      <c r="O24" t="str">
        <f>_xlfn.LET(
  _xlpm.result, _xlfn.XLOOKUP($B24, Result_Database!$A$2:$A$500, Result_Database!N$2:N$500),
  _xlfn.IFNA(_xlpm.result, "")
)</f>
        <v/>
      </c>
      <c r="P24" t="str">
        <f>_xlfn.LET(
  _xlpm.result, _xlfn.XLOOKUP($B24, Result_Database!$A$2:$A$500, Result_Database!O$2:O$500),
  _xlfn.IFNA(_xlpm.result, "")
)</f>
        <v/>
      </c>
      <c r="Q24" t="str">
        <f>_xlfn.LET(
  _xlpm.result, _xlfn.XLOOKUP($B24, Result_Database!$A$2:$A$500, Result_Database!P$2:P$500),
  _xlfn.IFNA(_xlpm.result, "")
)</f>
        <v/>
      </c>
      <c r="R24" t="str">
        <f>_xlfn.LET(
  _xlpm.result, _xlfn.XLOOKUP($B24, Result_Database!$A$2:$A$500, Result_Database!Q$2:Q$500),
  _xlfn.IFNA(_xlpm.result, "")
)</f>
        <v/>
      </c>
      <c r="S24" t="str">
        <f>_xlfn.LET(
  _xlpm.result, _xlfn.XLOOKUP($B24, Result_Database!$A$2:$A$500, Result_Database!R$2:R$500),
  _xlfn.IFNA(_xlpm.result, "")
)</f>
        <v/>
      </c>
      <c r="T24" t="str">
        <f>_xlfn.LET(
  _xlpm.result, _xlfn.XLOOKUP($B24, Result_Database!$A$2:$A$500, Result_Database!S$2:S$500),
  _xlfn.IFNA(_xlpm.result, "")
)</f>
        <v/>
      </c>
      <c r="U24" t="str">
        <f>_xlfn.LET(
  _xlpm.result, _xlfn.XLOOKUP($B24, Result_Database!$A$2:$A$500, Result_Database!T$2:T$500),
  _xlfn.IFNA(_xlpm.result, "")
)</f>
        <v/>
      </c>
      <c r="V24" t="str">
        <f>_xlfn.LET(
  _xlpm.result, _xlfn.XLOOKUP($B24, Result_Database!$A$2:$A$500, Result_Database!U$2:U$500),
  _xlfn.IFNA(_xlpm.result, "")
)</f>
        <v/>
      </c>
      <c r="W24" t="str">
        <f>_xlfn.LET(
  _xlpm.result, _xlfn.XLOOKUP($B24, Result_Database!$A$2:$A$500, Result_Database!V$2:V$500),
  _xlfn.IFNA(_xlpm.result, "")
)</f>
        <v/>
      </c>
      <c r="X24" t="str">
        <f>_xlfn.LET(
  _xlpm.result, _xlfn.XLOOKUP($B24, Result_Database!$A$2:$A$500, Result_Database!W$2:W$500),
  _xlfn.IFNA(_xlpm.result, "")
)</f>
        <v/>
      </c>
      <c r="Y24" t="str">
        <f>_xlfn.LET(
  _xlpm.result, _xlfn.XLOOKUP($B24, Result_Database!$A$2:$A$500, Result_Database!X$2:X$500),
  _xlfn.IFNA(_xlpm.result, "")
)</f>
        <v/>
      </c>
      <c r="Z24" t="str">
        <f>_xlfn.LET(
  _xlpm.result, _xlfn.XLOOKUP($B24, Result_Database!$A$2:$A$500, Result_Database!Y$2:Y$500),
  _xlfn.IFNA(_xlpm.result, "")
)</f>
        <v/>
      </c>
      <c r="AA24" t="str">
        <f>_xlfn.LET(
  _xlpm.result, _xlfn.XLOOKUP($B24, Result_Database!$A$2:$A$500, Result_Database!Z$2:Z$500),
  _xlfn.IFNA(_xlpm.result, "")
)</f>
        <v/>
      </c>
      <c r="AB24" t="str">
        <f>_xlfn.LET(
  _xlpm.result, _xlfn.XLOOKUP($B24, Result_Database!$A$2:$A$500, Result_Database!AA$2:AA$500),
  _xlfn.IFNA(_xlpm.result, "")
)</f>
        <v/>
      </c>
      <c r="AC24" t="str">
        <f>_xlfn.LET(
  _xlpm.result, _xlfn.XLOOKUP($B24, Result_Database!$A$2:$A$500, Result_Database!AB$2:AB$500),
  _xlfn.IFNA(_xlpm.result, "")
)</f>
        <v/>
      </c>
      <c r="AD24" t="str">
        <f>_xlfn.LET(
  _xlpm.result, _xlfn.XLOOKUP($B24, Result_Database!$A$2:$A$500, Result_Database!AC$2:AC$500),
  _xlfn.IFNA(_xlpm.result, "")
)</f>
        <v/>
      </c>
      <c r="AE24" t="str">
        <f>_xlfn.LET(
  _xlpm.result, _xlfn.XLOOKUP($B24, Result_Database!$A$2:$A$500, Result_Database!AD$2:AD$500),
  _xlfn.IFNA(_xlpm.result, "")
)</f>
        <v/>
      </c>
      <c r="AF24" t="str">
        <f>_xlfn.LET(
  _xlpm.result, _xlfn.XLOOKUP($B24, Result_Database!$A$2:$A$500, Result_Database!AE$2:AE$500),
  _xlfn.IFNA(_xlpm.result, "")
)</f>
        <v/>
      </c>
      <c r="AG24" t="str">
        <f>_xlfn.LET(
  _xlpm.result, _xlfn.XLOOKUP($B24, Result_Database!$A$2:$A$500, Result_Database!AF$2:AF$500),
  _xlfn.IFNA(_xlpm.result, "")
)</f>
        <v/>
      </c>
      <c r="AH24" t="str">
        <f>_xlfn.LET(
  _xlpm.result, _xlfn.XLOOKUP($B24, Result_Database!$A$2:$A$500, Result_Database!AG$2:AG$500),
  _xlfn.IFNA(_xlpm.result, "")
)</f>
        <v/>
      </c>
      <c r="AI24" t="str">
        <f>_xlfn.LET(
  _xlpm.result, _xlfn.XLOOKUP($B24, Result_Database!$A$2:$A$500, Result_Database!AH$2:AH$500),
  _xlfn.IFNA(_xlpm.result, "")
)</f>
        <v/>
      </c>
      <c r="AJ24" t="str">
        <f>_xlfn.LET(
  _xlpm.result, _xlfn.XLOOKUP($B24, Result_Database!$A$2:$A$500, Result_Database!AI$2:AI$500),
  _xlfn.IFNA(_xlpm.result, "")
)</f>
        <v/>
      </c>
      <c r="AK24" t="str">
        <f>_xlfn.LET(
  _xlpm.result, _xlfn.XLOOKUP($B24, Result_Database!$A$2:$A$500, Result_Database!AJ$2:AJ$500),
  _xlfn.IFNA(_xlpm.result, "")
)</f>
        <v/>
      </c>
      <c r="AL24" t="str">
        <f>_xlfn.LET(
  _xlpm.result, _xlfn.XLOOKUP($B24, Result_Database!$A$2:$A$500, Result_Database!AK$2:AK$500),
  _xlfn.IFNA(_xlpm.result, "")
)</f>
        <v/>
      </c>
      <c r="AM2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4" t="str">
        <f>IF(SUM(Table5[[#This Row],[A1]:[C6]])&lt;&gt;0,SUM(Table5[[#This Row],[A1]:[C6]]),"")</f>
        <v/>
      </c>
      <c r="AW24" t="str">
        <f>IF(SUM(Table5[[#This Row],[D7]:[F9]])=0,"",SUM(Table5[[#This Row],[D7]:[F9]]))</f>
        <v/>
      </c>
      <c r="AX2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4" t="str">
        <f>IF(COUNTIF(Table5[[#This Row],[English Language]:[Electrical/ Electronics]],"WITHHELD")=0,"",COUNTIF(Table5[[#This Row],[English Language]:[Electrical/ Electronics]],"WITHHELD"))</f>
        <v/>
      </c>
      <c r="BE24" t="str">
        <f>IF(SUM(Table5[[#This Row],[NO OF CREDITS]:[BELOW CREDITS]])=0,"",SUM(Table5[[#This Row],[NO OF CREDITS]:[BELOW CREDITS]]))</f>
        <v/>
      </c>
    </row>
    <row r="25" spans="1:57" x14ac:dyDescent="0.3">
      <c r="A25" t="str">
        <f>IF(B25&lt;&gt;"",COUNTA($B$6:B25),"")</f>
        <v/>
      </c>
      <c r="B25" t="str">
        <f>IF(Result_Database!A21="","",Result_Database!A21)</f>
        <v/>
      </c>
      <c r="C25" t="str">
        <f>_xlfn.LET(
_xlpm.result,_xlfn.XLOOKUP($B25,Result_Database!$A$2:$A$500,Result_Database!$B$2:$B$500),
_xlfn.IFNA(_xlpm.result,"")
)</f>
        <v/>
      </c>
      <c r="D25" t="str">
        <f>_xlfn.LET(
  _xlpm.result, _xlfn.XLOOKUP($B25, Result_Database!$A$2:$A$500, Result_Database!C$2:C$500),
  _xlfn.IFNA(_xlpm.result, "")
)</f>
        <v/>
      </c>
      <c r="E25" t="str">
        <f>_xlfn.LET(
  _xlpm.result, _xlfn.XLOOKUP($B25, Result_Database!$A$2:$A$500, Result_Database!D$2:D$500),
  _xlfn.IFNA(_xlpm.result, "")
)</f>
        <v/>
      </c>
      <c r="F25" t="str">
        <f>_xlfn.LET(
  _xlpm.result, _xlfn.XLOOKUP($B25, Result_Database!$A$2:$A$500, Result_Database!E$2:E$500),
  _xlfn.IFNA(_xlpm.result, "")
)</f>
        <v/>
      </c>
      <c r="G25" t="str">
        <f>_xlfn.LET(
  _xlpm.result, _xlfn.XLOOKUP($B25, Result_Database!$A$2:$A$500, Result_Database!F$2:F$500),
  _xlfn.IFNA(_xlpm.result, "")
)</f>
        <v/>
      </c>
      <c r="H25" t="str">
        <f>_xlfn.LET(
  _xlpm.result, _xlfn.XLOOKUP($B25, Result_Database!$A$2:$A$500, Result_Database!G$2:G$500),
  _xlfn.IFNA(_xlpm.result, "")
)</f>
        <v/>
      </c>
      <c r="I25" t="str">
        <f>_xlfn.LET(
  _xlpm.result, _xlfn.XLOOKUP($B25, Result_Database!$A$2:$A$500, Result_Database!H$2:H$500),
  _xlfn.IFNA(_xlpm.result, "")
)</f>
        <v/>
      </c>
      <c r="J25" t="str">
        <f>_xlfn.LET(
  _xlpm.result, _xlfn.XLOOKUP($B25, Result_Database!$A$2:$A$500, Result_Database!I$2:I$500),
  _xlfn.IFNA(_xlpm.result, "")
)</f>
        <v/>
      </c>
      <c r="K25" t="str">
        <f>_xlfn.LET(
  _xlpm.result, _xlfn.XLOOKUP($B25, Result_Database!$A$2:$A$500, Result_Database!J$2:J$500),
  _xlfn.IFNA(_xlpm.result, "")
)</f>
        <v/>
      </c>
      <c r="L25" t="str">
        <f>_xlfn.LET(
  _xlpm.result, _xlfn.XLOOKUP($B25, Result_Database!$A$2:$A$500, Result_Database!K$2:K$500),
  _xlfn.IFNA(_xlpm.result, "")
)</f>
        <v/>
      </c>
      <c r="M25" t="str">
        <f>_xlfn.LET(
  _xlpm.result, _xlfn.XLOOKUP($B25, Result_Database!$A$2:$A$500, Result_Database!L$2:L$500),
  _xlfn.IFNA(_xlpm.result, "")
)</f>
        <v/>
      </c>
      <c r="N25" t="str">
        <f>_xlfn.LET(
  _xlpm.result, _xlfn.XLOOKUP($B25, Result_Database!$A$2:$A$500, Result_Database!M$2:M$500),
  _xlfn.IFNA(_xlpm.result, "")
)</f>
        <v/>
      </c>
      <c r="O25" t="str">
        <f>_xlfn.LET(
  _xlpm.result, _xlfn.XLOOKUP($B25, Result_Database!$A$2:$A$500, Result_Database!N$2:N$500),
  _xlfn.IFNA(_xlpm.result, "")
)</f>
        <v/>
      </c>
      <c r="P25" t="str">
        <f>_xlfn.LET(
  _xlpm.result, _xlfn.XLOOKUP($B25, Result_Database!$A$2:$A$500, Result_Database!O$2:O$500),
  _xlfn.IFNA(_xlpm.result, "")
)</f>
        <v/>
      </c>
      <c r="Q25" t="str">
        <f>_xlfn.LET(
  _xlpm.result, _xlfn.XLOOKUP($B25, Result_Database!$A$2:$A$500, Result_Database!P$2:P$500),
  _xlfn.IFNA(_xlpm.result, "")
)</f>
        <v/>
      </c>
      <c r="R25" t="str">
        <f>_xlfn.LET(
  _xlpm.result, _xlfn.XLOOKUP($B25, Result_Database!$A$2:$A$500, Result_Database!Q$2:Q$500),
  _xlfn.IFNA(_xlpm.result, "")
)</f>
        <v/>
      </c>
      <c r="S25" t="str">
        <f>_xlfn.LET(
  _xlpm.result, _xlfn.XLOOKUP($B25, Result_Database!$A$2:$A$500, Result_Database!R$2:R$500),
  _xlfn.IFNA(_xlpm.result, "")
)</f>
        <v/>
      </c>
      <c r="T25" t="str">
        <f>_xlfn.LET(
  _xlpm.result, _xlfn.XLOOKUP($B25, Result_Database!$A$2:$A$500, Result_Database!S$2:S$500),
  _xlfn.IFNA(_xlpm.result, "")
)</f>
        <v/>
      </c>
      <c r="U25" t="str">
        <f>_xlfn.LET(
  _xlpm.result, _xlfn.XLOOKUP($B25, Result_Database!$A$2:$A$500, Result_Database!T$2:T$500),
  _xlfn.IFNA(_xlpm.result, "")
)</f>
        <v/>
      </c>
      <c r="V25" t="str">
        <f>_xlfn.LET(
  _xlpm.result, _xlfn.XLOOKUP($B25, Result_Database!$A$2:$A$500, Result_Database!U$2:U$500),
  _xlfn.IFNA(_xlpm.result, "")
)</f>
        <v/>
      </c>
      <c r="W25" t="str">
        <f>_xlfn.LET(
  _xlpm.result, _xlfn.XLOOKUP($B25, Result_Database!$A$2:$A$500, Result_Database!V$2:V$500),
  _xlfn.IFNA(_xlpm.result, "")
)</f>
        <v/>
      </c>
      <c r="X25" t="str">
        <f>_xlfn.LET(
  _xlpm.result, _xlfn.XLOOKUP($B25, Result_Database!$A$2:$A$500, Result_Database!W$2:W$500),
  _xlfn.IFNA(_xlpm.result, "")
)</f>
        <v/>
      </c>
      <c r="Y25" t="str">
        <f>_xlfn.LET(
  _xlpm.result, _xlfn.XLOOKUP($B25, Result_Database!$A$2:$A$500, Result_Database!X$2:X$500),
  _xlfn.IFNA(_xlpm.result, "")
)</f>
        <v/>
      </c>
      <c r="Z25" t="str">
        <f>_xlfn.LET(
  _xlpm.result, _xlfn.XLOOKUP($B25, Result_Database!$A$2:$A$500, Result_Database!Y$2:Y$500),
  _xlfn.IFNA(_xlpm.result, "")
)</f>
        <v/>
      </c>
      <c r="AA25" t="str">
        <f>_xlfn.LET(
  _xlpm.result, _xlfn.XLOOKUP($B25, Result_Database!$A$2:$A$500, Result_Database!Z$2:Z$500),
  _xlfn.IFNA(_xlpm.result, "")
)</f>
        <v/>
      </c>
      <c r="AB25" t="str">
        <f>_xlfn.LET(
  _xlpm.result, _xlfn.XLOOKUP($B25, Result_Database!$A$2:$A$500, Result_Database!AA$2:AA$500),
  _xlfn.IFNA(_xlpm.result, "")
)</f>
        <v/>
      </c>
      <c r="AC25" t="str">
        <f>_xlfn.LET(
  _xlpm.result, _xlfn.XLOOKUP($B25, Result_Database!$A$2:$A$500, Result_Database!AB$2:AB$500),
  _xlfn.IFNA(_xlpm.result, "")
)</f>
        <v/>
      </c>
      <c r="AD25" t="str">
        <f>_xlfn.LET(
  _xlpm.result, _xlfn.XLOOKUP($B25, Result_Database!$A$2:$A$500, Result_Database!AC$2:AC$500),
  _xlfn.IFNA(_xlpm.result, "")
)</f>
        <v/>
      </c>
      <c r="AE25" t="str">
        <f>_xlfn.LET(
  _xlpm.result, _xlfn.XLOOKUP($B25, Result_Database!$A$2:$A$500, Result_Database!AD$2:AD$500),
  _xlfn.IFNA(_xlpm.result, "")
)</f>
        <v/>
      </c>
      <c r="AF25" t="str">
        <f>_xlfn.LET(
  _xlpm.result, _xlfn.XLOOKUP($B25, Result_Database!$A$2:$A$500, Result_Database!AE$2:AE$500),
  _xlfn.IFNA(_xlpm.result, "")
)</f>
        <v/>
      </c>
      <c r="AG25" t="str">
        <f>_xlfn.LET(
  _xlpm.result, _xlfn.XLOOKUP($B25, Result_Database!$A$2:$A$500, Result_Database!AF$2:AF$500),
  _xlfn.IFNA(_xlpm.result, "")
)</f>
        <v/>
      </c>
      <c r="AH25" t="str">
        <f>_xlfn.LET(
  _xlpm.result, _xlfn.XLOOKUP($B25, Result_Database!$A$2:$A$500, Result_Database!AG$2:AG$500),
  _xlfn.IFNA(_xlpm.result, "")
)</f>
        <v/>
      </c>
      <c r="AI25" t="str">
        <f>_xlfn.LET(
  _xlpm.result, _xlfn.XLOOKUP($B25, Result_Database!$A$2:$A$500, Result_Database!AH$2:AH$500),
  _xlfn.IFNA(_xlpm.result, "")
)</f>
        <v/>
      </c>
      <c r="AJ25" t="str">
        <f>_xlfn.LET(
  _xlpm.result, _xlfn.XLOOKUP($B25, Result_Database!$A$2:$A$500, Result_Database!AI$2:AI$500),
  _xlfn.IFNA(_xlpm.result, "")
)</f>
        <v/>
      </c>
      <c r="AK25" t="str">
        <f>_xlfn.LET(
  _xlpm.result, _xlfn.XLOOKUP($B25, Result_Database!$A$2:$A$500, Result_Database!AJ$2:AJ$500),
  _xlfn.IFNA(_xlpm.result, "")
)</f>
        <v/>
      </c>
      <c r="AL25" t="str">
        <f>_xlfn.LET(
  _xlpm.result, _xlfn.XLOOKUP($B25, Result_Database!$A$2:$A$500, Result_Database!AK$2:AK$500),
  _xlfn.IFNA(_xlpm.result, "")
)</f>
        <v/>
      </c>
      <c r="AM2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5" t="str">
        <f>IF(SUM(Table5[[#This Row],[A1]:[C6]])&lt;&gt;0,SUM(Table5[[#This Row],[A1]:[C6]]),"")</f>
        <v/>
      </c>
      <c r="AW25" t="str">
        <f>IF(SUM(Table5[[#This Row],[D7]:[F9]])=0,"",SUM(Table5[[#This Row],[D7]:[F9]]))</f>
        <v/>
      </c>
      <c r="AX2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5" t="str">
        <f>IF(COUNTIF(Table5[[#This Row],[English Language]:[Electrical/ Electronics]],"WITHHELD")=0,"",COUNTIF(Table5[[#This Row],[English Language]:[Electrical/ Electronics]],"WITHHELD"))</f>
        <v/>
      </c>
      <c r="BE25" t="str">
        <f>IF(SUM(Table5[[#This Row],[NO OF CREDITS]:[BELOW CREDITS]])=0,"",SUM(Table5[[#This Row],[NO OF CREDITS]:[BELOW CREDITS]]))</f>
        <v/>
      </c>
    </row>
    <row r="26" spans="1:57" x14ac:dyDescent="0.3">
      <c r="A26" t="str">
        <f>IF(B26&lt;&gt;"",COUNTA($B$6:B26),"")</f>
        <v/>
      </c>
      <c r="B26" t="str">
        <f>IF(Result_Database!A22="","",Result_Database!A22)</f>
        <v/>
      </c>
      <c r="C26" t="str">
        <f>_xlfn.LET(
_xlpm.result,_xlfn.XLOOKUP($B26,Result_Database!$A$2:$A$500,Result_Database!$B$2:$B$500),
_xlfn.IFNA(_xlpm.result,"")
)</f>
        <v/>
      </c>
      <c r="D26" t="str">
        <f>_xlfn.LET(
  _xlpm.result, _xlfn.XLOOKUP($B26, Result_Database!$A$2:$A$500, Result_Database!C$2:C$500),
  _xlfn.IFNA(_xlpm.result, "")
)</f>
        <v/>
      </c>
      <c r="E26" t="str">
        <f>_xlfn.LET(
  _xlpm.result, _xlfn.XLOOKUP($B26, Result_Database!$A$2:$A$500, Result_Database!D$2:D$500),
  _xlfn.IFNA(_xlpm.result, "")
)</f>
        <v/>
      </c>
      <c r="F26" t="str">
        <f>_xlfn.LET(
  _xlpm.result, _xlfn.XLOOKUP($B26, Result_Database!$A$2:$A$500, Result_Database!E$2:E$500),
  _xlfn.IFNA(_xlpm.result, "")
)</f>
        <v/>
      </c>
      <c r="G26" t="str">
        <f>_xlfn.LET(
  _xlpm.result, _xlfn.XLOOKUP($B26, Result_Database!$A$2:$A$500, Result_Database!F$2:F$500),
  _xlfn.IFNA(_xlpm.result, "")
)</f>
        <v/>
      </c>
      <c r="H26" t="str">
        <f>_xlfn.LET(
  _xlpm.result, _xlfn.XLOOKUP($B26, Result_Database!$A$2:$A$500, Result_Database!G$2:G$500),
  _xlfn.IFNA(_xlpm.result, "")
)</f>
        <v/>
      </c>
      <c r="I26" t="str">
        <f>_xlfn.LET(
  _xlpm.result, _xlfn.XLOOKUP($B26, Result_Database!$A$2:$A$500, Result_Database!H$2:H$500),
  _xlfn.IFNA(_xlpm.result, "")
)</f>
        <v/>
      </c>
      <c r="J26" t="str">
        <f>_xlfn.LET(
  _xlpm.result, _xlfn.XLOOKUP($B26, Result_Database!$A$2:$A$500, Result_Database!I$2:I$500),
  _xlfn.IFNA(_xlpm.result, "")
)</f>
        <v/>
      </c>
      <c r="K26" t="str">
        <f>_xlfn.LET(
  _xlpm.result, _xlfn.XLOOKUP($B26, Result_Database!$A$2:$A$500, Result_Database!J$2:J$500),
  _xlfn.IFNA(_xlpm.result, "")
)</f>
        <v/>
      </c>
      <c r="L26" t="str">
        <f>_xlfn.LET(
  _xlpm.result, _xlfn.XLOOKUP($B26, Result_Database!$A$2:$A$500, Result_Database!K$2:K$500),
  _xlfn.IFNA(_xlpm.result, "")
)</f>
        <v/>
      </c>
      <c r="M26" t="str">
        <f>_xlfn.LET(
  _xlpm.result, _xlfn.XLOOKUP($B26, Result_Database!$A$2:$A$500, Result_Database!L$2:L$500),
  _xlfn.IFNA(_xlpm.result, "")
)</f>
        <v/>
      </c>
      <c r="N26" t="str">
        <f>_xlfn.LET(
  _xlpm.result, _xlfn.XLOOKUP($B26, Result_Database!$A$2:$A$500, Result_Database!M$2:M$500),
  _xlfn.IFNA(_xlpm.result, "")
)</f>
        <v/>
      </c>
      <c r="O26" t="str">
        <f>_xlfn.LET(
  _xlpm.result, _xlfn.XLOOKUP($B26, Result_Database!$A$2:$A$500, Result_Database!N$2:N$500),
  _xlfn.IFNA(_xlpm.result, "")
)</f>
        <v/>
      </c>
      <c r="P26" t="str">
        <f>_xlfn.LET(
  _xlpm.result, _xlfn.XLOOKUP($B26, Result_Database!$A$2:$A$500, Result_Database!O$2:O$500),
  _xlfn.IFNA(_xlpm.result, "")
)</f>
        <v/>
      </c>
      <c r="Q26" t="str">
        <f>_xlfn.LET(
  _xlpm.result, _xlfn.XLOOKUP($B26, Result_Database!$A$2:$A$500, Result_Database!P$2:P$500),
  _xlfn.IFNA(_xlpm.result, "")
)</f>
        <v/>
      </c>
      <c r="R26" t="str">
        <f>_xlfn.LET(
  _xlpm.result, _xlfn.XLOOKUP($B26, Result_Database!$A$2:$A$500, Result_Database!Q$2:Q$500),
  _xlfn.IFNA(_xlpm.result, "")
)</f>
        <v/>
      </c>
      <c r="S26" t="str">
        <f>_xlfn.LET(
  _xlpm.result, _xlfn.XLOOKUP($B26, Result_Database!$A$2:$A$500, Result_Database!R$2:R$500),
  _xlfn.IFNA(_xlpm.result, "")
)</f>
        <v/>
      </c>
      <c r="T26" t="str">
        <f>_xlfn.LET(
  _xlpm.result, _xlfn.XLOOKUP($B26, Result_Database!$A$2:$A$500, Result_Database!S$2:S$500),
  _xlfn.IFNA(_xlpm.result, "")
)</f>
        <v/>
      </c>
      <c r="U26" t="str">
        <f>_xlfn.LET(
  _xlpm.result, _xlfn.XLOOKUP($B26, Result_Database!$A$2:$A$500, Result_Database!T$2:T$500),
  _xlfn.IFNA(_xlpm.result, "")
)</f>
        <v/>
      </c>
      <c r="V26" t="str">
        <f>_xlfn.LET(
  _xlpm.result, _xlfn.XLOOKUP($B26, Result_Database!$A$2:$A$500, Result_Database!U$2:U$500),
  _xlfn.IFNA(_xlpm.result, "")
)</f>
        <v/>
      </c>
      <c r="W26" t="str">
        <f>_xlfn.LET(
  _xlpm.result, _xlfn.XLOOKUP($B26, Result_Database!$A$2:$A$500, Result_Database!V$2:V$500),
  _xlfn.IFNA(_xlpm.result, "")
)</f>
        <v/>
      </c>
      <c r="X26" t="str">
        <f>_xlfn.LET(
  _xlpm.result, _xlfn.XLOOKUP($B26, Result_Database!$A$2:$A$500, Result_Database!W$2:W$500),
  _xlfn.IFNA(_xlpm.result, "")
)</f>
        <v/>
      </c>
      <c r="Y26" t="str">
        <f>_xlfn.LET(
  _xlpm.result, _xlfn.XLOOKUP($B26, Result_Database!$A$2:$A$500, Result_Database!X$2:X$500),
  _xlfn.IFNA(_xlpm.result, "")
)</f>
        <v/>
      </c>
      <c r="Z26" t="str">
        <f>_xlfn.LET(
  _xlpm.result, _xlfn.XLOOKUP($B26, Result_Database!$A$2:$A$500, Result_Database!Y$2:Y$500),
  _xlfn.IFNA(_xlpm.result, "")
)</f>
        <v/>
      </c>
      <c r="AA26" t="str">
        <f>_xlfn.LET(
  _xlpm.result, _xlfn.XLOOKUP($B26, Result_Database!$A$2:$A$500, Result_Database!Z$2:Z$500),
  _xlfn.IFNA(_xlpm.result, "")
)</f>
        <v/>
      </c>
      <c r="AB26" t="str">
        <f>_xlfn.LET(
  _xlpm.result, _xlfn.XLOOKUP($B26, Result_Database!$A$2:$A$500, Result_Database!AA$2:AA$500),
  _xlfn.IFNA(_xlpm.result, "")
)</f>
        <v/>
      </c>
      <c r="AC26" t="str">
        <f>_xlfn.LET(
  _xlpm.result, _xlfn.XLOOKUP($B26, Result_Database!$A$2:$A$500, Result_Database!AB$2:AB$500),
  _xlfn.IFNA(_xlpm.result, "")
)</f>
        <v/>
      </c>
      <c r="AD26" t="str">
        <f>_xlfn.LET(
  _xlpm.result, _xlfn.XLOOKUP($B26, Result_Database!$A$2:$A$500, Result_Database!AC$2:AC$500),
  _xlfn.IFNA(_xlpm.result, "")
)</f>
        <v/>
      </c>
      <c r="AE26" t="str">
        <f>_xlfn.LET(
  _xlpm.result, _xlfn.XLOOKUP($B26, Result_Database!$A$2:$A$500, Result_Database!AD$2:AD$500),
  _xlfn.IFNA(_xlpm.result, "")
)</f>
        <v/>
      </c>
      <c r="AF26" t="str">
        <f>_xlfn.LET(
  _xlpm.result, _xlfn.XLOOKUP($B26, Result_Database!$A$2:$A$500, Result_Database!AE$2:AE$500),
  _xlfn.IFNA(_xlpm.result, "")
)</f>
        <v/>
      </c>
      <c r="AG26" t="str">
        <f>_xlfn.LET(
  _xlpm.result, _xlfn.XLOOKUP($B26, Result_Database!$A$2:$A$500, Result_Database!AF$2:AF$500),
  _xlfn.IFNA(_xlpm.result, "")
)</f>
        <v/>
      </c>
      <c r="AH26" t="str">
        <f>_xlfn.LET(
  _xlpm.result, _xlfn.XLOOKUP($B26, Result_Database!$A$2:$A$500, Result_Database!AG$2:AG$500),
  _xlfn.IFNA(_xlpm.result, "")
)</f>
        <v/>
      </c>
      <c r="AI26" t="str">
        <f>_xlfn.LET(
  _xlpm.result, _xlfn.XLOOKUP($B26, Result_Database!$A$2:$A$500, Result_Database!AH$2:AH$500),
  _xlfn.IFNA(_xlpm.result, "")
)</f>
        <v/>
      </c>
      <c r="AJ26" t="str">
        <f>_xlfn.LET(
  _xlpm.result, _xlfn.XLOOKUP($B26, Result_Database!$A$2:$A$500, Result_Database!AI$2:AI$500),
  _xlfn.IFNA(_xlpm.result, "")
)</f>
        <v/>
      </c>
      <c r="AK26" t="str">
        <f>_xlfn.LET(
  _xlpm.result, _xlfn.XLOOKUP($B26, Result_Database!$A$2:$A$500, Result_Database!AJ$2:AJ$500),
  _xlfn.IFNA(_xlpm.result, "")
)</f>
        <v/>
      </c>
      <c r="AL26" t="str">
        <f>_xlfn.LET(
  _xlpm.result, _xlfn.XLOOKUP($B26, Result_Database!$A$2:$A$500, Result_Database!AK$2:AK$500),
  _xlfn.IFNA(_xlpm.result, "")
)</f>
        <v/>
      </c>
      <c r="AM2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6" t="str">
        <f>IF(SUM(Table5[[#This Row],[A1]:[C6]])&lt;&gt;0,SUM(Table5[[#This Row],[A1]:[C6]]),"")</f>
        <v/>
      </c>
      <c r="AW26" t="str">
        <f>IF(SUM(Table5[[#This Row],[D7]:[F9]])=0,"",SUM(Table5[[#This Row],[D7]:[F9]]))</f>
        <v/>
      </c>
      <c r="AX2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6" t="str">
        <f>IF(COUNTIF(Table5[[#This Row],[English Language]:[Electrical/ Electronics]],"WITHHELD")=0,"",COUNTIF(Table5[[#This Row],[English Language]:[Electrical/ Electronics]],"WITHHELD"))</f>
        <v/>
      </c>
      <c r="BE26" t="str">
        <f>IF(SUM(Table5[[#This Row],[NO OF CREDITS]:[BELOW CREDITS]])=0,"",SUM(Table5[[#This Row],[NO OF CREDITS]:[BELOW CREDITS]]))</f>
        <v/>
      </c>
    </row>
    <row r="27" spans="1:57" x14ac:dyDescent="0.3">
      <c r="A27" t="str">
        <f>IF(B27&lt;&gt;"",COUNTA($B$6:B27),"")</f>
        <v/>
      </c>
      <c r="B27" t="str">
        <f>IF(Result_Database!A23="","",Result_Database!A23)</f>
        <v/>
      </c>
      <c r="C27" t="str">
        <f>_xlfn.LET(
_xlpm.result,_xlfn.XLOOKUP($B27,Result_Database!$A$2:$A$500,Result_Database!$B$2:$B$500),
_xlfn.IFNA(_xlpm.result,"")
)</f>
        <v/>
      </c>
      <c r="D27" t="str">
        <f>_xlfn.LET(
  _xlpm.result, _xlfn.XLOOKUP($B27, Result_Database!$A$2:$A$500, Result_Database!C$2:C$500),
  _xlfn.IFNA(_xlpm.result, "")
)</f>
        <v/>
      </c>
      <c r="E27" t="str">
        <f>_xlfn.LET(
  _xlpm.result, _xlfn.XLOOKUP($B27, Result_Database!$A$2:$A$500, Result_Database!D$2:D$500),
  _xlfn.IFNA(_xlpm.result, "")
)</f>
        <v/>
      </c>
      <c r="F27" t="str">
        <f>_xlfn.LET(
  _xlpm.result, _xlfn.XLOOKUP($B27, Result_Database!$A$2:$A$500, Result_Database!E$2:E$500),
  _xlfn.IFNA(_xlpm.result, "")
)</f>
        <v/>
      </c>
      <c r="G27" t="str">
        <f>_xlfn.LET(
  _xlpm.result, _xlfn.XLOOKUP($B27, Result_Database!$A$2:$A$500, Result_Database!F$2:F$500),
  _xlfn.IFNA(_xlpm.result, "")
)</f>
        <v/>
      </c>
      <c r="H27" t="str">
        <f>_xlfn.LET(
  _xlpm.result, _xlfn.XLOOKUP($B27, Result_Database!$A$2:$A$500, Result_Database!G$2:G$500),
  _xlfn.IFNA(_xlpm.result, "")
)</f>
        <v/>
      </c>
      <c r="I27" t="str">
        <f>_xlfn.LET(
  _xlpm.result, _xlfn.XLOOKUP($B27, Result_Database!$A$2:$A$500, Result_Database!H$2:H$500),
  _xlfn.IFNA(_xlpm.result, "")
)</f>
        <v/>
      </c>
      <c r="J27" t="str">
        <f>_xlfn.LET(
  _xlpm.result, _xlfn.XLOOKUP($B27, Result_Database!$A$2:$A$500, Result_Database!I$2:I$500),
  _xlfn.IFNA(_xlpm.result, "")
)</f>
        <v/>
      </c>
      <c r="K27" t="str">
        <f>_xlfn.LET(
  _xlpm.result, _xlfn.XLOOKUP($B27, Result_Database!$A$2:$A$500, Result_Database!J$2:J$500),
  _xlfn.IFNA(_xlpm.result, "")
)</f>
        <v/>
      </c>
      <c r="L27" t="str">
        <f>_xlfn.LET(
  _xlpm.result, _xlfn.XLOOKUP($B27, Result_Database!$A$2:$A$500, Result_Database!K$2:K$500),
  _xlfn.IFNA(_xlpm.result, "")
)</f>
        <v/>
      </c>
      <c r="M27" t="str">
        <f>_xlfn.LET(
  _xlpm.result, _xlfn.XLOOKUP($B27, Result_Database!$A$2:$A$500, Result_Database!L$2:L$500),
  _xlfn.IFNA(_xlpm.result, "")
)</f>
        <v/>
      </c>
      <c r="N27" t="str">
        <f>_xlfn.LET(
  _xlpm.result, _xlfn.XLOOKUP($B27, Result_Database!$A$2:$A$500, Result_Database!M$2:M$500),
  _xlfn.IFNA(_xlpm.result, "")
)</f>
        <v/>
      </c>
      <c r="O27" t="str">
        <f>_xlfn.LET(
  _xlpm.result, _xlfn.XLOOKUP($B27, Result_Database!$A$2:$A$500, Result_Database!N$2:N$500),
  _xlfn.IFNA(_xlpm.result, "")
)</f>
        <v/>
      </c>
      <c r="P27" t="str">
        <f>_xlfn.LET(
  _xlpm.result, _xlfn.XLOOKUP($B27, Result_Database!$A$2:$A$500, Result_Database!O$2:O$500),
  _xlfn.IFNA(_xlpm.result, "")
)</f>
        <v/>
      </c>
      <c r="Q27" t="str">
        <f>_xlfn.LET(
  _xlpm.result, _xlfn.XLOOKUP($B27, Result_Database!$A$2:$A$500, Result_Database!P$2:P$500),
  _xlfn.IFNA(_xlpm.result, "")
)</f>
        <v/>
      </c>
      <c r="R27" t="str">
        <f>_xlfn.LET(
  _xlpm.result, _xlfn.XLOOKUP($B27, Result_Database!$A$2:$A$500, Result_Database!Q$2:Q$500),
  _xlfn.IFNA(_xlpm.result, "")
)</f>
        <v/>
      </c>
      <c r="S27" t="str">
        <f>_xlfn.LET(
  _xlpm.result, _xlfn.XLOOKUP($B27, Result_Database!$A$2:$A$500, Result_Database!R$2:R$500),
  _xlfn.IFNA(_xlpm.result, "")
)</f>
        <v/>
      </c>
      <c r="T27" t="str">
        <f>_xlfn.LET(
  _xlpm.result, _xlfn.XLOOKUP($B27, Result_Database!$A$2:$A$500, Result_Database!S$2:S$500),
  _xlfn.IFNA(_xlpm.result, "")
)</f>
        <v/>
      </c>
      <c r="U27" t="str">
        <f>_xlfn.LET(
  _xlpm.result, _xlfn.XLOOKUP($B27, Result_Database!$A$2:$A$500, Result_Database!T$2:T$500),
  _xlfn.IFNA(_xlpm.result, "")
)</f>
        <v/>
      </c>
      <c r="V27" t="str">
        <f>_xlfn.LET(
  _xlpm.result, _xlfn.XLOOKUP($B27, Result_Database!$A$2:$A$500, Result_Database!U$2:U$500),
  _xlfn.IFNA(_xlpm.result, "")
)</f>
        <v/>
      </c>
      <c r="W27" t="str">
        <f>_xlfn.LET(
  _xlpm.result, _xlfn.XLOOKUP($B27, Result_Database!$A$2:$A$500, Result_Database!V$2:V$500),
  _xlfn.IFNA(_xlpm.result, "")
)</f>
        <v/>
      </c>
      <c r="X27" t="str">
        <f>_xlfn.LET(
  _xlpm.result, _xlfn.XLOOKUP($B27, Result_Database!$A$2:$A$500, Result_Database!W$2:W$500),
  _xlfn.IFNA(_xlpm.result, "")
)</f>
        <v/>
      </c>
      <c r="Y27" t="str">
        <f>_xlfn.LET(
  _xlpm.result, _xlfn.XLOOKUP($B27, Result_Database!$A$2:$A$500, Result_Database!X$2:X$500),
  _xlfn.IFNA(_xlpm.result, "")
)</f>
        <v/>
      </c>
      <c r="Z27" t="str">
        <f>_xlfn.LET(
  _xlpm.result, _xlfn.XLOOKUP($B27, Result_Database!$A$2:$A$500, Result_Database!Y$2:Y$500),
  _xlfn.IFNA(_xlpm.result, "")
)</f>
        <v/>
      </c>
      <c r="AA27" t="str">
        <f>_xlfn.LET(
  _xlpm.result, _xlfn.XLOOKUP($B27, Result_Database!$A$2:$A$500, Result_Database!Z$2:Z$500),
  _xlfn.IFNA(_xlpm.result, "")
)</f>
        <v/>
      </c>
      <c r="AB27" t="str">
        <f>_xlfn.LET(
  _xlpm.result, _xlfn.XLOOKUP($B27, Result_Database!$A$2:$A$500, Result_Database!AA$2:AA$500),
  _xlfn.IFNA(_xlpm.result, "")
)</f>
        <v/>
      </c>
      <c r="AC27" t="str">
        <f>_xlfn.LET(
  _xlpm.result, _xlfn.XLOOKUP($B27, Result_Database!$A$2:$A$500, Result_Database!AB$2:AB$500),
  _xlfn.IFNA(_xlpm.result, "")
)</f>
        <v/>
      </c>
      <c r="AD27" t="str">
        <f>_xlfn.LET(
  _xlpm.result, _xlfn.XLOOKUP($B27, Result_Database!$A$2:$A$500, Result_Database!AC$2:AC$500),
  _xlfn.IFNA(_xlpm.result, "")
)</f>
        <v/>
      </c>
      <c r="AE27" t="str">
        <f>_xlfn.LET(
  _xlpm.result, _xlfn.XLOOKUP($B27, Result_Database!$A$2:$A$500, Result_Database!AD$2:AD$500),
  _xlfn.IFNA(_xlpm.result, "")
)</f>
        <v/>
      </c>
      <c r="AF27" t="str">
        <f>_xlfn.LET(
  _xlpm.result, _xlfn.XLOOKUP($B27, Result_Database!$A$2:$A$500, Result_Database!AE$2:AE$500),
  _xlfn.IFNA(_xlpm.result, "")
)</f>
        <v/>
      </c>
      <c r="AG27" t="str">
        <f>_xlfn.LET(
  _xlpm.result, _xlfn.XLOOKUP($B27, Result_Database!$A$2:$A$500, Result_Database!AF$2:AF$500),
  _xlfn.IFNA(_xlpm.result, "")
)</f>
        <v/>
      </c>
      <c r="AH27" t="str">
        <f>_xlfn.LET(
  _xlpm.result, _xlfn.XLOOKUP($B27, Result_Database!$A$2:$A$500, Result_Database!AG$2:AG$500),
  _xlfn.IFNA(_xlpm.result, "")
)</f>
        <v/>
      </c>
      <c r="AI27" t="str">
        <f>_xlfn.LET(
  _xlpm.result, _xlfn.XLOOKUP($B27, Result_Database!$A$2:$A$500, Result_Database!AH$2:AH$500),
  _xlfn.IFNA(_xlpm.result, "")
)</f>
        <v/>
      </c>
      <c r="AJ27" t="str">
        <f>_xlfn.LET(
  _xlpm.result, _xlfn.XLOOKUP($B27, Result_Database!$A$2:$A$500, Result_Database!AI$2:AI$500),
  _xlfn.IFNA(_xlpm.result, "")
)</f>
        <v/>
      </c>
      <c r="AK27" t="str">
        <f>_xlfn.LET(
  _xlpm.result, _xlfn.XLOOKUP($B27, Result_Database!$A$2:$A$500, Result_Database!AJ$2:AJ$500),
  _xlfn.IFNA(_xlpm.result, "")
)</f>
        <v/>
      </c>
      <c r="AL27" t="str">
        <f>_xlfn.LET(
  _xlpm.result, _xlfn.XLOOKUP($B27, Result_Database!$A$2:$A$500, Result_Database!AK$2:AK$500),
  _xlfn.IFNA(_xlpm.result, "")
)</f>
        <v/>
      </c>
      <c r="AM2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7" t="str">
        <f>IF(SUM(Table5[[#This Row],[A1]:[C6]])&lt;&gt;0,SUM(Table5[[#This Row],[A1]:[C6]]),"")</f>
        <v/>
      </c>
      <c r="AW27" t="str">
        <f>IF(SUM(Table5[[#This Row],[D7]:[F9]])=0,"",SUM(Table5[[#This Row],[D7]:[F9]]))</f>
        <v/>
      </c>
      <c r="AX2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7" t="str">
        <f>IF(COUNTIF(Table5[[#This Row],[English Language]:[Electrical/ Electronics]],"WITHHELD")=0,"",COUNTIF(Table5[[#This Row],[English Language]:[Electrical/ Electronics]],"WITHHELD"))</f>
        <v/>
      </c>
      <c r="BE27" t="str">
        <f>IF(SUM(Table5[[#This Row],[NO OF CREDITS]:[BELOW CREDITS]])=0,"",SUM(Table5[[#This Row],[NO OF CREDITS]:[BELOW CREDITS]]))</f>
        <v/>
      </c>
    </row>
    <row r="28" spans="1:57" x14ac:dyDescent="0.3">
      <c r="A28" t="str">
        <f>IF(B28&lt;&gt;"",COUNTA($B$6:B28),"")</f>
        <v/>
      </c>
      <c r="B28" t="str">
        <f>IF(Result_Database!A24="","",Result_Database!A24)</f>
        <v/>
      </c>
      <c r="C28" t="str">
        <f>_xlfn.LET(
_xlpm.result,_xlfn.XLOOKUP($B28,Result_Database!$A$2:$A$500,Result_Database!$B$2:$B$500),
_xlfn.IFNA(_xlpm.result,"")
)</f>
        <v/>
      </c>
      <c r="D28" t="str">
        <f>_xlfn.LET(
  _xlpm.result, _xlfn.XLOOKUP($B28, Result_Database!$A$2:$A$500, Result_Database!C$2:C$500),
  _xlfn.IFNA(_xlpm.result, "")
)</f>
        <v/>
      </c>
      <c r="E28" t="str">
        <f>_xlfn.LET(
  _xlpm.result, _xlfn.XLOOKUP($B28, Result_Database!$A$2:$A$500, Result_Database!D$2:D$500),
  _xlfn.IFNA(_xlpm.result, "")
)</f>
        <v/>
      </c>
      <c r="F28" t="str">
        <f>_xlfn.LET(
  _xlpm.result, _xlfn.XLOOKUP($B28, Result_Database!$A$2:$A$500, Result_Database!E$2:E$500),
  _xlfn.IFNA(_xlpm.result, "")
)</f>
        <v/>
      </c>
      <c r="G28" t="str">
        <f>_xlfn.LET(
  _xlpm.result, _xlfn.XLOOKUP($B28, Result_Database!$A$2:$A$500, Result_Database!F$2:F$500),
  _xlfn.IFNA(_xlpm.result, "")
)</f>
        <v/>
      </c>
      <c r="H28" t="str">
        <f>_xlfn.LET(
  _xlpm.result, _xlfn.XLOOKUP($B28, Result_Database!$A$2:$A$500, Result_Database!G$2:G$500),
  _xlfn.IFNA(_xlpm.result, "")
)</f>
        <v/>
      </c>
      <c r="I28" t="str">
        <f>_xlfn.LET(
  _xlpm.result, _xlfn.XLOOKUP($B28, Result_Database!$A$2:$A$500, Result_Database!H$2:H$500),
  _xlfn.IFNA(_xlpm.result, "")
)</f>
        <v/>
      </c>
      <c r="J28" t="str">
        <f>_xlfn.LET(
  _xlpm.result, _xlfn.XLOOKUP($B28, Result_Database!$A$2:$A$500, Result_Database!I$2:I$500),
  _xlfn.IFNA(_xlpm.result, "")
)</f>
        <v/>
      </c>
      <c r="K28" t="str">
        <f>_xlfn.LET(
  _xlpm.result, _xlfn.XLOOKUP($B28, Result_Database!$A$2:$A$500, Result_Database!J$2:J$500),
  _xlfn.IFNA(_xlpm.result, "")
)</f>
        <v/>
      </c>
      <c r="L28" t="str">
        <f>_xlfn.LET(
  _xlpm.result, _xlfn.XLOOKUP($B28, Result_Database!$A$2:$A$500, Result_Database!K$2:K$500),
  _xlfn.IFNA(_xlpm.result, "")
)</f>
        <v/>
      </c>
      <c r="M28" t="str">
        <f>_xlfn.LET(
  _xlpm.result, _xlfn.XLOOKUP($B28, Result_Database!$A$2:$A$500, Result_Database!L$2:L$500),
  _xlfn.IFNA(_xlpm.result, "")
)</f>
        <v/>
      </c>
      <c r="N28" t="str">
        <f>_xlfn.LET(
  _xlpm.result, _xlfn.XLOOKUP($B28, Result_Database!$A$2:$A$500, Result_Database!M$2:M$500),
  _xlfn.IFNA(_xlpm.result, "")
)</f>
        <v/>
      </c>
      <c r="O28" t="str">
        <f>_xlfn.LET(
  _xlpm.result, _xlfn.XLOOKUP($B28, Result_Database!$A$2:$A$500, Result_Database!N$2:N$500),
  _xlfn.IFNA(_xlpm.result, "")
)</f>
        <v/>
      </c>
      <c r="P28" t="str">
        <f>_xlfn.LET(
  _xlpm.result, _xlfn.XLOOKUP($B28, Result_Database!$A$2:$A$500, Result_Database!O$2:O$500),
  _xlfn.IFNA(_xlpm.result, "")
)</f>
        <v/>
      </c>
      <c r="Q28" t="str">
        <f>_xlfn.LET(
  _xlpm.result, _xlfn.XLOOKUP($B28, Result_Database!$A$2:$A$500, Result_Database!P$2:P$500),
  _xlfn.IFNA(_xlpm.result, "")
)</f>
        <v/>
      </c>
      <c r="R28" t="str">
        <f>_xlfn.LET(
  _xlpm.result, _xlfn.XLOOKUP($B28, Result_Database!$A$2:$A$500, Result_Database!Q$2:Q$500),
  _xlfn.IFNA(_xlpm.result, "")
)</f>
        <v/>
      </c>
      <c r="S28" t="str">
        <f>_xlfn.LET(
  _xlpm.result, _xlfn.XLOOKUP($B28, Result_Database!$A$2:$A$500, Result_Database!R$2:R$500),
  _xlfn.IFNA(_xlpm.result, "")
)</f>
        <v/>
      </c>
      <c r="T28" t="str">
        <f>_xlfn.LET(
  _xlpm.result, _xlfn.XLOOKUP($B28, Result_Database!$A$2:$A$500, Result_Database!S$2:S$500),
  _xlfn.IFNA(_xlpm.result, "")
)</f>
        <v/>
      </c>
      <c r="U28" t="str">
        <f>_xlfn.LET(
  _xlpm.result, _xlfn.XLOOKUP($B28, Result_Database!$A$2:$A$500, Result_Database!T$2:T$500),
  _xlfn.IFNA(_xlpm.result, "")
)</f>
        <v/>
      </c>
      <c r="V28" t="str">
        <f>_xlfn.LET(
  _xlpm.result, _xlfn.XLOOKUP($B28, Result_Database!$A$2:$A$500, Result_Database!U$2:U$500),
  _xlfn.IFNA(_xlpm.result, "")
)</f>
        <v/>
      </c>
      <c r="W28" t="str">
        <f>_xlfn.LET(
  _xlpm.result, _xlfn.XLOOKUP($B28, Result_Database!$A$2:$A$500, Result_Database!V$2:V$500),
  _xlfn.IFNA(_xlpm.result, "")
)</f>
        <v/>
      </c>
      <c r="X28" t="str">
        <f>_xlfn.LET(
  _xlpm.result, _xlfn.XLOOKUP($B28, Result_Database!$A$2:$A$500, Result_Database!W$2:W$500),
  _xlfn.IFNA(_xlpm.result, "")
)</f>
        <v/>
      </c>
      <c r="Y28" t="str">
        <f>_xlfn.LET(
  _xlpm.result, _xlfn.XLOOKUP($B28, Result_Database!$A$2:$A$500, Result_Database!X$2:X$500),
  _xlfn.IFNA(_xlpm.result, "")
)</f>
        <v/>
      </c>
      <c r="Z28" t="str">
        <f>_xlfn.LET(
  _xlpm.result, _xlfn.XLOOKUP($B28, Result_Database!$A$2:$A$500, Result_Database!Y$2:Y$500),
  _xlfn.IFNA(_xlpm.result, "")
)</f>
        <v/>
      </c>
      <c r="AA28" t="str">
        <f>_xlfn.LET(
  _xlpm.result, _xlfn.XLOOKUP($B28, Result_Database!$A$2:$A$500, Result_Database!Z$2:Z$500),
  _xlfn.IFNA(_xlpm.result, "")
)</f>
        <v/>
      </c>
      <c r="AB28" t="str">
        <f>_xlfn.LET(
  _xlpm.result, _xlfn.XLOOKUP($B28, Result_Database!$A$2:$A$500, Result_Database!AA$2:AA$500),
  _xlfn.IFNA(_xlpm.result, "")
)</f>
        <v/>
      </c>
      <c r="AC28" t="str">
        <f>_xlfn.LET(
  _xlpm.result, _xlfn.XLOOKUP($B28, Result_Database!$A$2:$A$500, Result_Database!AB$2:AB$500),
  _xlfn.IFNA(_xlpm.result, "")
)</f>
        <v/>
      </c>
      <c r="AD28" t="str">
        <f>_xlfn.LET(
  _xlpm.result, _xlfn.XLOOKUP($B28, Result_Database!$A$2:$A$500, Result_Database!AC$2:AC$500),
  _xlfn.IFNA(_xlpm.result, "")
)</f>
        <v/>
      </c>
      <c r="AE28" t="str">
        <f>_xlfn.LET(
  _xlpm.result, _xlfn.XLOOKUP($B28, Result_Database!$A$2:$A$500, Result_Database!AD$2:AD$500),
  _xlfn.IFNA(_xlpm.result, "")
)</f>
        <v/>
      </c>
      <c r="AF28" t="str">
        <f>_xlfn.LET(
  _xlpm.result, _xlfn.XLOOKUP($B28, Result_Database!$A$2:$A$500, Result_Database!AE$2:AE$500),
  _xlfn.IFNA(_xlpm.result, "")
)</f>
        <v/>
      </c>
      <c r="AG28" t="str">
        <f>_xlfn.LET(
  _xlpm.result, _xlfn.XLOOKUP($B28, Result_Database!$A$2:$A$500, Result_Database!AF$2:AF$500),
  _xlfn.IFNA(_xlpm.result, "")
)</f>
        <v/>
      </c>
      <c r="AH28" t="str">
        <f>_xlfn.LET(
  _xlpm.result, _xlfn.XLOOKUP($B28, Result_Database!$A$2:$A$500, Result_Database!AG$2:AG$500),
  _xlfn.IFNA(_xlpm.result, "")
)</f>
        <v/>
      </c>
      <c r="AI28" t="str">
        <f>_xlfn.LET(
  _xlpm.result, _xlfn.XLOOKUP($B28, Result_Database!$A$2:$A$500, Result_Database!AH$2:AH$500),
  _xlfn.IFNA(_xlpm.result, "")
)</f>
        <v/>
      </c>
      <c r="AJ28" t="str">
        <f>_xlfn.LET(
  _xlpm.result, _xlfn.XLOOKUP($B28, Result_Database!$A$2:$A$500, Result_Database!AI$2:AI$500),
  _xlfn.IFNA(_xlpm.result, "")
)</f>
        <v/>
      </c>
      <c r="AK28" t="str">
        <f>_xlfn.LET(
  _xlpm.result, _xlfn.XLOOKUP($B28, Result_Database!$A$2:$A$500, Result_Database!AJ$2:AJ$500),
  _xlfn.IFNA(_xlpm.result, "")
)</f>
        <v/>
      </c>
      <c r="AL28" t="str">
        <f>_xlfn.LET(
  _xlpm.result, _xlfn.XLOOKUP($B28, Result_Database!$A$2:$A$500, Result_Database!AK$2:AK$500),
  _xlfn.IFNA(_xlpm.result, "")
)</f>
        <v/>
      </c>
      <c r="AM2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8" t="str">
        <f>IF(SUM(Table5[[#This Row],[A1]:[C6]])&lt;&gt;0,SUM(Table5[[#This Row],[A1]:[C6]]),"")</f>
        <v/>
      </c>
      <c r="AW28" t="str">
        <f>IF(SUM(Table5[[#This Row],[D7]:[F9]])=0,"",SUM(Table5[[#This Row],[D7]:[F9]]))</f>
        <v/>
      </c>
      <c r="AX2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8" t="str">
        <f>IF(COUNTIF(Table5[[#This Row],[English Language]:[Electrical/ Electronics]],"WITHHELD")=0,"",COUNTIF(Table5[[#This Row],[English Language]:[Electrical/ Electronics]],"WITHHELD"))</f>
        <v/>
      </c>
      <c r="BE28" t="str">
        <f>IF(SUM(Table5[[#This Row],[NO OF CREDITS]:[BELOW CREDITS]])=0,"",SUM(Table5[[#This Row],[NO OF CREDITS]:[BELOW CREDITS]]))</f>
        <v/>
      </c>
    </row>
    <row r="29" spans="1:57" x14ac:dyDescent="0.3">
      <c r="A29" t="str">
        <f>IF(B29&lt;&gt;"",COUNTA($B$6:B29),"")</f>
        <v/>
      </c>
      <c r="B29" t="str">
        <f>IF(Result_Database!A25="","",Result_Database!A25)</f>
        <v/>
      </c>
      <c r="C29" t="str">
        <f>_xlfn.LET(
_xlpm.result,_xlfn.XLOOKUP($B29,Result_Database!$A$2:$A$500,Result_Database!$B$2:$B$500),
_xlfn.IFNA(_xlpm.result,"")
)</f>
        <v/>
      </c>
      <c r="D29" t="str">
        <f>_xlfn.LET(
  _xlpm.result, _xlfn.XLOOKUP($B29, Result_Database!$A$2:$A$500, Result_Database!C$2:C$500),
  _xlfn.IFNA(_xlpm.result, "")
)</f>
        <v/>
      </c>
      <c r="E29" t="str">
        <f>_xlfn.LET(
  _xlpm.result, _xlfn.XLOOKUP($B29, Result_Database!$A$2:$A$500, Result_Database!D$2:D$500),
  _xlfn.IFNA(_xlpm.result, "")
)</f>
        <v/>
      </c>
      <c r="F29" t="str">
        <f>_xlfn.LET(
  _xlpm.result, _xlfn.XLOOKUP($B29, Result_Database!$A$2:$A$500, Result_Database!E$2:E$500),
  _xlfn.IFNA(_xlpm.result, "")
)</f>
        <v/>
      </c>
      <c r="G29" t="str">
        <f>_xlfn.LET(
  _xlpm.result, _xlfn.XLOOKUP($B29, Result_Database!$A$2:$A$500, Result_Database!F$2:F$500),
  _xlfn.IFNA(_xlpm.result, "")
)</f>
        <v/>
      </c>
      <c r="H29" t="str">
        <f>_xlfn.LET(
  _xlpm.result, _xlfn.XLOOKUP($B29, Result_Database!$A$2:$A$500, Result_Database!G$2:G$500),
  _xlfn.IFNA(_xlpm.result, "")
)</f>
        <v/>
      </c>
      <c r="I29" t="str">
        <f>_xlfn.LET(
  _xlpm.result, _xlfn.XLOOKUP($B29, Result_Database!$A$2:$A$500, Result_Database!H$2:H$500),
  _xlfn.IFNA(_xlpm.result, "")
)</f>
        <v/>
      </c>
      <c r="J29" t="str">
        <f>_xlfn.LET(
  _xlpm.result, _xlfn.XLOOKUP($B29, Result_Database!$A$2:$A$500, Result_Database!I$2:I$500),
  _xlfn.IFNA(_xlpm.result, "")
)</f>
        <v/>
      </c>
      <c r="K29" t="str">
        <f>_xlfn.LET(
  _xlpm.result, _xlfn.XLOOKUP($B29, Result_Database!$A$2:$A$500, Result_Database!J$2:J$500),
  _xlfn.IFNA(_xlpm.result, "")
)</f>
        <v/>
      </c>
      <c r="L29" t="str">
        <f>_xlfn.LET(
  _xlpm.result, _xlfn.XLOOKUP($B29, Result_Database!$A$2:$A$500, Result_Database!K$2:K$500),
  _xlfn.IFNA(_xlpm.result, "")
)</f>
        <v/>
      </c>
      <c r="M29" t="str">
        <f>_xlfn.LET(
  _xlpm.result, _xlfn.XLOOKUP($B29, Result_Database!$A$2:$A$500, Result_Database!L$2:L$500),
  _xlfn.IFNA(_xlpm.result, "")
)</f>
        <v/>
      </c>
      <c r="N29" t="str">
        <f>_xlfn.LET(
  _xlpm.result, _xlfn.XLOOKUP($B29, Result_Database!$A$2:$A$500, Result_Database!M$2:M$500),
  _xlfn.IFNA(_xlpm.result, "")
)</f>
        <v/>
      </c>
      <c r="O29" t="str">
        <f>_xlfn.LET(
  _xlpm.result, _xlfn.XLOOKUP($B29, Result_Database!$A$2:$A$500, Result_Database!N$2:N$500),
  _xlfn.IFNA(_xlpm.result, "")
)</f>
        <v/>
      </c>
      <c r="P29" t="str">
        <f>_xlfn.LET(
  _xlpm.result, _xlfn.XLOOKUP($B29, Result_Database!$A$2:$A$500, Result_Database!O$2:O$500),
  _xlfn.IFNA(_xlpm.result, "")
)</f>
        <v/>
      </c>
      <c r="Q29" t="str">
        <f>_xlfn.LET(
  _xlpm.result, _xlfn.XLOOKUP($B29, Result_Database!$A$2:$A$500, Result_Database!P$2:P$500),
  _xlfn.IFNA(_xlpm.result, "")
)</f>
        <v/>
      </c>
      <c r="R29" t="str">
        <f>_xlfn.LET(
  _xlpm.result, _xlfn.XLOOKUP($B29, Result_Database!$A$2:$A$500, Result_Database!Q$2:Q$500),
  _xlfn.IFNA(_xlpm.result, "")
)</f>
        <v/>
      </c>
      <c r="S29" t="str">
        <f>_xlfn.LET(
  _xlpm.result, _xlfn.XLOOKUP($B29, Result_Database!$A$2:$A$500, Result_Database!R$2:R$500),
  _xlfn.IFNA(_xlpm.result, "")
)</f>
        <v/>
      </c>
      <c r="T29" t="str">
        <f>_xlfn.LET(
  _xlpm.result, _xlfn.XLOOKUP($B29, Result_Database!$A$2:$A$500, Result_Database!S$2:S$500),
  _xlfn.IFNA(_xlpm.result, "")
)</f>
        <v/>
      </c>
      <c r="U29" t="str">
        <f>_xlfn.LET(
  _xlpm.result, _xlfn.XLOOKUP($B29, Result_Database!$A$2:$A$500, Result_Database!T$2:T$500),
  _xlfn.IFNA(_xlpm.result, "")
)</f>
        <v/>
      </c>
      <c r="V29" t="str">
        <f>_xlfn.LET(
  _xlpm.result, _xlfn.XLOOKUP($B29, Result_Database!$A$2:$A$500, Result_Database!U$2:U$500),
  _xlfn.IFNA(_xlpm.result, "")
)</f>
        <v/>
      </c>
      <c r="W29" t="str">
        <f>_xlfn.LET(
  _xlpm.result, _xlfn.XLOOKUP($B29, Result_Database!$A$2:$A$500, Result_Database!V$2:V$500),
  _xlfn.IFNA(_xlpm.result, "")
)</f>
        <v/>
      </c>
      <c r="X29" t="str">
        <f>_xlfn.LET(
  _xlpm.result, _xlfn.XLOOKUP($B29, Result_Database!$A$2:$A$500, Result_Database!W$2:W$500),
  _xlfn.IFNA(_xlpm.result, "")
)</f>
        <v/>
      </c>
      <c r="Y29" t="str">
        <f>_xlfn.LET(
  _xlpm.result, _xlfn.XLOOKUP($B29, Result_Database!$A$2:$A$500, Result_Database!X$2:X$500),
  _xlfn.IFNA(_xlpm.result, "")
)</f>
        <v/>
      </c>
      <c r="Z29" t="str">
        <f>_xlfn.LET(
  _xlpm.result, _xlfn.XLOOKUP($B29, Result_Database!$A$2:$A$500, Result_Database!Y$2:Y$500),
  _xlfn.IFNA(_xlpm.result, "")
)</f>
        <v/>
      </c>
      <c r="AA29" t="str">
        <f>_xlfn.LET(
  _xlpm.result, _xlfn.XLOOKUP($B29, Result_Database!$A$2:$A$500, Result_Database!Z$2:Z$500),
  _xlfn.IFNA(_xlpm.result, "")
)</f>
        <v/>
      </c>
      <c r="AB29" t="str">
        <f>_xlfn.LET(
  _xlpm.result, _xlfn.XLOOKUP($B29, Result_Database!$A$2:$A$500, Result_Database!AA$2:AA$500),
  _xlfn.IFNA(_xlpm.result, "")
)</f>
        <v/>
      </c>
      <c r="AC29" t="str">
        <f>_xlfn.LET(
  _xlpm.result, _xlfn.XLOOKUP($B29, Result_Database!$A$2:$A$500, Result_Database!AB$2:AB$500),
  _xlfn.IFNA(_xlpm.result, "")
)</f>
        <v/>
      </c>
      <c r="AD29" t="str">
        <f>_xlfn.LET(
  _xlpm.result, _xlfn.XLOOKUP($B29, Result_Database!$A$2:$A$500, Result_Database!AC$2:AC$500),
  _xlfn.IFNA(_xlpm.result, "")
)</f>
        <v/>
      </c>
      <c r="AE29" t="str">
        <f>_xlfn.LET(
  _xlpm.result, _xlfn.XLOOKUP($B29, Result_Database!$A$2:$A$500, Result_Database!AD$2:AD$500),
  _xlfn.IFNA(_xlpm.result, "")
)</f>
        <v/>
      </c>
      <c r="AF29" t="str">
        <f>_xlfn.LET(
  _xlpm.result, _xlfn.XLOOKUP($B29, Result_Database!$A$2:$A$500, Result_Database!AE$2:AE$500),
  _xlfn.IFNA(_xlpm.result, "")
)</f>
        <v/>
      </c>
      <c r="AG29" t="str">
        <f>_xlfn.LET(
  _xlpm.result, _xlfn.XLOOKUP($B29, Result_Database!$A$2:$A$500, Result_Database!AF$2:AF$500),
  _xlfn.IFNA(_xlpm.result, "")
)</f>
        <v/>
      </c>
      <c r="AH29" t="str">
        <f>_xlfn.LET(
  _xlpm.result, _xlfn.XLOOKUP($B29, Result_Database!$A$2:$A$500, Result_Database!AG$2:AG$500),
  _xlfn.IFNA(_xlpm.result, "")
)</f>
        <v/>
      </c>
      <c r="AI29" t="str">
        <f>_xlfn.LET(
  _xlpm.result, _xlfn.XLOOKUP($B29, Result_Database!$A$2:$A$500, Result_Database!AH$2:AH$500),
  _xlfn.IFNA(_xlpm.result, "")
)</f>
        <v/>
      </c>
      <c r="AJ29" t="str">
        <f>_xlfn.LET(
  _xlpm.result, _xlfn.XLOOKUP($B29, Result_Database!$A$2:$A$500, Result_Database!AI$2:AI$500),
  _xlfn.IFNA(_xlpm.result, "")
)</f>
        <v/>
      </c>
      <c r="AK29" t="str">
        <f>_xlfn.LET(
  _xlpm.result, _xlfn.XLOOKUP($B29, Result_Database!$A$2:$A$500, Result_Database!AJ$2:AJ$500),
  _xlfn.IFNA(_xlpm.result, "")
)</f>
        <v/>
      </c>
      <c r="AL29" t="str">
        <f>_xlfn.LET(
  _xlpm.result, _xlfn.XLOOKUP($B29, Result_Database!$A$2:$A$500, Result_Database!AK$2:AK$500),
  _xlfn.IFNA(_xlpm.result, "")
)</f>
        <v/>
      </c>
      <c r="AM2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9" t="str">
        <f>IF(SUM(Table5[[#This Row],[A1]:[C6]])&lt;&gt;0,SUM(Table5[[#This Row],[A1]:[C6]]),"")</f>
        <v/>
      </c>
      <c r="AW29" t="str">
        <f>IF(SUM(Table5[[#This Row],[D7]:[F9]])=0,"",SUM(Table5[[#This Row],[D7]:[F9]]))</f>
        <v/>
      </c>
      <c r="AX2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9" t="str">
        <f>IF(COUNTIF(Table5[[#This Row],[English Language]:[Electrical/ Electronics]],"WITHHELD")=0,"",COUNTIF(Table5[[#This Row],[English Language]:[Electrical/ Electronics]],"WITHHELD"))</f>
        <v/>
      </c>
      <c r="BE29" t="str">
        <f>IF(SUM(Table5[[#This Row],[NO OF CREDITS]:[BELOW CREDITS]])=0,"",SUM(Table5[[#This Row],[NO OF CREDITS]:[BELOW CREDITS]]))</f>
        <v/>
      </c>
    </row>
    <row r="30" spans="1:57" x14ac:dyDescent="0.3">
      <c r="A30" t="str">
        <f>IF(B30&lt;&gt;"",COUNTA($B$6:B30),"")</f>
        <v/>
      </c>
      <c r="B30" t="str">
        <f>IF(Result_Database!A26="","",Result_Database!A26)</f>
        <v/>
      </c>
      <c r="C30" t="str">
        <f>_xlfn.LET(
_xlpm.result,_xlfn.XLOOKUP($B30,Result_Database!$A$2:$A$500,Result_Database!$B$2:$B$500),
_xlfn.IFNA(_xlpm.result,"")
)</f>
        <v/>
      </c>
      <c r="D30" t="str">
        <f>_xlfn.LET(
  _xlpm.result, _xlfn.XLOOKUP($B30, Result_Database!$A$2:$A$500, Result_Database!C$2:C$500),
  _xlfn.IFNA(_xlpm.result, "")
)</f>
        <v/>
      </c>
      <c r="E30" t="str">
        <f>_xlfn.LET(
  _xlpm.result, _xlfn.XLOOKUP($B30, Result_Database!$A$2:$A$500, Result_Database!D$2:D$500),
  _xlfn.IFNA(_xlpm.result, "")
)</f>
        <v/>
      </c>
      <c r="F30" t="str">
        <f>_xlfn.LET(
  _xlpm.result, _xlfn.XLOOKUP($B30, Result_Database!$A$2:$A$500, Result_Database!E$2:E$500),
  _xlfn.IFNA(_xlpm.result, "")
)</f>
        <v/>
      </c>
      <c r="G30" t="str">
        <f>_xlfn.LET(
  _xlpm.result, _xlfn.XLOOKUP($B30, Result_Database!$A$2:$A$500, Result_Database!F$2:F$500),
  _xlfn.IFNA(_xlpm.result, "")
)</f>
        <v/>
      </c>
      <c r="H30" t="str">
        <f>_xlfn.LET(
  _xlpm.result, _xlfn.XLOOKUP($B30, Result_Database!$A$2:$A$500, Result_Database!G$2:G$500),
  _xlfn.IFNA(_xlpm.result, "")
)</f>
        <v/>
      </c>
      <c r="I30" t="str">
        <f>_xlfn.LET(
  _xlpm.result, _xlfn.XLOOKUP($B30, Result_Database!$A$2:$A$500, Result_Database!H$2:H$500),
  _xlfn.IFNA(_xlpm.result, "")
)</f>
        <v/>
      </c>
      <c r="J30" t="str">
        <f>_xlfn.LET(
  _xlpm.result, _xlfn.XLOOKUP($B30, Result_Database!$A$2:$A$500, Result_Database!I$2:I$500),
  _xlfn.IFNA(_xlpm.result, "")
)</f>
        <v/>
      </c>
      <c r="K30" t="str">
        <f>_xlfn.LET(
  _xlpm.result, _xlfn.XLOOKUP($B30, Result_Database!$A$2:$A$500, Result_Database!J$2:J$500),
  _xlfn.IFNA(_xlpm.result, "")
)</f>
        <v/>
      </c>
      <c r="L30" t="str">
        <f>_xlfn.LET(
  _xlpm.result, _xlfn.XLOOKUP($B30, Result_Database!$A$2:$A$500, Result_Database!K$2:K$500),
  _xlfn.IFNA(_xlpm.result, "")
)</f>
        <v/>
      </c>
      <c r="M30" t="str">
        <f>_xlfn.LET(
  _xlpm.result, _xlfn.XLOOKUP($B30, Result_Database!$A$2:$A$500, Result_Database!L$2:L$500),
  _xlfn.IFNA(_xlpm.result, "")
)</f>
        <v/>
      </c>
      <c r="N30" t="str">
        <f>_xlfn.LET(
  _xlpm.result, _xlfn.XLOOKUP($B30, Result_Database!$A$2:$A$500, Result_Database!M$2:M$500),
  _xlfn.IFNA(_xlpm.result, "")
)</f>
        <v/>
      </c>
      <c r="O30" t="str">
        <f>_xlfn.LET(
  _xlpm.result, _xlfn.XLOOKUP($B30, Result_Database!$A$2:$A$500, Result_Database!N$2:N$500),
  _xlfn.IFNA(_xlpm.result, "")
)</f>
        <v/>
      </c>
      <c r="P30" t="str">
        <f>_xlfn.LET(
  _xlpm.result, _xlfn.XLOOKUP($B30, Result_Database!$A$2:$A$500, Result_Database!O$2:O$500),
  _xlfn.IFNA(_xlpm.result, "")
)</f>
        <v/>
      </c>
      <c r="Q30" t="str">
        <f>_xlfn.LET(
  _xlpm.result, _xlfn.XLOOKUP($B30, Result_Database!$A$2:$A$500, Result_Database!P$2:P$500),
  _xlfn.IFNA(_xlpm.result, "")
)</f>
        <v/>
      </c>
      <c r="R30" t="str">
        <f>_xlfn.LET(
  _xlpm.result, _xlfn.XLOOKUP($B30, Result_Database!$A$2:$A$500, Result_Database!Q$2:Q$500),
  _xlfn.IFNA(_xlpm.result, "")
)</f>
        <v/>
      </c>
      <c r="S30" t="str">
        <f>_xlfn.LET(
  _xlpm.result, _xlfn.XLOOKUP($B30, Result_Database!$A$2:$A$500, Result_Database!R$2:R$500),
  _xlfn.IFNA(_xlpm.result, "")
)</f>
        <v/>
      </c>
      <c r="T30" t="str">
        <f>_xlfn.LET(
  _xlpm.result, _xlfn.XLOOKUP($B30, Result_Database!$A$2:$A$500, Result_Database!S$2:S$500),
  _xlfn.IFNA(_xlpm.result, "")
)</f>
        <v/>
      </c>
      <c r="U30" t="str">
        <f>_xlfn.LET(
  _xlpm.result, _xlfn.XLOOKUP($B30, Result_Database!$A$2:$A$500, Result_Database!T$2:T$500),
  _xlfn.IFNA(_xlpm.result, "")
)</f>
        <v/>
      </c>
      <c r="V30" t="str">
        <f>_xlfn.LET(
  _xlpm.result, _xlfn.XLOOKUP($B30, Result_Database!$A$2:$A$500, Result_Database!U$2:U$500),
  _xlfn.IFNA(_xlpm.result, "")
)</f>
        <v/>
      </c>
      <c r="W30" t="str">
        <f>_xlfn.LET(
  _xlpm.result, _xlfn.XLOOKUP($B30, Result_Database!$A$2:$A$500, Result_Database!V$2:V$500),
  _xlfn.IFNA(_xlpm.result, "")
)</f>
        <v/>
      </c>
      <c r="X30" t="str">
        <f>_xlfn.LET(
  _xlpm.result, _xlfn.XLOOKUP($B30, Result_Database!$A$2:$A$500, Result_Database!W$2:W$500),
  _xlfn.IFNA(_xlpm.result, "")
)</f>
        <v/>
      </c>
      <c r="Y30" t="str">
        <f>_xlfn.LET(
  _xlpm.result, _xlfn.XLOOKUP($B30, Result_Database!$A$2:$A$500, Result_Database!X$2:X$500),
  _xlfn.IFNA(_xlpm.result, "")
)</f>
        <v/>
      </c>
      <c r="Z30" t="str">
        <f>_xlfn.LET(
  _xlpm.result, _xlfn.XLOOKUP($B30, Result_Database!$A$2:$A$500, Result_Database!Y$2:Y$500),
  _xlfn.IFNA(_xlpm.result, "")
)</f>
        <v/>
      </c>
      <c r="AA30" t="str">
        <f>_xlfn.LET(
  _xlpm.result, _xlfn.XLOOKUP($B30, Result_Database!$A$2:$A$500, Result_Database!Z$2:Z$500),
  _xlfn.IFNA(_xlpm.result, "")
)</f>
        <v/>
      </c>
      <c r="AB30" t="str">
        <f>_xlfn.LET(
  _xlpm.result, _xlfn.XLOOKUP($B30, Result_Database!$A$2:$A$500, Result_Database!AA$2:AA$500),
  _xlfn.IFNA(_xlpm.result, "")
)</f>
        <v/>
      </c>
      <c r="AC30" t="str">
        <f>_xlfn.LET(
  _xlpm.result, _xlfn.XLOOKUP($B30, Result_Database!$A$2:$A$500, Result_Database!AB$2:AB$500),
  _xlfn.IFNA(_xlpm.result, "")
)</f>
        <v/>
      </c>
      <c r="AD30" t="str">
        <f>_xlfn.LET(
  _xlpm.result, _xlfn.XLOOKUP($B30, Result_Database!$A$2:$A$500, Result_Database!AC$2:AC$500),
  _xlfn.IFNA(_xlpm.result, "")
)</f>
        <v/>
      </c>
      <c r="AE30" t="str">
        <f>_xlfn.LET(
  _xlpm.result, _xlfn.XLOOKUP($B30, Result_Database!$A$2:$A$500, Result_Database!AD$2:AD$500),
  _xlfn.IFNA(_xlpm.result, "")
)</f>
        <v/>
      </c>
      <c r="AF30" t="str">
        <f>_xlfn.LET(
  _xlpm.result, _xlfn.XLOOKUP($B30, Result_Database!$A$2:$A$500, Result_Database!AE$2:AE$500),
  _xlfn.IFNA(_xlpm.result, "")
)</f>
        <v/>
      </c>
      <c r="AG30" t="str">
        <f>_xlfn.LET(
  _xlpm.result, _xlfn.XLOOKUP($B30, Result_Database!$A$2:$A$500, Result_Database!AF$2:AF$500),
  _xlfn.IFNA(_xlpm.result, "")
)</f>
        <v/>
      </c>
      <c r="AH30" t="str">
        <f>_xlfn.LET(
  _xlpm.result, _xlfn.XLOOKUP($B30, Result_Database!$A$2:$A$500, Result_Database!AG$2:AG$500),
  _xlfn.IFNA(_xlpm.result, "")
)</f>
        <v/>
      </c>
      <c r="AI30" t="str">
        <f>_xlfn.LET(
  _xlpm.result, _xlfn.XLOOKUP($B30, Result_Database!$A$2:$A$500, Result_Database!AH$2:AH$500),
  _xlfn.IFNA(_xlpm.result, "")
)</f>
        <v/>
      </c>
      <c r="AJ30" t="str">
        <f>_xlfn.LET(
  _xlpm.result, _xlfn.XLOOKUP($B30, Result_Database!$A$2:$A$500, Result_Database!AI$2:AI$500),
  _xlfn.IFNA(_xlpm.result, "")
)</f>
        <v/>
      </c>
      <c r="AK30" t="str">
        <f>_xlfn.LET(
  _xlpm.result, _xlfn.XLOOKUP($B30, Result_Database!$A$2:$A$500, Result_Database!AJ$2:AJ$500),
  _xlfn.IFNA(_xlpm.result, "")
)</f>
        <v/>
      </c>
      <c r="AL30" t="str">
        <f>_xlfn.LET(
  _xlpm.result, _xlfn.XLOOKUP($B30, Result_Database!$A$2:$A$500, Result_Database!AK$2:AK$500),
  _xlfn.IFNA(_xlpm.result, "")
)</f>
        <v/>
      </c>
      <c r="AM3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0" t="str">
        <f>IF(SUM(Table5[[#This Row],[A1]:[C6]])&lt;&gt;0,SUM(Table5[[#This Row],[A1]:[C6]]),"")</f>
        <v/>
      </c>
      <c r="AW30" t="str">
        <f>IF(SUM(Table5[[#This Row],[D7]:[F9]])=0,"",SUM(Table5[[#This Row],[D7]:[F9]]))</f>
        <v/>
      </c>
      <c r="AX3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0" t="str">
        <f>IF(COUNTIF(Table5[[#This Row],[English Language]:[Electrical/ Electronics]],"WITHHELD")=0,"",COUNTIF(Table5[[#This Row],[English Language]:[Electrical/ Electronics]],"WITHHELD"))</f>
        <v/>
      </c>
      <c r="BE30" t="str">
        <f>IF(SUM(Table5[[#This Row],[NO OF CREDITS]:[BELOW CREDITS]])=0,"",SUM(Table5[[#This Row],[NO OF CREDITS]:[BELOW CREDITS]]))</f>
        <v/>
      </c>
    </row>
    <row r="31" spans="1:57" x14ac:dyDescent="0.3">
      <c r="A31" t="str">
        <f>IF(B31&lt;&gt;"",COUNTA($B$6:B31),"")</f>
        <v/>
      </c>
      <c r="B31" t="str">
        <f>IF(Result_Database!A27="","",Result_Database!A27)</f>
        <v/>
      </c>
      <c r="C31" t="str">
        <f>_xlfn.LET(
_xlpm.result,_xlfn.XLOOKUP($B31,Result_Database!$A$2:$A$500,Result_Database!$B$2:$B$500),
_xlfn.IFNA(_xlpm.result,"")
)</f>
        <v/>
      </c>
      <c r="D31" t="str">
        <f>_xlfn.LET(
  _xlpm.result, _xlfn.XLOOKUP($B31, Result_Database!$A$2:$A$500, Result_Database!C$2:C$500),
  _xlfn.IFNA(_xlpm.result, "")
)</f>
        <v/>
      </c>
      <c r="E31" t="str">
        <f>_xlfn.LET(
  _xlpm.result, _xlfn.XLOOKUP($B31, Result_Database!$A$2:$A$500, Result_Database!D$2:D$500),
  _xlfn.IFNA(_xlpm.result, "")
)</f>
        <v/>
      </c>
      <c r="F31" t="str">
        <f>_xlfn.LET(
  _xlpm.result, _xlfn.XLOOKUP($B31, Result_Database!$A$2:$A$500, Result_Database!E$2:E$500),
  _xlfn.IFNA(_xlpm.result, "")
)</f>
        <v/>
      </c>
      <c r="G31" t="str">
        <f>_xlfn.LET(
  _xlpm.result, _xlfn.XLOOKUP($B31, Result_Database!$A$2:$A$500, Result_Database!F$2:F$500),
  _xlfn.IFNA(_xlpm.result, "")
)</f>
        <v/>
      </c>
      <c r="H31" t="str">
        <f>_xlfn.LET(
  _xlpm.result, _xlfn.XLOOKUP($B31, Result_Database!$A$2:$A$500, Result_Database!G$2:G$500),
  _xlfn.IFNA(_xlpm.result, "")
)</f>
        <v/>
      </c>
      <c r="I31" t="str">
        <f>_xlfn.LET(
  _xlpm.result, _xlfn.XLOOKUP($B31, Result_Database!$A$2:$A$500, Result_Database!H$2:H$500),
  _xlfn.IFNA(_xlpm.result, "")
)</f>
        <v/>
      </c>
      <c r="J31" t="str">
        <f>_xlfn.LET(
  _xlpm.result, _xlfn.XLOOKUP($B31, Result_Database!$A$2:$A$500, Result_Database!I$2:I$500),
  _xlfn.IFNA(_xlpm.result, "")
)</f>
        <v/>
      </c>
      <c r="K31" t="str">
        <f>_xlfn.LET(
  _xlpm.result, _xlfn.XLOOKUP($B31, Result_Database!$A$2:$A$500, Result_Database!J$2:J$500),
  _xlfn.IFNA(_xlpm.result, "")
)</f>
        <v/>
      </c>
      <c r="L31" t="str">
        <f>_xlfn.LET(
  _xlpm.result, _xlfn.XLOOKUP($B31, Result_Database!$A$2:$A$500, Result_Database!K$2:K$500),
  _xlfn.IFNA(_xlpm.result, "")
)</f>
        <v/>
      </c>
      <c r="M31" t="str">
        <f>_xlfn.LET(
  _xlpm.result, _xlfn.XLOOKUP($B31, Result_Database!$A$2:$A$500, Result_Database!L$2:L$500),
  _xlfn.IFNA(_xlpm.result, "")
)</f>
        <v/>
      </c>
      <c r="N31" t="str">
        <f>_xlfn.LET(
  _xlpm.result, _xlfn.XLOOKUP($B31, Result_Database!$A$2:$A$500, Result_Database!M$2:M$500),
  _xlfn.IFNA(_xlpm.result, "")
)</f>
        <v/>
      </c>
      <c r="O31" t="str">
        <f>_xlfn.LET(
  _xlpm.result, _xlfn.XLOOKUP($B31, Result_Database!$A$2:$A$500, Result_Database!N$2:N$500),
  _xlfn.IFNA(_xlpm.result, "")
)</f>
        <v/>
      </c>
      <c r="P31" t="str">
        <f>_xlfn.LET(
  _xlpm.result, _xlfn.XLOOKUP($B31, Result_Database!$A$2:$A$500, Result_Database!O$2:O$500),
  _xlfn.IFNA(_xlpm.result, "")
)</f>
        <v/>
      </c>
      <c r="Q31" t="str">
        <f>_xlfn.LET(
  _xlpm.result, _xlfn.XLOOKUP($B31, Result_Database!$A$2:$A$500, Result_Database!P$2:P$500),
  _xlfn.IFNA(_xlpm.result, "")
)</f>
        <v/>
      </c>
      <c r="R31" t="str">
        <f>_xlfn.LET(
  _xlpm.result, _xlfn.XLOOKUP($B31, Result_Database!$A$2:$A$500, Result_Database!Q$2:Q$500),
  _xlfn.IFNA(_xlpm.result, "")
)</f>
        <v/>
      </c>
      <c r="S31" t="str">
        <f>_xlfn.LET(
  _xlpm.result, _xlfn.XLOOKUP($B31, Result_Database!$A$2:$A$500, Result_Database!R$2:R$500),
  _xlfn.IFNA(_xlpm.result, "")
)</f>
        <v/>
      </c>
      <c r="T31" t="str">
        <f>_xlfn.LET(
  _xlpm.result, _xlfn.XLOOKUP($B31, Result_Database!$A$2:$A$500, Result_Database!S$2:S$500),
  _xlfn.IFNA(_xlpm.result, "")
)</f>
        <v/>
      </c>
      <c r="U31" t="str">
        <f>_xlfn.LET(
  _xlpm.result, _xlfn.XLOOKUP($B31, Result_Database!$A$2:$A$500, Result_Database!T$2:T$500),
  _xlfn.IFNA(_xlpm.result, "")
)</f>
        <v/>
      </c>
      <c r="V31" t="str">
        <f>_xlfn.LET(
  _xlpm.result, _xlfn.XLOOKUP($B31, Result_Database!$A$2:$A$500, Result_Database!U$2:U$500),
  _xlfn.IFNA(_xlpm.result, "")
)</f>
        <v/>
      </c>
      <c r="W31" t="str">
        <f>_xlfn.LET(
  _xlpm.result, _xlfn.XLOOKUP($B31, Result_Database!$A$2:$A$500, Result_Database!V$2:V$500),
  _xlfn.IFNA(_xlpm.result, "")
)</f>
        <v/>
      </c>
      <c r="X31" t="str">
        <f>_xlfn.LET(
  _xlpm.result, _xlfn.XLOOKUP($B31, Result_Database!$A$2:$A$500, Result_Database!W$2:W$500),
  _xlfn.IFNA(_xlpm.result, "")
)</f>
        <v/>
      </c>
      <c r="Y31" t="str">
        <f>_xlfn.LET(
  _xlpm.result, _xlfn.XLOOKUP($B31, Result_Database!$A$2:$A$500, Result_Database!X$2:X$500),
  _xlfn.IFNA(_xlpm.result, "")
)</f>
        <v/>
      </c>
      <c r="Z31" t="str">
        <f>_xlfn.LET(
  _xlpm.result, _xlfn.XLOOKUP($B31, Result_Database!$A$2:$A$500, Result_Database!Y$2:Y$500),
  _xlfn.IFNA(_xlpm.result, "")
)</f>
        <v/>
      </c>
      <c r="AA31" t="str">
        <f>_xlfn.LET(
  _xlpm.result, _xlfn.XLOOKUP($B31, Result_Database!$A$2:$A$500, Result_Database!Z$2:Z$500),
  _xlfn.IFNA(_xlpm.result, "")
)</f>
        <v/>
      </c>
      <c r="AB31" t="str">
        <f>_xlfn.LET(
  _xlpm.result, _xlfn.XLOOKUP($B31, Result_Database!$A$2:$A$500, Result_Database!AA$2:AA$500),
  _xlfn.IFNA(_xlpm.result, "")
)</f>
        <v/>
      </c>
      <c r="AC31" t="str">
        <f>_xlfn.LET(
  _xlpm.result, _xlfn.XLOOKUP($B31, Result_Database!$A$2:$A$500, Result_Database!AB$2:AB$500),
  _xlfn.IFNA(_xlpm.result, "")
)</f>
        <v/>
      </c>
      <c r="AD31" t="str">
        <f>_xlfn.LET(
  _xlpm.result, _xlfn.XLOOKUP($B31, Result_Database!$A$2:$A$500, Result_Database!AC$2:AC$500),
  _xlfn.IFNA(_xlpm.result, "")
)</f>
        <v/>
      </c>
      <c r="AE31" t="str">
        <f>_xlfn.LET(
  _xlpm.result, _xlfn.XLOOKUP($B31, Result_Database!$A$2:$A$500, Result_Database!AD$2:AD$500),
  _xlfn.IFNA(_xlpm.result, "")
)</f>
        <v/>
      </c>
      <c r="AF31" t="str">
        <f>_xlfn.LET(
  _xlpm.result, _xlfn.XLOOKUP($B31, Result_Database!$A$2:$A$500, Result_Database!AE$2:AE$500),
  _xlfn.IFNA(_xlpm.result, "")
)</f>
        <v/>
      </c>
      <c r="AG31" t="str">
        <f>_xlfn.LET(
  _xlpm.result, _xlfn.XLOOKUP($B31, Result_Database!$A$2:$A$500, Result_Database!AF$2:AF$500),
  _xlfn.IFNA(_xlpm.result, "")
)</f>
        <v/>
      </c>
      <c r="AH31" t="str">
        <f>_xlfn.LET(
  _xlpm.result, _xlfn.XLOOKUP($B31, Result_Database!$A$2:$A$500, Result_Database!AG$2:AG$500),
  _xlfn.IFNA(_xlpm.result, "")
)</f>
        <v/>
      </c>
      <c r="AI31" t="str">
        <f>_xlfn.LET(
  _xlpm.result, _xlfn.XLOOKUP($B31, Result_Database!$A$2:$A$500, Result_Database!AH$2:AH$500),
  _xlfn.IFNA(_xlpm.result, "")
)</f>
        <v/>
      </c>
      <c r="AJ31" t="str">
        <f>_xlfn.LET(
  _xlpm.result, _xlfn.XLOOKUP($B31, Result_Database!$A$2:$A$500, Result_Database!AI$2:AI$500),
  _xlfn.IFNA(_xlpm.result, "")
)</f>
        <v/>
      </c>
      <c r="AK31" t="str">
        <f>_xlfn.LET(
  _xlpm.result, _xlfn.XLOOKUP($B31, Result_Database!$A$2:$A$500, Result_Database!AJ$2:AJ$500),
  _xlfn.IFNA(_xlpm.result, "")
)</f>
        <v/>
      </c>
      <c r="AL31" t="str">
        <f>_xlfn.LET(
  _xlpm.result, _xlfn.XLOOKUP($B31, Result_Database!$A$2:$A$500, Result_Database!AK$2:AK$500),
  _xlfn.IFNA(_xlpm.result, "")
)</f>
        <v/>
      </c>
      <c r="AM3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1" t="str">
        <f>IF(SUM(Table5[[#This Row],[A1]:[C6]])&lt;&gt;0,SUM(Table5[[#This Row],[A1]:[C6]]),"")</f>
        <v/>
      </c>
      <c r="AW31" t="str">
        <f>IF(SUM(Table5[[#This Row],[D7]:[F9]])=0,"",SUM(Table5[[#This Row],[D7]:[F9]]))</f>
        <v/>
      </c>
      <c r="AX3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1" t="str">
        <f>IF(COUNTIF(Table5[[#This Row],[English Language]:[Electrical/ Electronics]],"WITHHELD")=0,"",COUNTIF(Table5[[#This Row],[English Language]:[Electrical/ Electronics]],"WITHHELD"))</f>
        <v/>
      </c>
      <c r="BE31" t="str">
        <f>IF(SUM(Table5[[#This Row],[NO OF CREDITS]:[BELOW CREDITS]])=0,"",SUM(Table5[[#This Row],[NO OF CREDITS]:[BELOW CREDITS]]))</f>
        <v/>
      </c>
    </row>
    <row r="32" spans="1:57" x14ac:dyDescent="0.3">
      <c r="A32" t="str">
        <f>IF(B32&lt;&gt;"",COUNTA($B$6:B32),"")</f>
        <v/>
      </c>
      <c r="B32" t="str">
        <f>IF(Result_Database!A28="","",Result_Database!A28)</f>
        <v/>
      </c>
      <c r="C32" t="str">
        <f>_xlfn.LET(
_xlpm.result,_xlfn.XLOOKUP($B32,Result_Database!$A$2:$A$500,Result_Database!$B$2:$B$500),
_xlfn.IFNA(_xlpm.result,"")
)</f>
        <v/>
      </c>
      <c r="D32" t="str">
        <f>_xlfn.LET(
  _xlpm.result, _xlfn.XLOOKUP($B32, Result_Database!$A$2:$A$500, Result_Database!C$2:C$500),
  _xlfn.IFNA(_xlpm.result, "")
)</f>
        <v/>
      </c>
      <c r="E32" t="str">
        <f>_xlfn.LET(
  _xlpm.result, _xlfn.XLOOKUP($B32, Result_Database!$A$2:$A$500, Result_Database!D$2:D$500),
  _xlfn.IFNA(_xlpm.result, "")
)</f>
        <v/>
      </c>
      <c r="F32" t="str">
        <f>_xlfn.LET(
  _xlpm.result, _xlfn.XLOOKUP($B32, Result_Database!$A$2:$A$500, Result_Database!E$2:E$500),
  _xlfn.IFNA(_xlpm.result, "")
)</f>
        <v/>
      </c>
      <c r="G32" t="str">
        <f>_xlfn.LET(
  _xlpm.result, _xlfn.XLOOKUP($B32, Result_Database!$A$2:$A$500, Result_Database!F$2:F$500),
  _xlfn.IFNA(_xlpm.result, "")
)</f>
        <v/>
      </c>
      <c r="H32" t="str">
        <f>_xlfn.LET(
  _xlpm.result, _xlfn.XLOOKUP($B32, Result_Database!$A$2:$A$500, Result_Database!G$2:G$500),
  _xlfn.IFNA(_xlpm.result, "")
)</f>
        <v/>
      </c>
      <c r="I32" t="str">
        <f>_xlfn.LET(
  _xlpm.result, _xlfn.XLOOKUP($B32, Result_Database!$A$2:$A$500, Result_Database!H$2:H$500),
  _xlfn.IFNA(_xlpm.result, "")
)</f>
        <v/>
      </c>
      <c r="J32" t="str">
        <f>_xlfn.LET(
  _xlpm.result, _xlfn.XLOOKUP($B32, Result_Database!$A$2:$A$500, Result_Database!I$2:I$500),
  _xlfn.IFNA(_xlpm.result, "")
)</f>
        <v/>
      </c>
      <c r="K32" t="str">
        <f>_xlfn.LET(
  _xlpm.result, _xlfn.XLOOKUP($B32, Result_Database!$A$2:$A$500, Result_Database!J$2:J$500),
  _xlfn.IFNA(_xlpm.result, "")
)</f>
        <v/>
      </c>
      <c r="L32" t="str">
        <f>_xlfn.LET(
  _xlpm.result, _xlfn.XLOOKUP($B32, Result_Database!$A$2:$A$500, Result_Database!K$2:K$500),
  _xlfn.IFNA(_xlpm.result, "")
)</f>
        <v/>
      </c>
      <c r="M32" t="str">
        <f>_xlfn.LET(
  _xlpm.result, _xlfn.XLOOKUP($B32, Result_Database!$A$2:$A$500, Result_Database!L$2:L$500),
  _xlfn.IFNA(_xlpm.result, "")
)</f>
        <v/>
      </c>
      <c r="N32" t="str">
        <f>_xlfn.LET(
  _xlpm.result, _xlfn.XLOOKUP($B32, Result_Database!$A$2:$A$500, Result_Database!M$2:M$500),
  _xlfn.IFNA(_xlpm.result, "")
)</f>
        <v/>
      </c>
      <c r="O32" t="str">
        <f>_xlfn.LET(
  _xlpm.result, _xlfn.XLOOKUP($B32, Result_Database!$A$2:$A$500, Result_Database!N$2:N$500),
  _xlfn.IFNA(_xlpm.result, "")
)</f>
        <v/>
      </c>
      <c r="P32" t="str">
        <f>_xlfn.LET(
  _xlpm.result, _xlfn.XLOOKUP($B32, Result_Database!$A$2:$A$500, Result_Database!O$2:O$500),
  _xlfn.IFNA(_xlpm.result, "")
)</f>
        <v/>
      </c>
      <c r="Q32" t="str">
        <f>_xlfn.LET(
  _xlpm.result, _xlfn.XLOOKUP($B32, Result_Database!$A$2:$A$500, Result_Database!P$2:P$500),
  _xlfn.IFNA(_xlpm.result, "")
)</f>
        <v/>
      </c>
      <c r="R32" t="str">
        <f>_xlfn.LET(
  _xlpm.result, _xlfn.XLOOKUP($B32, Result_Database!$A$2:$A$500, Result_Database!Q$2:Q$500),
  _xlfn.IFNA(_xlpm.result, "")
)</f>
        <v/>
      </c>
      <c r="S32" t="str">
        <f>_xlfn.LET(
  _xlpm.result, _xlfn.XLOOKUP($B32, Result_Database!$A$2:$A$500, Result_Database!R$2:R$500),
  _xlfn.IFNA(_xlpm.result, "")
)</f>
        <v/>
      </c>
      <c r="T32" t="str">
        <f>_xlfn.LET(
  _xlpm.result, _xlfn.XLOOKUP($B32, Result_Database!$A$2:$A$500, Result_Database!S$2:S$500),
  _xlfn.IFNA(_xlpm.result, "")
)</f>
        <v/>
      </c>
      <c r="U32" t="str">
        <f>_xlfn.LET(
  _xlpm.result, _xlfn.XLOOKUP($B32, Result_Database!$A$2:$A$500, Result_Database!T$2:T$500),
  _xlfn.IFNA(_xlpm.result, "")
)</f>
        <v/>
      </c>
      <c r="V32" t="str">
        <f>_xlfn.LET(
  _xlpm.result, _xlfn.XLOOKUP($B32, Result_Database!$A$2:$A$500, Result_Database!U$2:U$500),
  _xlfn.IFNA(_xlpm.result, "")
)</f>
        <v/>
      </c>
      <c r="W32" t="str">
        <f>_xlfn.LET(
  _xlpm.result, _xlfn.XLOOKUP($B32, Result_Database!$A$2:$A$500, Result_Database!V$2:V$500),
  _xlfn.IFNA(_xlpm.result, "")
)</f>
        <v/>
      </c>
      <c r="X32" t="str">
        <f>_xlfn.LET(
  _xlpm.result, _xlfn.XLOOKUP($B32, Result_Database!$A$2:$A$500, Result_Database!W$2:W$500),
  _xlfn.IFNA(_xlpm.result, "")
)</f>
        <v/>
      </c>
      <c r="Y32" t="str">
        <f>_xlfn.LET(
  _xlpm.result, _xlfn.XLOOKUP($B32, Result_Database!$A$2:$A$500, Result_Database!X$2:X$500),
  _xlfn.IFNA(_xlpm.result, "")
)</f>
        <v/>
      </c>
      <c r="Z32" t="str">
        <f>_xlfn.LET(
  _xlpm.result, _xlfn.XLOOKUP($B32, Result_Database!$A$2:$A$500, Result_Database!Y$2:Y$500),
  _xlfn.IFNA(_xlpm.result, "")
)</f>
        <v/>
      </c>
      <c r="AA32" t="str">
        <f>_xlfn.LET(
  _xlpm.result, _xlfn.XLOOKUP($B32, Result_Database!$A$2:$A$500, Result_Database!Z$2:Z$500),
  _xlfn.IFNA(_xlpm.result, "")
)</f>
        <v/>
      </c>
      <c r="AB32" t="str">
        <f>_xlfn.LET(
  _xlpm.result, _xlfn.XLOOKUP($B32, Result_Database!$A$2:$A$500, Result_Database!AA$2:AA$500),
  _xlfn.IFNA(_xlpm.result, "")
)</f>
        <v/>
      </c>
      <c r="AC32" t="str">
        <f>_xlfn.LET(
  _xlpm.result, _xlfn.XLOOKUP($B32, Result_Database!$A$2:$A$500, Result_Database!AB$2:AB$500),
  _xlfn.IFNA(_xlpm.result, "")
)</f>
        <v/>
      </c>
      <c r="AD32" t="str">
        <f>_xlfn.LET(
  _xlpm.result, _xlfn.XLOOKUP($B32, Result_Database!$A$2:$A$500, Result_Database!AC$2:AC$500),
  _xlfn.IFNA(_xlpm.result, "")
)</f>
        <v/>
      </c>
      <c r="AE32" t="str">
        <f>_xlfn.LET(
  _xlpm.result, _xlfn.XLOOKUP($B32, Result_Database!$A$2:$A$500, Result_Database!AD$2:AD$500),
  _xlfn.IFNA(_xlpm.result, "")
)</f>
        <v/>
      </c>
      <c r="AF32" t="str">
        <f>_xlfn.LET(
  _xlpm.result, _xlfn.XLOOKUP($B32, Result_Database!$A$2:$A$500, Result_Database!AE$2:AE$500),
  _xlfn.IFNA(_xlpm.result, "")
)</f>
        <v/>
      </c>
      <c r="AG32" t="str">
        <f>_xlfn.LET(
  _xlpm.result, _xlfn.XLOOKUP($B32, Result_Database!$A$2:$A$500, Result_Database!AF$2:AF$500),
  _xlfn.IFNA(_xlpm.result, "")
)</f>
        <v/>
      </c>
      <c r="AH32" t="str">
        <f>_xlfn.LET(
  _xlpm.result, _xlfn.XLOOKUP($B32, Result_Database!$A$2:$A$500, Result_Database!AG$2:AG$500),
  _xlfn.IFNA(_xlpm.result, "")
)</f>
        <v/>
      </c>
      <c r="AI32" t="str">
        <f>_xlfn.LET(
  _xlpm.result, _xlfn.XLOOKUP($B32, Result_Database!$A$2:$A$500, Result_Database!AH$2:AH$500),
  _xlfn.IFNA(_xlpm.result, "")
)</f>
        <v/>
      </c>
      <c r="AJ32" t="str">
        <f>_xlfn.LET(
  _xlpm.result, _xlfn.XLOOKUP($B32, Result_Database!$A$2:$A$500, Result_Database!AI$2:AI$500),
  _xlfn.IFNA(_xlpm.result, "")
)</f>
        <v/>
      </c>
      <c r="AK32" t="str">
        <f>_xlfn.LET(
  _xlpm.result, _xlfn.XLOOKUP($B32, Result_Database!$A$2:$A$500, Result_Database!AJ$2:AJ$500),
  _xlfn.IFNA(_xlpm.result, "")
)</f>
        <v/>
      </c>
      <c r="AL32" t="str">
        <f>_xlfn.LET(
  _xlpm.result, _xlfn.XLOOKUP($B32, Result_Database!$A$2:$A$500, Result_Database!AK$2:AK$500),
  _xlfn.IFNA(_xlpm.result, "")
)</f>
        <v/>
      </c>
      <c r="AM3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2" t="str">
        <f>IF(SUM(Table5[[#This Row],[A1]:[C6]])&lt;&gt;0,SUM(Table5[[#This Row],[A1]:[C6]]),"")</f>
        <v/>
      </c>
      <c r="AW32" t="str">
        <f>IF(SUM(Table5[[#This Row],[D7]:[F9]])=0,"",SUM(Table5[[#This Row],[D7]:[F9]]))</f>
        <v/>
      </c>
      <c r="AX3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2" t="str">
        <f>IF(COUNTIF(Table5[[#This Row],[English Language]:[Electrical/ Electronics]],"WITHHELD")=0,"",COUNTIF(Table5[[#This Row],[English Language]:[Electrical/ Electronics]],"WITHHELD"))</f>
        <v/>
      </c>
      <c r="BE32" t="str">
        <f>IF(SUM(Table5[[#This Row],[NO OF CREDITS]:[BELOW CREDITS]])=0,"",SUM(Table5[[#This Row],[NO OF CREDITS]:[BELOW CREDITS]]))</f>
        <v/>
      </c>
    </row>
    <row r="33" spans="1:57" x14ac:dyDescent="0.3">
      <c r="A33" t="str">
        <f>IF(B33&lt;&gt;"",COUNTA($B$6:B33),"")</f>
        <v/>
      </c>
      <c r="B33" t="str">
        <f>IF(Result_Database!A29="","",Result_Database!A29)</f>
        <v/>
      </c>
      <c r="C33" t="str">
        <f>_xlfn.LET(
_xlpm.result,_xlfn.XLOOKUP($B33,Result_Database!$A$2:$A$500,Result_Database!$B$2:$B$500),
_xlfn.IFNA(_xlpm.result,"")
)</f>
        <v/>
      </c>
      <c r="D33" t="str">
        <f>_xlfn.LET(
  _xlpm.result, _xlfn.XLOOKUP($B33, Result_Database!$A$2:$A$500, Result_Database!C$2:C$500),
  _xlfn.IFNA(_xlpm.result, "")
)</f>
        <v/>
      </c>
      <c r="E33" t="str">
        <f>_xlfn.LET(
  _xlpm.result, _xlfn.XLOOKUP($B33, Result_Database!$A$2:$A$500, Result_Database!D$2:D$500),
  _xlfn.IFNA(_xlpm.result, "")
)</f>
        <v/>
      </c>
      <c r="F33" t="str">
        <f>_xlfn.LET(
  _xlpm.result, _xlfn.XLOOKUP($B33, Result_Database!$A$2:$A$500, Result_Database!E$2:E$500),
  _xlfn.IFNA(_xlpm.result, "")
)</f>
        <v/>
      </c>
      <c r="G33" t="str">
        <f>_xlfn.LET(
  _xlpm.result, _xlfn.XLOOKUP($B33, Result_Database!$A$2:$A$500, Result_Database!F$2:F$500),
  _xlfn.IFNA(_xlpm.result, "")
)</f>
        <v/>
      </c>
      <c r="H33" t="str">
        <f>_xlfn.LET(
  _xlpm.result, _xlfn.XLOOKUP($B33, Result_Database!$A$2:$A$500, Result_Database!G$2:G$500),
  _xlfn.IFNA(_xlpm.result, "")
)</f>
        <v/>
      </c>
      <c r="I33" t="str">
        <f>_xlfn.LET(
  _xlpm.result, _xlfn.XLOOKUP($B33, Result_Database!$A$2:$A$500, Result_Database!H$2:H$500),
  _xlfn.IFNA(_xlpm.result, "")
)</f>
        <v/>
      </c>
      <c r="J33" t="str">
        <f>_xlfn.LET(
  _xlpm.result, _xlfn.XLOOKUP($B33, Result_Database!$A$2:$A$500, Result_Database!I$2:I$500),
  _xlfn.IFNA(_xlpm.result, "")
)</f>
        <v/>
      </c>
      <c r="K33" t="str">
        <f>_xlfn.LET(
  _xlpm.result, _xlfn.XLOOKUP($B33, Result_Database!$A$2:$A$500, Result_Database!J$2:J$500),
  _xlfn.IFNA(_xlpm.result, "")
)</f>
        <v/>
      </c>
      <c r="L33" t="str">
        <f>_xlfn.LET(
  _xlpm.result, _xlfn.XLOOKUP($B33, Result_Database!$A$2:$A$500, Result_Database!K$2:K$500),
  _xlfn.IFNA(_xlpm.result, "")
)</f>
        <v/>
      </c>
      <c r="M33" t="str">
        <f>_xlfn.LET(
  _xlpm.result, _xlfn.XLOOKUP($B33, Result_Database!$A$2:$A$500, Result_Database!L$2:L$500),
  _xlfn.IFNA(_xlpm.result, "")
)</f>
        <v/>
      </c>
      <c r="N33" t="str">
        <f>_xlfn.LET(
  _xlpm.result, _xlfn.XLOOKUP($B33, Result_Database!$A$2:$A$500, Result_Database!M$2:M$500),
  _xlfn.IFNA(_xlpm.result, "")
)</f>
        <v/>
      </c>
      <c r="O33" t="str">
        <f>_xlfn.LET(
  _xlpm.result, _xlfn.XLOOKUP($B33, Result_Database!$A$2:$A$500, Result_Database!N$2:N$500),
  _xlfn.IFNA(_xlpm.result, "")
)</f>
        <v/>
      </c>
      <c r="P33" t="str">
        <f>_xlfn.LET(
  _xlpm.result, _xlfn.XLOOKUP($B33, Result_Database!$A$2:$A$500, Result_Database!O$2:O$500),
  _xlfn.IFNA(_xlpm.result, "")
)</f>
        <v/>
      </c>
      <c r="Q33" t="str">
        <f>_xlfn.LET(
  _xlpm.result, _xlfn.XLOOKUP($B33, Result_Database!$A$2:$A$500, Result_Database!P$2:P$500),
  _xlfn.IFNA(_xlpm.result, "")
)</f>
        <v/>
      </c>
      <c r="R33" t="str">
        <f>_xlfn.LET(
  _xlpm.result, _xlfn.XLOOKUP($B33, Result_Database!$A$2:$A$500, Result_Database!Q$2:Q$500),
  _xlfn.IFNA(_xlpm.result, "")
)</f>
        <v/>
      </c>
      <c r="S33" t="str">
        <f>_xlfn.LET(
  _xlpm.result, _xlfn.XLOOKUP($B33, Result_Database!$A$2:$A$500, Result_Database!R$2:R$500),
  _xlfn.IFNA(_xlpm.result, "")
)</f>
        <v/>
      </c>
      <c r="T33" t="str">
        <f>_xlfn.LET(
  _xlpm.result, _xlfn.XLOOKUP($B33, Result_Database!$A$2:$A$500, Result_Database!S$2:S$500),
  _xlfn.IFNA(_xlpm.result, "")
)</f>
        <v/>
      </c>
      <c r="U33" t="str">
        <f>_xlfn.LET(
  _xlpm.result, _xlfn.XLOOKUP($B33, Result_Database!$A$2:$A$500, Result_Database!T$2:T$500),
  _xlfn.IFNA(_xlpm.result, "")
)</f>
        <v/>
      </c>
      <c r="V33" t="str">
        <f>_xlfn.LET(
  _xlpm.result, _xlfn.XLOOKUP($B33, Result_Database!$A$2:$A$500, Result_Database!U$2:U$500),
  _xlfn.IFNA(_xlpm.result, "")
)</f>
        <v/>
      </c>
      <c r="W33" t="str">
        <f>_xlfn.LET(
  _xlpm.result, _xlfn.XLOOKUP($B33, Result_Database!$A$2:$A$500, Result_Database!V$2:V$500),
  _xlfn.IFNA(_xlpm.result, "")
)</f>
        <v/>
      </c>
      <c r="X33" t="str">
        <f>_xlfn.LET(
  _xlpm.result, _xlfn.XLOOKUP($B33, Result_Database!$A$2:$A$500, Result_Database!W$2:W$500),
  _xlfn.IFNA(_xlpm.result, "")
)</f>
        <v/>
      </c>
      <c r="Y33" t="str">
        <f>_xlfn.LET(
  _xlpm.result, _xlfn.XLOOKUP($B33, Result_Database!$A$2:$A$500, Result_Database!X$2:X$500),
  _xlfn.IFNA(_xlpm.result, "")
)</f>
        <v/>
      </c>
      <c r="Z33" t="str">
        <f>_xlfn.LET(
  _xlpm.result, _xlfn.XLOOKUP($B33, Result_Database!$A$2:$A$500, Result_Database!Y$2:Y$500),
  _xlfn.IFNA(_xlpm.result, "")
)</f>
        <v/>
      </c>
      <c r="AA33" t="str">
        <f>_xlfn.LET(
  _xlpm.result, _xlfn.XLOOKUP($B33, Result_Database!$A$2:$A$500, Result_Database!Z$2:Z$500),
  _xlfn.IFNA(_xlpm.result, "")
)</f>
        <v/>
      </c>
      <c r="AB33" t="str">
        <f>_xlfn.LET(
  _xlpm.result, _xlfn.XLOOKUP($B33, Result_Database!$A$2:$A$500, Result_Database!AA$2:AA$500),
  _xlfn.IFNA(_xlpm.result, "")
)</f>
        <v/>
      </c>
      <c r="AC33" t="str">
        <f>_xlfn.LET(
  _xlpm.result, _xlfn.XLOOKUP($B33, Result_Database!$A$2:$A$500, Result_Database!AB$2:AB$500),
  _xlfn.IFNA(_xlpm.result, "")
)</f>
        <v/>
      </c>
      <c r="AD33" t="str">
        <f>_xlfn.LET(
  _xlpm.result, _xlfn.XLOOKUP($B33, Result_Database!$A$2:$A$500, Result_Database!AC$2:AC$500),
  _xlfn.IFNA(_xlpm.result, "")
)</f>
        <v/>
      </c>
      <c r="AE33" t="str">
        <f>_xlfn.LET(
  _xlpm.result, _xlfn.XLOOKUP($B33, Result_Database!$A$2:$A$500, Result_Database!AD$2:AD$500),
  _xlfn.IFNA(_xlpm.result, "")
)</f>
        <v/>
      </c>
      <c r="AF33" t="str">
        <f>_xlfn.LET(
  _xlpm.result, _xlfn.XLOOKUP($B33, Result_Database!$A$2:$A$500, Result_Database!AE$2:AE$500),
  _xlfn.IFNA(_xlpm.result, "")
)</f>
        <v/>
      </c>
      <c r="AG33" t="str">
        <f>_xlfn.LET(
  _xlpm.result, _xlfn.XLOOKUP($B33, Result_Database!$A$2:$A$500, Result_Database!AF$2:AF$500),
  _xlfn.IFNA(_xlpm.result, "")
)</f>
        <v/>
      </c>
      <c r="AH33" t="str">
        <f>_xlfn.LET(
  _xlpm.result, _xlfn.XLOOKUP($B33, Result_Database!$A$2:$A$500, Result_Database!AG$2:AG$500),
  _xlfn.IFNA(_xlpm.result, "")
)</f>
        <v/>
      </c>
      <c r="AI33" t="str">
        <f>_xlfn.LET(
  _xlpm.result, _xlfn.XLOOKUP($B33, Result_Database!$A$2:$A$500, Result_Database!AH$2:AH$500),
  _xlfn.IFNA(_xlpm.result, "")
)</f>
        <v/>
      </c>
      <c r="AJ33" t="str">
        <f>_xlfn.LET(
  _xlpm.result, _xlfn.XLOOKUP($B33, Result_Database!$A$2:$A$500, Result_Database!AI$2:AI$500),
  _xlfn.IFNA(_xlpm.result, "")
)</f>
        <v/>
      </c>
      <c r="AK33" t="str">
        <f>_xlfn.LET(
  _xlpm.result, _xlfn.XLOOKUP($B33, Result_Database!$A$2:$A$500, Result_Database!AJ$2:AJ$500),
  _xlfn.IFNA(_xlpm.result, "")
)</f>
        <v/>
      </c>
      <c r="AL33" t="str">
        <f>_xlfn.LET(
  _xlpm.result, _xlfn.XLOOKUP($B33, Result_Database!$A$2:$A$500, Result_Database!AK$2:AK$500),
  _xlfn.IFNA(_xlpm.result, "")
)</f>
        <v/>
      </c>
      <c r="AM3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3" t="str">
        <f>IF(SUM(Table5[[#This Row],[A1]:[C6]])&lt;&gt;0,SUM(Table5[[#This Row],[A1]:[C6]]),"")</f>
        <v/>
      </c>
      <c r="AW33" t="str">
        <f>IF(SUM(Table5[[#This Row],[D7]:[F9]])=0,"",SUM(Table5[[#This Row],[D7]:[F9]]))</f>
        <v/>
      </c>
      <c r="AX3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3" t="str">
        <f>IF(COUNTIF(Table5[[#This Row],[English Language]:[Electrical/ Electronics]],"WITHHELD")=0,"",COUNTIF(Table5[[#This Row],[English Language]:[Electrical/ Electronics]],"WITHHELD"))</f>
        <v/>
      </c>
      <c r="BE33" t="str">
        <f>IF(SUM(Table5[[#This Row],[NO OF CREDITS]:[BELOW CREDITS]])=0,"",SUM(Table5[[#This Row],[NO OF CREDITS]:[BELOW CREDITS]]))</f>
        <v/>
      </c>
    </row>
    <row r="34" spans="1:57" x14ac:dyDescent="0.3">
      <c r="A34" t="str">
        <f>IF(B34&lt;&gt;"",COUNTA($B$6:B34),"")</f>
        <v/>
      </c>
      <c r="B34" t="str">
        <f>IF(Result_Database!A30="","",Result_Database!A30)</f>
        <v/>
      </c>
      <c r="C34" t="str">
        <f>_xlfn.LET(
_xlpm.result,_xlfn.XLOOKUP($B34,Result_Database!$A$2:$A$500,Result_Database!$B$2:$B$500),
_xlfn.IFNA(_xlpm.result,"")
)</f>
        <v/>
      </c>
      <c r="D34" t="str">
        <f>_xlfn.LET(
  _xlpm.result, _xlfn.XLOOKUP($B34, Result_Database!$A$2:$A$500, Result_Database!C$2:C$500),
  _xlfn.IFNA(_xlpm.result, "")
)</f>
        <v/>
      </c>
      <c r="E34" t="str">
        <f>_xlfn.LET(
  _xlpm.result, _xlfn.XLOOKUP($B34, Result_Database!$A$2:$A$500, Result_Database!D$2:D$500),
  _xlfn.IFNA(_xlpm.result, "")
)</f>
        <v/>
      </c>
      <c r="F34" t="str">
        <f>_xlfn.LET(
  _xlpm.result, _xlfn.XLOOKUP($B34, Result_Database!$A$2:$A$500, Result_Database!E$2:E$500),
  _xlfn.IFNA(_xlpm.result, "")
)</f>
        <v/>
      </c>
      <c r="G34" t="str">
        <f>_xlfn.LET(
  _xlpm.result, _xlfn.XLOOKUP($B34, Result_Database!$A$2:$A$500, Result_Database!F$2:F$500),
  _xlfn.IFNA(_xlpm.result, "")
)</f>
        <v/>
      </c>
      <c r="H34" t="str">
        <f>_xlfn.LET(
  _xlpm.result, _xlfn.XLOOKUP($B34, Result_Database!$A$2:$A$500, Result_Database!G$2:G$500),
  _xlfn.IFNA(_xlpm.result, "")
)</f>
        <v/>
      </c>
      <c r="I34" t="str">
        <f>_xlfn.LET(
  _xlpm.result, _xlfn.XLOOKUP($B34, Result_Database!$A$2:$A$500, Result_Database!H$2:H$500),
  _xlfn.IFNA(_xlpm.result, "")
)</f>
        <v/>
      </c>
      <c r="J34" t="str">
        <f>_xlfn.LET(
  _xlpm.result, _xlfn.XLOOKUP($B34, Result_Database!$A$2:$A$500, Result_Database!I$2:I$500),
  _xlfn.IFNA(_xlpm.result, "")
)</f>
        <v/>
      </c>
      <c r="K34" t="str">
        <f>_xlfn.LET(
  _xlpm.result, _xlfn.XLOOKUP($B34, Result_Database!$A$2:$A$500, Result_Database!J$2:J$500),
  _xlfn.IFNA(_xlpm.result, "")
)</f>
        <v/>
      </c>
      <c r="L34" t="str">
        <f>_xlfn.LET(
  _xlpm.result, _xlfn.XLOOKUP($B34, Result_Database!$A$2:$A$500, Result_Database!K$2:K$500),
  _xlfn.IFNA(_xlpm.result, "")
)</f>
        <v/>
      </c>
      <c r="M34" t="str">
        <f>_xlfn.LET(
  _xlpm.result, _xlfn.XLOOKUP($B34, Result_Database!$A$2:$A$500, Result_Database!L$2:L$500),
  _xlfn.IFNA(_xlpm.result, "")
)</f>
        <v/>
      </c>
      <c r="N34" t="str">
        <f>_xlfn.LET(
  _xlpm.result, _xlfn.XLOOKUP($B34, Result_Database!$A$2:$A$500, Result_Database!M$2:M$500),
  _xlfn.IFNA(_xlpm.result, "")
)</f>
        <v/>
      </c>
      <c r="O34" t="str">
        <f>_xlfn.LET(
  _xlpm.result, _xlfn.XLOOKUP($B34, Result_Database!$A$2:$A$500, Result_Database!N$2:N$500),
  _xlfn.IFNA(_xlpm.result, "")
)</f>
        <v/>
      </c>
      <c r="P34" t="str">
        <f>_xlfn.LET(
  _xlpm.result, _xlfn.XLOOKUP($B34, Result_Database!$A$2:$A$500, Result_Database!O$2:O$500),
  _xlfn.IFNA(_xlpm.result, "")
)</f>
        <v/>
      </c>
      <c r="Q34" t="str">
        <f>_xlfn.LET(
  _xlpm.result, _xlfn.XLOOKUP($B34, Result_Database!$A$2:$A$500, Result_Database!P$2:P$500),
  _xlfn.IFNA(_xlpm.result, "")
)</f>
        <v/>
      </c>
      <c r="R34" t="str">
        <f>_xlfn.LET(
  _xlpm.result, _xlfn.XLOOKUP($B34, Result_Database!$A$2:$A$500, Result_Database!Q$2:Q$500),
  _xlfn.IFNA(_xlpm.result, "")
)</f>
        <v/>
      </c>
      <c r="S34" t="str">
        <f>_xlfn.LET(
  _xlpm.result, _xlfn.XLOOKUP($B34, Result_Database!$A$2:$A$500, Result_Database!R$2:R$500),
  _xlfn.IFNA(_xlpm.result, "")
)</f>
        <v/>
      </c>
      <c r="T34" t="str">
        <f>_xlfn.LET(
  _xlpm.result, _xlfn.XLOOKUP($B34, Result_Database!$A$2:$A$500, Result_Database!S$2:S$500),
  _xlfn.IFNA(_xlpm.result, "")
)</f>
        <v/>
      </c>
      <c r="U34" t="str">
        <f>_xlfn.LET(
  _xlpm.result, _xlfn.XLOOKUP($B34, Result_Database!$A$2:$A$500, Result_Database!T$2:T$500),
  _xlfn.IFNA(_xlpm.result, "")
)</f>
        <v/>
      </c>
      <c r="V34" t="str">
        <f>_xlfn.LET(
  _xlpm.result, _xlfn.XLOOKUP($B34, Result_Database!$A$2:$A$500, Result_Database!U$2:U$500),
  _xlfn.IFNA(_xlpm.result, "")
)</f>
        <v/>
      </c>
      <c r="W34" t="str">
        <f>_xlfn.LET(
  _xlpm.result, _xlfn.XLOOKUP($B34, Result_Database!$A$2:$A$500, Result_Database!V$2:V$500),
  _xlfn.IFNA(_xlpm.result, "")
)</f>
        <v/>
      </c>
      <c r="X34" t="str">
        <f>_xlfn.LET(
  _xlpm.result, _xlfn.XLOOKUP($B34, Result_Database!$A$2:$A$500, Result_Database!W$2:W$500),
  _xlfn.IFNA(_xlpm.result, "")
)</f>
        <v/>
      </c>
      <c r="Y34" t="str">
        <f>_xlfn.LET(
  _xlpm.result, _xlfn.XLOOKUP($B34, Result_Database!$A$2:$A$500, Result_Database!X$2:X$500),
  _xlfn.IFNA(_xlpm.result, "")
)</f>
        <v/>
      </c>
      <c r="Z34" t="str">
        <f>_xlfn.LET(
  _xlpm.result, _xlfn.XLOOKUP($B34, Result_Database!$A$2:$A$500, Result_Database!Y$2:Y$500),
  _xlfn.IFNA(_xlpm.result, "")
)</f>
        <v/>
      </c>
      <c r="AA34" t="str">
        <f>_xlfn.LET(
  _xlpm.result, _xlfn.XLOOKUP($B34, Result_Database!$A$2:$A$500, Result_Database!Z$2:Z$500),
  _xlfn.IFNA(_xlpm.result, "")
)</f>
        <v/>
      </c>
      <c r="AB34" t="str">
        <f>_xlfn.LET(
  _xlpm.result, _xlfn.XLOOKUP($B34, Result_Database!$A$2:$A$500, Result_Database!AA$2:AA$500),
  _xlfn.IFNA(_xlpm.result, "")
)</f>
        <v/>
      </c>
      <c r="AC34" t="str">
        <f>_xlfn.LET(
  _xlpm.result, _xlfn.XLOOKUP($B34, Result_Database!$A$2:$A$500, Result_Database!AB$2:AB$500),
  _xlfn.IFNA(_xlpm.result, "")
)</f>
        <v/>
      </c>
      <c r="AD34" t="str">
        <f>_xlfn.LET(
  _xlpm.result, _xlfn.XLOOKUP($B34, Result_Database!$A$2:$A$500, Result_Database!AC$2:AC$500),
  _xlfn.IFNA(_xlpm.result, "")
)</f>
        <v/>
      </c>
      <c r="AE34" t="str">
        <f>_xlfn.LET(
  _xlpm.result, _xlfn.XLOOKUP($B34, Result_Database!$A$2:$A$500, Result_Database!AD$2:AD$500),
  _xlfn.IFNA(_xlpm.result, "")
)</f>
        <v/>
      </c>
      <c r="AF34" t="str">
        <f>_xlfn.LET(
  _xlpm.result, _xlfn.XLOOKUP($B34, Result_Database!$A$2:$A$500, Result_Database!AE$2:AE$500),
  _xlfn.IFNA(_xlpm.result, "")
)</f>
        <v/>
      </c>
      <c r="AG34" t="str">
        <f>_xlfn.LET(
  _xlpm.result, _xlfn.XLOOKUP($B34, Result_Database!$A$2:$A$500, Result_Database!AF$2:AF$500),
  _xlfn.IFNA(_xlpm.result, "")
)</f>
        <v/>
      </c>
      <c r="AH34" t="str">
        <f>_xlfn.LET(
  _xlpm.result, _xlfn.XLOOKUP($B34, Result_Database!$A$2:$A$500, Result_Database!AG$2:AG$500),
  _xlfn.IFNA(_xlpm.result, "")
)</f>
        <v/>
      </c>
      <c r="AI34" t="str">
        <f>_xlfn.LET(
  _xlpm.result, _xlfn.XLOOKUP($B34, Result_Database!$A$2:$A$500, Result_Database!AH$2:AH$500),
  _xlfn.IFNA(_xlpm.result, "")
)</f>
        <v/>
      </c>
      <c r="AJ34" t="str">
        <f>_xlfn.LET(
  _xlpm.result, _xlfn.XLOOKUP($B34, Result_Database!$A$2:$A$500, Result_Database!AI$2:AI$500),
  _xlfn.IFNA(_xlpm.result, "")
)</f>
        <v/>
      </c>
      <c r="AK34" t="str">
        <f>_xlfn.LET(
  _xlpm.result, _xlfn.XLOOKUP($B34, Result_Database!$A$2:$A$500, Result_Database!AJ$2:AJ$500),
  _xlfn.IFNA(_xlpm.result, "")
)</f>
        <v/>
      </c>
      <c r="AL34" t="str">
        <f>_xlfn.LET(
  _xlpm.result, _xlfn.XLOOKUP($B34, Result_Database!$A$2:$A$500, Result_Database!AK$2:AK$500),
  _xlfn.IFNA(_xlpm.result, "")
)</f>
        <v/>
      </c>
      <c r="AM3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4" t="str">
        <f>IF(SUM(Table5[[#This Row],[A1]:[C6]])&lt;&gt;0,SUM(Table5[[#This Row],[A1]:[C6]]),"")</f>
        <v/>
      </c>
      <c r="AW34" t="str">
        <f>IF(SUM(Table5[[#This Row],[D7]:[F9]])=0,"",SUM(Table5[[#This Row],[D7]:[F9]]))</f>
        <v/>
      </c>
      <c r="AX3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4" t="str">
        <f>IF(COUNTIF(Table5[[#This Row],[English Language]:[Electrical/ Electronics]],"WITHHELD")=0,"",COUNTIF(Table5[[#This Row],[English Language]:[Electrical/ Electronics]],"WITHHELD"))</f>
        <v/>
      </c>
      <c r="BE34" t="str">
        <f>IF(SUM(Table5[[#This Row],[NO OF CREDITS]:[BELOW CREDITS]])=0,"",SUM(Table5[[#This Row],[NO OF CREDITS]:[BELOW CREDITS]]))</f>
        <v/>
      </c>
    </row>
    <row r="35" spans="1:57" x14ac:dyDescent="0.3">
      <c r="A35" t="str">
        <f>IF(B35&lt;&gt;"",COUNTA($B$6:B35),"")</f>
        <v/>
      </c>
      <c r="B35" t="str">
        <f>IF(Result_Database!A31="","",Result_Database!A31)</f>
        <v/>
      </c>
      <c r="C35" t="str">
        <f>_xlfn.LET(
_xlpm.result,_xlfn.XLOOKUP($B35,Result_Database!$A$2:$A$500,Result_Database!$B$2:$B$500),
_xlfn.IFNA(_xlpm.result,"")
)</f>
        <v/>
      </c>
      <c r="D35" t="str">
        <f>_xlfn.LET(
  _xlpm.result, _xlfn.XLOOKUP($B35, Result_Database!$A$2:$A$500, Result_Database!C$2:C$500),
  _xlfn.IFNA(_xlpm.result, "")
)</f>
        <v/>
      </c>
      <c r="E35" t="str">
        <f>_xlfn.LET(
  _xlpm.result, _xlfn.XLOOKUP($B35, Result_Database!$A$2:$A$500, Result_Database!D$2:D$500),
  _xlfn.IFNA(_xlpm.result, "")
)</f>
        <v/>
      </c>
      <c r="F35" t="str">
        <f>_xlfn.LET(
  _xlpm.result, _xlfn.XLOOKUP($B35, Result_Database!$A$2:$A$500, Result_Database!E$2:E$500),
  _xlfn.IFNA(_xlpm.result, "")
)</f>
        <v/>
      </c>
      <c r="G35" t="str">
        <f>_xlfn.LET(
  _xlpm.result, _xlfn.XLOOKUP($B35, Result_Database!$A$2:$A$500, Result_Database!F$2:F$500),
  _xlfn.IFNA(_xlpm.result, "")
)</f>
        <v/>
      </c>
      <c r="H35" t="str">
        <f>_xlfn.LET(
  _xlpm.result, _xlfn.XLOOKUP($B35, Result_Database!$A$2:$A$500, Result_Database!G$2:G$500),
  _xlfn.IFNA(_xlpm.result, "")
)</f>
        <v/>
      </c>
      <c r="I35" t="str">
        <f>_xlfn.LET(
  _xlpm.result, _xlfn.XLOOKUP($B35, Result_Database!$A$2:$A$500, Result_Database!H$2:H$500),
  _xlfn.IFNA(_xlpm.result, "")
)</f>
        <v/>
      </c>
      <c r="J35" t="str">
        <f>_xlfn.LET(
  _xlpm.result, _xlfn.XLOOKUP($B35, Result_Database!$A$2:$A$500, Result_Database!I$2:I$500),
  _xlfn.IFNA(_xlpm.result, "")
)</f>
        <v/>
      </c>
      <c r="K35" t="str">
        <f>_xlfn.LET(
  _xlpm.result, _xlfn.XLOOKUP($B35, Result_Database!$A$2:$A$500, Result_Database!J$2:J$500),
  _xlfn.IFNA(_xlpm.result, "")
)</f>
        <v/>
      </c>
      <c r="L35" t="str">
        <f>_xlfn.LET(
  _xlpm.result, _xlfn.XLOOKUP($B35, Result_Database!$A$2:$A$500, Result_Database!K$2:K$500),
  _xlfn.IFNA(_xlpm.result, "")
)</f>
        <v/>
      </c>
      <c r="M35" t="str">
        <f>_xlfn.LET(
  _xlpm.result, _xlfn.XLOOKUP($B35, Result_Database!$A$2:$A$500, Result_Database!L$2:L$500),
  _xlfn.IFNA(_xlpm.result, "")
)</f>
        <v/>
      </c>
      <c r="N35" t="str">
        <f>_xlfn.LET(
  _xlpm.result, _xlfn.XLOOKUP($B35, Result_Database!$A$2:$A$500, Result_Database!M$2:M$500),
  _xlfn.IFNA(_xlpm.result, "")
)</f>
        <v/>
      </c>
      <c r="O35" t="str">
        <f>_xlfn.LET(
  _xlpm.result, _xlfn.XLOOKUP($B35, Result_Database!$A$2:$A$500, Result_Database!N$2:N$500),
  _xlfn.IFNA(_xlpm.result, "")
)</f>
        <v/>
      </c>
      <c r="P35" t="str">
        <f>_xlfn.LET(
  _xlpm.result, _xlfn.XLOOKUP($B35, Result_Database!$A$2:$A$500, Result_Database!O$2:O$500),
  _xlfn.IFNA(_xlpm.result, "")
)</f>
        <v/>
      </c>
      <c r="Q35" t="str">
        <f>_xlfn.LET(
  _xlpm.result, _xlfn.XLOOKUP($B35, Result_Database!$A$2:$A$500, Result_Database!P$2:P$500),
  _xlfn.IFNA(_xlpm.result, "")
)</f>
        <v/>
      </c>
      <c r="R35" t="str">
        <f>_xlfn.LET(
  _xlpm.result, _xlfn.XLOOKUP($B35, Result_Database!$A$2:$A$500, Result_Database!Q$2:Q$500),
  _xlfn.IFNA(_xlpm.result, "")
)</f>
        <v/>
      </c>
      <c r="S35" t="str">
        <f>_xlfn.LET(
  _xlpm.result, _xlfn.XLOOKUP($B35, Result_Database!$A$2:$A$500, Result_Database!R$2:R$500),
  _xlfn.IFNA(_xlpm.result, "")
)</f>
        <v/>
      </c>
      <c r="T35" t="str">
        <f>_xlfn.LET(
  _xlpm.result, _xlfn.XLOOKUP($B35, Result_Database!$A$2:$A$500, Result_Database!S$2:S$500),
  _xlfn.IFNA(_xlpm.result, "")
)</f>
        <v/>
      </c>
      <c r="U35" t="str">
        <f>_xlfn.LET(
  _xlpm.result, _xlfn.XLOOKUP($B35, Result_Database!$A$2:$A$500, Result_Database!T$2:T$500),
  _xlfn.IFNA(_xlpm.result, "")
)</f>
        <v/>
      </c>
      <c r="V35" t="str">
        <f>_xlfn.LET(
  _xlpm.result, _xlfn.XLOOKUP($B35, Result_Database!$A$2:$A$500, Result_Database!U$2:U$500),
  _xlfn.IFNA(_xlpm.result, "")
)</f>
        <v/>
      </c>
      <c r="W35" t="str">
        <f>_xlfn.LET(
  _xlpm.result, _xlfn.XLOOKUP($B35, Result_Database!$A$2:$A$500, Result_Database!V$2:V$500),
  _xlfn.IFNA(_xlpm.result, "")
)</f>
        <v/>
      </c>
      <c r="X35" t="str">
        <f>_xlfn.LET(
  _xlpm.result, _xlfn.XLOOKUP($B35, Result_Database!$A$2:$A$500, Result_Database!W$2:W$500),
  _xlfn.IFNA(_xlpm.result, "")
)</f>
        <v/>
      </c>
      <c r="Y35" t="str">
        <f>_xlfn.LET(
  _xlpm.result, _xlfn.XLOOKUP($B35, Result_Database!$A$2:$A$500, Result_Database!X$2:X$500),
  _xlfn.IFNA(_xlpm.result, "")
)</f>
        <v/>
      </c>
      <c r="Z35" t="str">
        <f>_xlfn.LET(
  _xlpm.result, _xlfn.XLOOKUP($B35, Result_Database!$A$2:$A$500, Result_Database!Y$2:Y$500),
  _xlfn.IFNA(_xlpm.result, "")
)</f>
        <v/>
      </c>
      <c r="AA35" t="str">
        <f>_xlfn.LET(
  _xlpm.result, _xlfn.XLOOKUP($B35, Result_Database!$A$2:$A$500, Result_Database!Z$2:Z$500),
  _xlfn.IFNA(_xlpm.result, "")
)</f>
        <v/>
      </c>
      <c r="AB35" t="str">
        <f>_xlfn.LET(
  _xlpm.result, _xlfn.XLOOKUP($B35, Result_Database!$A$2:$A$500, Result_Database!AA$2:AA$500),
  _xlfn.IFNA(_xlpm.result, "")
)</f>
        <v/>
      </c>
      <c r="AC35" t="str">
        <f>_xlfn.LET(
  _xlpm.result, _xlfn.XLOOKUP($B35, Result_Database!$A$2:$A$500, Result_Database!AB$2:AB$500),
  _xlfn.IFNA(_xlpm.result, "")
)</f>
        <v/>
      </c>
      <c r="AD35" t="str">
        <f>_xlfn.LET(
  _xlpm.result, _xlfn.XLOOKUP($B35, Result_Database!$A$2:$A$500, Result_Database!AC$2:AC$500),
  _xlfn.IFNA(_xlpm.result, "")
)</f>
        <v/>
      </c>
      <c r="AE35" t="str">
        <f>_xlfn.LET(
  _xlpm.result, _xlfn.XLOOKUP($B35, Result_Database!$A$2:$A$500, Result_Database!AD$2:AD$500),
  _xlfn.IFNA(_xlpm.result, "")
)</f>
        <v/>
      </c>
      <c r="AF35" t="str">
        <f>_xlfn.LET(
  _xlpm.result, _xlfn.XLOOKUP($B35, Result_Database!$A$2:$A$500, Result_Database!AE$2:AE$500),
  _xlfn.IFNA(_xlpm.result, "")
)</f>
        <v/>
      </c>
      <c r="AG35" t="str">
        <f>_xlfn.LET(
  _xlpm.result, _xlfn.XLOOKUP($B35, Result_Database!$A$2:$A$500, Result_Database!AF$2:AF$500),
  _xlfn.IFNA(_xlpm.result, "")
)</f>
        <v/>
      </c>
      <c r="AH35" t="str">
        <f>_xlfn.LET(
  _xlpm.result, _xlfn.XLOOKUP($B35, Result_Database!$A$2:$A$500, Result_Database!AG$2:AG$500),
  _xlfn.IFNA(_xlpm.result, "")
)</f>
        <v/>
      </c>
      <c r="AI35" t="str">
        <f>_xlfn.LET(
  _xlpm.result, _xlfn.XLOOKUP($B35, Result_Database!$A$2:$A$500, Result_Database!AH$2:AH$500),
  _xlfn.IFNA(_xlpm.result, "")
)</f>
        <v/>
      </c>
      <c r="AJ35" t="str">
        <f>_xlfn.LET(
  _xlpm.result, _xlfn.XLOOKUP($B35, Result_Database!$A$2:$A$500, Result_Database!AI$2:AI$500),
  _xlfn.IFNA(_xlpm.result, "")
)</f>
        <v/>
      </c>
      <c r="AK35" t="str">
        <f>_xlfn.LET(
  _xlpm.result, _xlfn.XLOOKUP($B35, Result_Database!$A$2:$A$500, Result_Database!AJ$2:AJ$500),
  _xlfn.IFNA(_xlpm.result, "")
)</f>
        <v/>
      </c>
      <c r="AL35" t="str">
        <f>_xlfn.LET(
  _xlpm.result, _xlfn.XLOOKUP($B35, Result_Database!$A$2:$A$500, Result_Database!AK$2:AK$500),
  _xlfn.IFNA(_xlpm.result, "")
)</f>
        <v/>
      </c>
      <c r="AM3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5" t="str">
        <f>IF(SUM(Table5[[#This Row],[A1]:[C6]])&lt;&gt;0,SUM(Table5[[#This Row],[A1]:[C6]]),"")</f>
        <v/>
      </c>
      <c r="AW35" t="str">
        <f>IF(SUM(Table5[[#This Row],[D7]:[F9]])=0,"",SUM(Table5[[#This Row],[D7]:[F9]]))</f>
        <v/>
      </c>
      <c r="AX3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5" t="str">
        <f>IF(COUNTIF(Table5[[#This Row],[English Language]:[Electrical/ Electronics]],"WITHHELD")=0,"",COUNTIF(Table5[[#This Row],[English Language]:[Electrical/ Electronics]],"WITHHELD"))</f>
        <v/>
      </c>
      <c r="BE35" t="str">
        <f>IF(SUM(Table5[[#This Row],[NO OF CREDITS]:[BELOW CREDITS]])=0,"",SUM(Table5[[#This Row],[NO OF CREDITS]:[BELOW CREDITS]]))</f>
        <v/>
      </c>
    </row>
    <row r="36" spans="1:57" x14ac:dyDescent="0.3">
      <c r="A36" t="str">
        <f>IF(B36&lt;&gt;"",COUNTA($B$6:B36),"")</f>
        <v/>
      </c>
      <c r="B36" t="str">
        <f>IF(Result_Database!A32="","",Result_Database!A32)</f>
        <v/>
      </c>
      <c r="C36" t="str">
        <f>_xlfn.LET(
_xlpm.result,_xlfn.XLOOKUP($B36,Result_Database!$A$2:$A$500,Result_Database!$B$2:$B$500),
_xlfn.IFNA(_xlpm.result,"")
)</f>
        <v/>
      </c>
      <c r="D36" t="str">
        <f>_xlfn.LET(
  _xlpm.result, _xlfn.XLOOKUP($B36, Result_Database!$A$2:$A$500, Result_Database!C$2:C$500),
  _xlfn.IFNA(_xlpm.result, "")
)</f>
        <v/>
      </c>
      <c r="E36" t="str">
        <f>_xlfn.LET(
  _xlpm.result, _xlfn.XLOOKUP($B36, Result_Database!$A$2:$A$500, Result_Database!D$2:D$500),
  _xlfn.IFNA(_xlpm.result, "")
)</f>
        <v/>
      </c>
      <c r="F36" t="str">
        <f>_xlfn.LET(
  _xlpm.result, _xlfn.XLOOKUP($B36, Result_Database!$A$2:$A$500, Result_Database!E$2:E$500),
  _xlfn.IFNA(_xlpm.result, "")
)</f>
        <v/>
      </c>
      <c r="G36" t="str">
        <f>_xlfn.LET(
  _xlpm.result, _xlfn.XLOOKUP($B36, Result_Database!$A$2:$A$500, Result_Database!F$2:F$500),
  _xlfn.IFNA(_xlpm.result, "")
)</f>
        <v/>
      </c>
      <c r="H36" t="str">
        <f>_xlfn.LET(
  _xlpm.result, _xlfn.XLOOKUP($B36, Result_Database!$A$2:$A$500, Result_Database!G$2:G$500),
  _xlfn.IFNA(_xlpm.result, "")
)</f>
        <v/>
      </c>
      <c r="I36" t="str">
        <f>_xlfn.LET(
  _xlpm.result, _xlfn.XLOOKUP($B36, Result_Database!$A$2:$A$500, Result_Database!H$2:H$500),
  _xlfn.IFNA(_xlpm.result, "")
)</f>
        <v/>
      </c>
      <c r="J36" t="str">
        <f>_xlfn.LET(
  _xlpm.result, _xlfn.XLOOKUP($B36, Result_Database!$A$2:$A$500, Result_Database!I$2:I$500),
  _xlfn.IFNA(_xlpm.result, "")
)</f>
        <v/>
      </c>
      <c r="K36" t="str">
        <f>_xlfn.LET(
  _xlpm.result, _xlfn.XLOOKUP($B36, Result_Database!$A$2:$A$500, Result_Database!J$2:J$500),
  _xlfn.IFNA(_xlpm.result, "")
)</f>
        <v/>
      </c>
      <c r="L36" t="str">
        <f>_xlfn.LET(
  _xlpm.result, _xlfn.XLOOKUP($B36, Result_Database!$A$2:$A$500, Result_Database!K$2:K$500),
  _xlfn.IFNA(_xlpm.result, "")
)</f>
        <v/>
      </c>
      <c r="M36" t="str">
        <f>_xlfn.LET(
  _xlpm.result, _xlfn.XLOOKUP($B36, Result_Database!$A$2:$A$500, Result_Database!L$2:L$500),
  _xlfn.IFNA(_xlpm.result, "")
)</f>
        <v/>
      </c>
      <c r="N36" t="str">
        <f>_xlfn.LET(
  _xlpm.result, _xlfn.XLOOKUP($B36, Result_Database!$A$2:$A$500, Result_Database!M$2:M$500),
  _xlfn.IFNA(_xlpm.result, "")
)</f>
        <v/>
      </c>
      <c r="O36" t="str">
        <f>_xlfn.LET(
  _xlpm.result, _xlfn.XLOOKUP($B36, Result_Database!$A$2:$A$500, Result_Database!N$2:N$500),
  _xlfn.IFNA(_xlpm.result, "")
)</f>
        <v/>
      </c>
      <c r="P36" t="str">
        <f>_xlfn.LET(
  _xlpm.result, _xlfn.XLOOKUP($B36, Result_Database!$A$2:$A$500, Result_Database!O$2:O$500),
  _xlfn.IFNA(_xlpm.result, "")
)</f>
        <v/>
      </c>
      <c r="Q36" t="str">
        <f>_xlfn.LET(
  _xlpm.result, _xlfn.XLOOKUP($B36, Result_Database!$A$2:$A$500, Result_Database!P$2:P$500),
  _xlfn.IFNA(_xlpm.result, "")
)</f>
        <v/>
      </c>
      <c r="R36" t="str">
        <f>_xlfn.LET(
  _xlpm.result, _xlfn.XLOOKUP($B36, Result_Database!$A$2:$A$500, Result_Database!Q$2:Q$500),
  _xlfn.IFNA(_xlpm.result, "")
)</f>
        <v/>
      </c>
      <c r="S36" t="str">
        <f>_xlfn.LET(
  _xlpm.result, _xlfn.XLOOKUP($B36, Result_Database!$A$2:$A$500, Result_Database!R$2:R$500),
  _xlfn.IFNA(_xlpm.result, "")
)</f>
        <v/>
      </c>
      <c r="T36" t="str">
        <f>_xlfn.LET(
  _xlpm.result, _xlfn.XLOOKUP($B36, Result_Database!$A$2:$A$500, Result_Database!S$2:S$500),
  _xlfn.IFNA(_xlpm.result, "")
)</f>
        <v/>
      </c>
      <c r="U36" t="str">
        <f>_xlfn.LET(
  _xlpm.result, _xlfn.XLOOKUP($B36, Result_Database!$A$2:$A$500, Result_Database!T$2:T$500),
  _xlfn.IFNA(_xlpm.result, "")
)</f>
        <v/>
      </c>
      <c r="V36" t="str">
        <f>_xlfn.LET(
  _xlpm.result, _xlfn.XLOOKUP($B36, Result_Database!$A$2:$A$500, Result_Database!U$2:U$500),
  _xlfn.IFNA(_xlpm.result, "")
)</f>
        <v/>
      </c>
      <c r="W36" t="str">
        <f>_xlfn.LET(
  _xlpm.result, _xlfn.XLOOKUP($B36, Result_Database!$A$2:$A$500, Result_Database!V$2:V$500),
  _xlfn.IFNA(_xlpm.result, "")
)</f>
        <v/>
      </c>
      <c r="X36" t="str">
        <f>_xlfn.LET(
  _xlpm.result, _xlfn.XLOOKUP($B36, Result_Database!$A$2:$A$500, Result_Database!W$2:W$500),
  _xlfn.IFNA(_xlpm.result, "")
)</f>
        <v/>
      </c>
      <c r="Y36" t="str">
        <f>_xlfn.LET(
  _xlpm.result, _xlfn.XLOOKUP($B36, Result_Database!$A$2:$A$500, Result_Database!X$2:X$500),
  _xlfn.IFNA(_xlpm.result, "")
)</f>
        <v/>
      </c>
      <c r="Z36" t="str">
        <f>_xlfn.LET(
  _xlpm.result, _xlfn.XLOOKUP($B36, Result_Database!$A$2:$A$500, Result_Database!Y$2:Y$500),
  _xlfn.IFNA(_xlpm.result, "")
)</f>
        <v/>
      </c>
      <c r="AA36" t="str">
        <f>_xlfn.LET(
  _xlpm.result, _xlfn.XLOOKUP($B36, Result_Database!$A$2:$A$500, Result_Database!Z$2:Z$500),
  _xlfn.IFNA(_xlpm.result, "")
)</f>
        <v/>
      </c>
      <c r="AB36" t="str">
        <f>_xlfn.LET(
  _xlpm.result, _xlfn.XLOOKUP($B36, Result_Database!$A$2:$A$500, Result_Database!AA$2:AA$500),
  _xlfn.IFNA(_xlpm.result, "")
)</f>
        <v/>
      </c>
      <c r="AC36" t="str">
        <f>_xlfn.LET(
  _xlpm.result, _xlfn.XLOOKUP($B36, Result_Database!$A$2:$A$500, Result_Database!AB$2:AB$500),
  _xlfn.IFNA(_xlpm.result, "")
)</f>
        <v/>
      </c>
      <c r="AD36" t="str">
        <f>_xlfn.LET(
  _xlpm.result, _xlfn.XLOOKUP($B36, Result_Database!$A$2:$A$500, Result_Database!AC$2:AC$500),
  _xlfn.IFNA(_xlpm.result, "")
)</f>
        <v/>
      </c>
      <c r="AE36" t="str">
        <f>_xlfn.LET(
  _xlpm.result, _xlfn.XLOOKUP($B36, Result_Database!$A$2:$A$500, Result_Database!AD$2:AD$500),
  _xlfn.IFNA(_xlpm.result, "")
)</f>
        <v/>
      </c>
      <c r="AF36" t="str">
        <f>_xlfn.LET(
  _xlpm.result, _xlfn.XLOOKUP($B36, Result_Database!$A$2:$A$500, Result_Database!AE$2:AE$500),
  _xlfn.IFNA(_xlpm.result, "")
)</f>
        <v/>
      </c>
      <c r="AG36" t="str">
        <f>_xlfn.LET(
  _xlpm.result, _xlfn.XLOOKUP($B36, Result_Database!$A$2:$A$500, Result_Database!AF$2:AF$500),
  _xlfn.IFNA(_xlpm.result, "")
)</f>
        <v/>
      </c>
      <c r="AH36" t="str">
        <f>_xlfn.LET(
  _xlpm.result, _xlfn.XLOOKUP($B36, Result_Database!$A$2:$A$500, Result_Database!AG$2:AG$500),
  _xlfn.IFNA(_xlpm.result, "")
)</f>
        <v/>
      </c>
      <c r="AI36" t="str">
        <f>_xlfn.LET(
  _xlpm.result, _xlfn.XLOOKUP($B36, Result_Database!$A$2:$A$500, Result_Database!AH$2:AH$500),
  _xlfn.IFNA(_xlpm.result, "")
)</f>
        <v/>
      </c>
      <c r="AJ36" t="str">
        <f>_xlfn.LET(
  _xlpm.result, _xlfn.XLOOKUP($B36, Result_Database!$A$2:$A$500, Result_Database!AI$2:AI$500),
  _xlfn.IFNA(_xlpm.result, "")
)</f>
        <v/>
      </c>
      <c r="AK36" t="str">
        <f>_xlfn.LET(
  _xlpm.result, _xlfn.XLOOKUP($B36, Result_Database!$A$2:$A$500, Result_Database!AJ$2:AJ$500),
  _xlfn.IFNA(_xlpm.result, "")
)</f>
        <v/>
      </c>
      <c r="AL36" t="str">
        <f>_xlfn.LET(
  _xlpm.result, _xlfn.XLOOKUP($B36, Result_Database!$A$2:$A$500, Result_Database!AK$2:AK$500),
  _xlfn.IFNA(_xlpm.result, "")
)</f>
        <v/>
      </c>
      <c r="AM3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6" t="str">
        <f>IF(SUM(Table5[[#This Row],[A1]:[C6]])&lt;&gt;0,SUM(Table5[[#This Row],[A1]:[C6]]),"")</f>
        <v/>
      </c>
      <c r="AW36" t="str">
        <f>IF(SUM(Table5[[#This Row],[D7]:[F9]])=0,"",SUM(Table5[[#This Row],[D7]:[F9]]))</f>
        <v/>
      </c>
      <c r="AX3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6" t="str">
        <f>IF(COUNTIF(Table5[[#This Row],[English Language]:[Electrical/ Electronics]],"WITHHELD")=0,"",COUNTIF(Table5[[#This Row],[English Language]:[Electrical/ Electronics]],"WITHHELD"))</f>
        <v/>
      </c>
      <c r="BE36" t="str">
        <f>IF(SUM(Table5[[#This Row],[NO OF CREDITS]:[BELOW CREDITS]])=0,"",SUM(Table5[[#This Row],[NO OF CREDITS]:[BELOW CREDITS]]))</f>
        <v/>
      </c>
    </row>
    <row r="37" spans="1:57" x14ac:dyDescent="0.3">
      <c r="A37" t="str">
        <f>IF(B37&lt;&gt;"",COUNTA($B$6:B37),"")</f>
        <v/>
      </c>
      <c r="B37" t="str">
        <f>IF(Result_Database!A33="","",Result_Database!A33)</f>
        <v/>
      </c>
      <c r="C37" t="str">
        <f>_xlfn.LET(
_xlpm.result,_xlfn.XLOOKUP($B37,Result_Database!$A$2:$A$500,Result_Database!$B$2:$B$500),
_xlfn.IFNA(_xlpm.result,"")
)</f>
        <v/>
      </c>
      <c r="D37" t="str">
        <f>_xlfn.LET(
  _xlpm.result, _xlfn.XLOOKUP($B37, Result_Database!$A$2:$A$500, Result_Database!C$2:C$500),
  _xlfn.IFNA(_xlpm.result, "")
)</f>
        <v/>
      </c>
      <c r="E37" t="str">
        <f>_xlfn.LET(
  _xlpm.result, _xlfn.XLOOKUP($B37, Result_Database!$A$2:$A$500, Result_Database!D$2:D$500),
  _xlfn.IFNA(_xlpm.result, "")
)</f>
        <v/>
      </c>
      <c r="F37" t="str">
        <f>_xlfn.LET(
  _xlpm.result, _xlfn.XLOOKUP($B37, Result_Database!$A$2:$A$500, Result_Database!E$2:E$500),
  _xlfn.IFNA(_xlpm.result, "")
)</f>
        <v/>
      </c>
      <c r="G37" t="str">
        <f>_xlfn.LET(
  _xlpm.result, _xlfn.XLOOKUP($B37, Result_Database!$A$2:$A$500, Result_Database!F$2:F$500),
  _xlfn.IFNA(_xlpm.result, "")
)</f>
        <v/>
      </c>
      <c r="H37" t="str">
        <f>_xlfn.LET(
  _xlpm.result, _xlfn.XLOOKUP($B37, Result_Database!$A$2:$A$500, Result_Database!G$2:G$500),
  _xlfn.IFNA(_xlpm.result, "")
)</f>
        <v/>
      </c>
      <c r="I37" t="str">
        <f>_xlfn.LET(
  _xlpm.result, _xlfn.XLOOKUP($B37, Result_Database!$A$2:$A$500, Result_Database!H$2:H$500),
  _xlfn.IFNA(_xlpm.result, "")
)</f>
        <v/>
      </c>
      <c r="J37" t="str">
        <f>_xlfn.LET(
  _xlpm.result, _xlfn.XLOOKUP($B37, Result_Database!$A$2:$A$500, Result_Database!I$2:I$500),
  _xlfn.IFNA(_xlpm.result, "")
)</f>
        <v/>
      </c>
      <c r="K37" t="str">
        <f>_xlfn.LET(
  _xlpm.result, _xlfn.XLOOKUP($B37, Result_Database!$A$2:$A$500, Result_Database!J$2:J$500),
  _xlfn.IFNA(_xlpm.result, "")
)</f>
        <v/>
      </c>
      <c r="L37" t="str">
        <f>_xlfn.LET(
  _xlpm.result, _xlfn.XLOOKUP($B37, Result_Database!$A$2:$A$500, Result_Database!K$2:K$500),
  _xlfn.IFNA(_xlpm.result, "")
)</f>
        <v/>
      </c>
      <c r="M37" t="str">
        <f>_xlfn.LET(
  _xlpm.result, _xlfn.XLOOKUP($B37, Result_Database!$A$2:$A$500, Result_Database!L$2:L$500),
  _xlfn.IFNA(_xlpm.result, "")
)</f>
        <v/>
      </c>
      <c r="N37" t="str">
        <f>_xlfn.LET(
  _xlpm.result, _xlfn.XLOOKUP($B37, Result_Database!$A$2:$A$500, Result_Database!M$2:M$500),
  _xlfn.IFNA(_xlpm.result, "")
)</f>
        <v/>
      </c>
      <c r="O37" t="str">
        <f>_xlfn.LET(
  _xlpm.result, _xlfn.XLOOKUP($B37, Result_Database!$A$2:$A$500, Result_Database!N$2:N$500),
  _xlfn.IFNA(_xlpm.result, "")
)</f>
        <v/>
      </c>
      <c r="P37" t="str">
        <f>_xlfn.LET(
  _xlpm.result, _xlfn.XLOOKUP($B37, Result_Database!$A$2:$A$500, Result_Database!O$2:O$500),
  _xlfn.IFNA(_xlpm.result, "")
)</f>
        <v/>
      </c>
      <c r="Q37" t="str">
        <f>_xlfn.LET(
  _xlpm.result, _xlfn.XLOOKUP($B37, Result_Database!$A$2:$A$500, Result_Database!P$2:P$500),
  _xlfn.IFNA(_xlpm.result, "")
)</f>
        <v/>
      </c>
      <c r="R37" t="str">
        <f>_xlfn.LET(
  _xlpm.result, _xlfn.XLOOKUP($B37, Result_Database!$A$2:$A$500, Result_Database!Q$2:Q$500),
  _xlfn.IFNA(_xlpm.result, "")
)</f>
        <v/>
      </c>
      <c r="S37" t="str">
        <f>_xlfn.LET(
  _xlpm.result, _xlfn.XLOOKUP($B37, Result_Database!$A$2:$A$500, Result_Database!R$2:R$500),
  _xlfn.IFNA(_xlpm.result, "")
)</f>
        <v/>
      </c>
      <c r="T37" t="str">
        <f>_xlfn.LET(
  _xlpm.result, _xlfn.XLOOKUP($B37, Result_Database!$A$2:$A$500, Result_Database!S$2:S$500),
  _xlfn.IFNA(_xlpm.result, "")
)</f>
        <v/>
      </c>
      <c r="U37" t="str">
        <f>_xlfn.LET(
  _xlpm.result, _xlfn.XLOOKUP($B37, Result_Database!$A$2:$A$500, Result_Database!T$2:T$500),
  _xlfn.IFNA(_xlpm.result, "")
)</f>
        <v/>
      </c>
      <c r="V37" t="str">
        <f>_xlfn.LET(
  _xlpm.result, _xlfn.XLOOKUP($B37, Result_Database!$A$2:$A$500, Result_Database!U$2:U$500),
  _xlfn.IFNA(_xlpm.result, "")
)</f>
        <v/>
      </c>
      <c r="W37" t="str">
        <f>_xlfn.LET(
  _xlpm.result, _xlfn.XLOOKUP($B37, Result_Database!$A$2:$A$500, Result_Database!V$2:V$500),
  _xlfn.IFNA(_xlpm.result, "")
)</f>
        <v/>
      </c>
      <c r="X37" t="str">
        <f>_xlfn.LET(
  _xlpm.result, _xlfn.XLOOKUP($B37, Result_Database!$A$2:$A$500, Result_Database!W$2:W$500),
  _xlfn.IFNA(_xlpm.result, "")
)</f>
        <v/>
      </c>
      <c r="Y37" t="str">
        <f>_xlfn.LET(
  _xlpm.result, _xlfn.XLOOKUP($B37, Result_Database!$A$2:$A$500, Result_Database!X$2:X$500),
  _xlfn.IFNA(_xlpm.result, "")
)</f>
        <v/>
      </c>
      <c r="Z37" t="str">
        <f>_xlfn.LET(
  _xlpm.result, _xlfn.XLOOKUP($B37, Result_Database!$A$2:$A$500, Result_Database!Y$2:Y$500),
  _xlfn.IFNA(_xlpm.result, "")
)</f>
        <v/>
      </c>
      <c r="AA37" t="str">
        <f>_xlfn.LET(
  _xlpm.result, _xlfn.XLOOKUP($B37, Result_Database!$A$2:$A$500, Result_Database!Z$2:Z$500),
  _xlfn.IFNA(_xlpm.result, "")
)</f>
        <v/>
      </c>
      <c r="AB37" t="str">
        <f>_xlfn.LET(
  _xlpm.result, _xlfn.XLOOKUP($B37, Result_Database!$A$2:$A$500, Result_Database!AA$2:AA$500),
  _xlfn.IFNA(_xlpm.result, "")
)</f>
        <v/>
      </c>
      <c r="AC37" t="str">
        <f>_xlfn.LET(
  _xlpm.result, _xlfn.XLOOKUP($B37, Result_Database!$A$2:$A$500, Result_Database!AB$2:AB$500),
  _xlfn.IFNA(_xlpm.result, "")
)</f>
        <v/>
      </c>
      <c r="AD37" t="str">
        <f>_xlfn.LET(
  _xlpm.result, _xlfn.XLOOKUP($B37, Result_Database!$A$2:$A$500, Result_Database!AC$2:AC$500),
  _xlfn.IFNA(_xlpm.result, "")
)</f>
        <v/>
      </c>
      <c r="AE37" t="str">
        <f>_xlfn.LET(
  _xlpm.result, _xlfn.XLOOKUP($B37, Result_Database!$A$2:$A$500, Result_Database!AD$2:AD$500),
  _xlfn.IFNA(_xlpm.result, "")
)</f>
        <v/>
      </c>
      <c r="AF37" t="str">
        <f>_xlfn.LET(
  _xlpm.result, _xlfn.XLOOKUP($B37, Result_Database!$A$2:$A$500, Result_Database!AE$2:AE$500),
  _xlfn.IFNA(_xlpm.result, "")
)</f>
        <v/>
      </c>
      <c r="AG37" t="str">
        <f>_xlfn.LET(
  _xlpm.result, _xlfn.XLOOKUP($B37, Result_Database!$A$2:$A$500, Result_Database!AF$2:AF$500),
  _xlfn.IFNA(_xlpm.result, "")
)</f>
        <v/>
      </c>
      <c r="AH37" t="str">
        <f>_xlfn.LET(
  _xlpm.result, _xlfn.XLOOKUP($B37, Result_Database!$A$2:$A$500, Result_Database!AG$2:AG$500),
  _xlfn.IFNA(_xlpm.result, "")
)</f>
        <v/>
      </c>
      <c r="AI37" t="str">
        <f>_xlfn.LET(
  _xlpm.result, _xlfn.XLOOKUP($B37, Result_Database!$A$2:$A$500, Result_Database!AH$2:AH$500),
  _xlfn.IFNA(_xlpm.result, "")
)</f>
        <v/>
      </c>
      <c r="AJ37" t="str">
        <f>_xlfn.LET(
  _xlpm.result, _xlfn.XLOOKUP($B37, Result_Database!$A$2:$A$500, Result_Database!AI$2:AI$500),
  _xlfn.IFNA(_xlpm.result, "")
)</f>
        <v/>
      </c>
      <c r="AK37" t="str">
        <f>_xlfn.LET(
  _xlpm.result, _xlfn.XLOOKUP($B37, Result_Database!$A$2:$A$500, Result_Database!AJ$2:AJ$500),
  _xlfn.IFNA(_xlpm.result, "")
)</f>
        <v/>
      </c>
      <c r="AL37" t="str">
        <f>_xlfn.LET(
  _xlpm.result, _xlfn.XLOOKUP($B37, Result_Database!$A$2:$A$500, Result_Database!AK$2:AK$500),
  _xlfn.IFNA(_xlpm.result, "")
)</f>
        <v/>
      </c>
      <c r="AM3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7" t="str">
        <f>IF(SUM(Table5[[#This Row],[A1]:[C6]])&lt;&gt;0,SUM(Table5[[#This Row],[A1]:[C6]]),"")</f>
        <v/>
      </c>
      <c r="AW37" t="str">
        <f>IF(SUM(Table5[[#This Row],[D7]:[F9]])=0,"",SUM(Table5[[#This Row],[D7]:[F9]]))</f>
        <v/>
      </c>
      <c r="AX3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7" t="str">
        <f>IF(COUNTIF(Table5[[#This Row],[English Language]:[Electrical/ Electronics]],"WITHHELD")=0,"",COUNTIF(Table5[[#This Row],[English Language]:[Electrical/ Electronics]],"WITHHELD"))</f>
        <v/>
      </c>
      <c r="BE37" t="str">
        <f>IF(SUM(Table5[[#This Row],[NO OF CREDITS]:[BELOW CREDITS]])=0,"",SUM(Table5[[#This Row],[NO OF CREDITS]:[BELOW CREDITS]]))</f>
        <v/>
      </c>
    </row>
    <row r="38" spans="1:57" x14ac:dyDescent="0.3">
      <c r="A38" t="str">
        <f>IF(B38&lt;&gt;"",COUNTA($B$6:B38),"")</f>
        <v/>
      </c>
      <c r="B38" t="str">
        <f>IF(Result_Database!A34="","",Result_Database!A34)</f>
        <v/>
      </c>
      <c r="C38" t="str">
        <f>_xlfn.LET(
_xlpm.result,_xlfn.XLOOKUP($B38,Result_Database!$A$2:$A$500,Result_Database!$B$2:$B$500),
_xlfn.IFNA(_xlpm.result,"")
)</f>
        <v/>
      </c>
      <c r="D38" t="str">
        <f>_xlfn.LET(
  _xlpm.result, _xlfn.XLOOKUP($B38, Result_Database!$A$2:$A$500, Result_Database!C$2:C$500),
  _xlfn.IFNA(_xlpm.result, "")
)</f>
        <v/>
      </c>
      <c r="E38" t="str">
        <f>_xlfn.LET(
  _xlpm.result, _xlfn.XLOOKUP($B38, Result_Database!$A$2:$A$500, Result_Database!D$2:D$500),
  _xlfn.IFNA(_xlpm.result, "")
)</f>
        <v/>
      </c>
      <c r="F38" t="str">
        <f>_xlfn.LET(
  _xlpm.result, _xlfn.XLOOKUP($B38, Result_Database!$A$2:$A$500, Result_Database!E$2:E$500),
  _xlfn.IFNA(_xlpm.result, "")
)</f>
        <v/>
      </c>
      <c r="G38" t="str">
        <f>_xlfn.LET(
  _xlpm.result, _xlfn.XLOOKUP($B38, Result_Database!$A$2:$A$500, Result_Database!F$2:F$500),
  _xlfn.IFNA(_xlpm.result, "")
)</f>
        <v/>
      </c>
      <c r="H38" t="str">
        <f>_xlfn.LET(
  _xlpm.result, _xlfn.XLOOKUP($B38, Result_Database!$A$2:$A$500, Result_Database!G$2:G$500),
  _xlfn.IFNA(_xlpm.result, "")
)</f>
        <v/>
      </c>
      <c r="I38" t="str">
        <f>_xlfn.LET(
  _xlpm.result, _xlfn.XLOOKUP($B38, Result_Database!$A$2:$A$500, Result_Database!H$2:H$500),
  _xlfn.IFNA(_xlpm.result, "")
)</f>
        <v/>
      </c>
      <c r="J38" t="str">
        <f>_xlfn.LET(
  _xlpm.result, _xlfn.XLOOKUP($B38, Result_Database!$A$2:$A$500, Result_Database!I$2:I$500),
  _xlfn.IFNA(_xlpm.result, "")
)</f>
        <v/>
      </c>
      <c r="K38" t="str">
        <f>_xlfn.LET(
  _xlpm.result, _xlfn.XLOOKUP($B38, Result_Database!$A$2:$A$500, Result_Database!J$2:J$500),
  _xlfn.IFNA(_xlpm.result, "")
)</f>
        <v/>
      </c>
      <c r="L38" t="str">
        <f>_xlfn.LET(
  _xlpm.result, _xlfn.XLOOKUP($B38, Result_Database!$A$2:$A$500, Result_Database!K$2:K$500),
  _xlfn.IFNA(_xlpm.result, "")
)</f>
        <v/>
      </c>
      <c r="M38" t="str">
        <f>_xlfn.LET(
  _xlpm.result, _xlfn.XLOOKUP($B38, Result_Database!$A$2:$A$500, Result_Database!L$2:L$500),
  _xlfn.IFNA(_xlpm.result, "")
)</f>
        <v/>
      </c>
      <c r="N38" t="str">
        <f>_xlfn.LET(
  _xlpm.result, _xlfn.XLOOKUP($B38, Result_Database!$A$2:$A$500, Result_Database!M$2:M$500),
  _xlfn.IFNA(_xlpm.result, "")
)</f>
        <v/>
      </c>
      <c r="O38" t="str">
        <f>_xlfn.LET(
  _xlpm.result, _xlfn.XLOOKUP($B38, Result_Database!$A$2:$A$500, Result_Database!N$2:N$500),
  _xlfn.IFNA(_xlpm.result, "")
)</f>
        <v/>
      </c>
      <c r="P38" t="str">
        <f>_xlfn.LET(
  _xlpm.result, _xlfn.XLOOKUP($B38, Result_Database!$A$2:$A$500, Result_Database!O$2:O$500),
  _xlfn.IFNA(_xlpm.result, "")
)</f>
        <v/>
      </c>
      <c r="Q38" t="str">
        <f>_xlfn.LET(
  _xlpm.result, _xlfn.XLOOKUP($B38, Result_Database!$A$2:$A$500, Result_Database!P$2:P$500),
  _xlfn.IFNA(_xlpm.result, "")
)</f>
        <v/>
      </c>
      <c r="R38" t="str">
        <f>_xlfn.LET(
  _xlpm.result, _xlfn.XLOOKUP($B38, Result_Database!$A$2:$A$500, Result_Database!Q$2:Q$500),
  _xlfn.IFNA(_xlpm.result, "")
)</f>
        <v/>
      </c>
      <c r="S38" t="str">
        <f>_xlfn.LET(
  _xlpm.result, _xlfn.XLOOKUP($B38, Result_Database!$A$2:$A$500, Result_Database!R$2:R$500),
  _xlfn.IFNA(_xlpm.result, "")
)</f>
        <v/>
      </c>
      <c r="T38" t="str">
        <f>_xlfn.LET(
  _xlpm.result, _xlfn.XLOOKUP($B38, Result_Database!$A$2:$A$500, Result_Database!S$2:S$500),
  _xlfn.IFNA(_xlpm.result, "")
)</f>
        <v/>
      </c>
      <c r="U38" t="str">
        <f>_xlfn.LET(
  _xlpm.result, _xlfn.XLOOKUP($B38, Result_Database!$A$2:$A$500, Result_Database!T$2:T$500),
  _xlfn.IFNA(_xlpm.result, "")
)</f>
        <v/>
      </c>
      <c r="V38" t="str">
        <f>_xlfn.LET(
  _xlpm.result, _xlfn.XLOOKUP($B38, Result_Database!$A$2:$A$500, Result_Database!U$2:U$500),
  _xlfn.IFNA(_xlpm.result, "")
)</f>
        <v/>
      </c>
      <c r="W38" t="str">
        <f>_xlfn.LET(
  _xlpm.result, _xlfn.XLOOKUP($B38, Result_Database!$A$2:$A$500, Result_Database!V$2:V$500),
  _xlfn.IFNA(_xlpm.result, "")
)</f>
        <v/>
      </c>
      <c r="X38" t="str">
        <f>_xlfn.LET(
  _xlpm.result, _xlfn.XLOOKUP($B38, Result_Database!$A$2:$A$500, Result_Database!W$2:W$500),
  _xlfn.IFNA(_xlpm.result, "")
)</f>
        <v/>
      </c>
      <c r="Y38" t="str">
        <f>_xlfn.LET(
  _xlpm.result, _xlfn.XLOOKUP($B38, Result_Database!$A$2:$A$500, Result_Database!X$2:X$500),
  _xlfn.IFNA(_xlpm.result, "")
)</f>
        <v/>
      </c>
      <c r="Z38" t="str">
        <f>_xlfn.LET(
  _xlpm.result, _xlfn.XLOOKUP($B38, Result_Database!$A$2:$A$500, Result_Database!Y$2:Y$500),
  _xlfn.IFNA(_xlpm.result, "")
)</f>
        <v/>
      </c>
      <c r="AA38" t="str">
        <f>_xlfn.LET(
  _xlpm.result, _xlfn.XLOOKUP($B38, Result_Database!$A$2:$A$500, Result_Database!Z$2:Z$500),
  _xlfn.IFNA(_xlpm.result, "")
)</f>
        <v/>
      </c>
      <c r="AB38" t="str">
        <f>_xlfn.LET(
  _xlpm.result, _xlfn.XLOOKUP($B38, Result_Database!$A$2:$A$500, Result_Database!AA$2:AA$500),
  _xlfn.IFNA(_xlpm.result, "")
)</f>
        <v/>
      </c>
      <c r="AC38" t="str">
        <f>_xlfn.LET(
  _xlpm.result, _xlfn.XLOOKUP($B38, Result_Database!$A$2:$A$500, Result_Database!AB$2:AB$500),
  _xlfn.IFNA(_xlpm.result, "")
)</f>
        <v/>
      </c>
      <c r="AD38" t="str">
        <f>_xlfn.LET(
  _xlpm.result, _xlfn.XLOOKUP($B38, Result_Database!$A$2:$A$500, Result_Database!AC$2:AC$500),
  _xlfn.IFNA(_xlpm.result, "")
)</f>
        <v/>
      </c>
      <c r="AE38" t="str">
        <f>_xlfn.LET(
  _xlpm.result, _xlfn.XLOOKUP($B38, Result_Database!$A$2:$A$500, Result_Database!AD$2:AD$500),
  _xlfn.IFNA(_xlpm.result, "")
)</f>
        <v/>
      </c>
      <c r="AF38" t="str">
        <f>_xlfn.LET(
  _xlpm.result, _xlfn.XLOOKUP($B38, Result_Database!$A$2:$A$500, Result_Database!AE$2:AE$500),
  _xlfn.IFNA(_xlpm.result, "")
)</f>
        <v/>
      </c>
      <c r="AG38" t="str">
        <f>_xlfn.LET(
  _xlpm.result, _xlfn.XLOOKUP($B38, Result_Database!$A$2:$A$500, Result_Database!AF$2:AF$500),
  _xlfn.IFNA(_xlpm.result, "")
)</f>
        <v/>
      </c>
      <c r="AH38" t="str">
        <f>_xlfn.LET(
  _xlpm.result, _xlfn.XLOOKUP($B38, Result_Database!$A$2:$A$500, Result_Database!AG$2:AG$500),
  _xlfn.IFNA(_xlpm.result, "")
)</f>
        <v/>
      </c>
      <c r="AI38" t="str">
        <f>_xlfn.LET(
  _xlpm.result, _xlfn.XLOOKUP($B38, Result_Database!$A$2:$A$500, Result_Database!AH$2:AH$500),
  _xlfn.IFNA(_xlpm.result, "")
)</f>
        <v/>
      </c>
      <c r="AJ38" t="str">
        <f>_xlfn.LET(
  _xlpm.result, _xlfn.XLOOKUP($B38, Result_Database!$A$2:$A$500, Result_Database!AI$2:AI$500),
  _xlfn.IFNA(_xlpm.result, "")
)</f>
        <v/>
      </c>
      <c r="AK38" t="str">
        <f>_xlfn.LET(
  _xlpm.result, _xlfn.XLOOKUP($B38, Result_Database!$A$2:$A$500, Result_Database!AJ$2:AJ$500),
  _xlfn.IFNA(_xlpm.result, "")
)</f>
        <v/>
      </c>
      <c r="AL38" t="str">
        <f>_xlfn.LET(
  _xlpm.result, _xlfn.XLOOKUP($B38, Result_Database!$A$2:$A$500, Result_Database!AK$2:AK$500),
  _xlfn.IFNA(_xlpm.result, "")
)</f>
        <v/>
      </c>
      <c r="AM3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8" t="str">
        <f>IF(SUM(Table5[[#This Row],[A1]:[C6]])&lt;&gt;0,SUM(Table5[[#This Row],[A1]:[C6]]),"")</f>
        <v/>
      </c>
      <c r="AW38" t="str">
        <f>IF(SUM(Table5[[#This Row],[D7]:[F9]])=0,"",SUM(Table5[[#This Row],[D7]:[F9]]))</f>
        <v/>
      </c>
      <c r="AX3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8" t="str">
        <f>IF(COUNTIF(Table5[[#This Row],[English Language]:[Electrical/ Electronics]],"WITHHELD")=0,"",COUNTIF(Table5[[#This Row],[English Language]:[Electrical/ Electronics]],"WITHHELD"))</f>
        <v/>
      </c>
      <c r="BE38" t="str">
        <f>IF(SUM(Table5[[#This Row],[NO OF CREDITS]:[BELOW CREDITS]])=0,"",SUM(Table5[[#This Row],[NO OF CREDITS]:[BELOW CREDITS]]))</f>
        <v/>
      </c>
    </row>
    <row r="39" spans="1:57" x14ac:dyDescent="0.3">
      <c r="A39" t="str">
        <f>IF(B39&lt;&gt;"",COUNTA($B$6:B39),"")</f>
        <v/>
      </c>
      <c r="B39" t="str">
        <f>IF(Result_Database!A35="","",Result_Database!A35)</f>
        <v/>
      </c>
      <c r="C39" t="str">
        <f>_xlfn.LET(
_xlpm.result,_xlfn.XLOOKUP($B39,Result_Database!$A$2:$A$500,Result_Database!$B$2:$B$500),
_xlfn.IFNA(_xlpm.result,"")
)</f>
        <v/>
      </c>
      <c r="D39" t="str">
        <f>_xlfn.LET(
  _xlpm.result, _xlfn.XLOOKUP($B39, Result_Database!$A$2:$A$500, Result_Database!C$2:C$500),
  _xlfn.IFNA(_xlpm.result, "")
)</f>
        <v/>
      </c>
      <c r="E39" t="str">
        <f>_xlfn.LET(
  _xlpm.result, _xlfn.XLOOKUP($B39, Result_Database!$A$2:$A$500, Result_Database!D$2:D$500),
  _xlfn.IFNA(_xlpm.result, "")
)</f>
        <v/>
      </c>
      <c r="F39" t="str">
        <f>_xlfn.LET(
  _xlpm.result, _xlfn.XLOOKUP($B39, Result_Database!$A$2:$A$500, Result_Database!E$2:E$500),
  _xlfn.IFNA(_xlpm.result, "")
)</f>
        <v/>
      </c>
      <c r="G39" t="str">
        <f>_xlfn.LET(
  _xlpm.result, _xlfn.XLOOKUP($B39, Result_Database!$A$2:$A$500, Result_Database!F$2:F$500),
  _xlfn.IFNA(_xlpm.result, "")
)</f>
        <v/>
      </c>
      <c r="H39" t="str">
        <f>_xlfn.LET(
  _xlpm.result, _xlfn.XLOOKUP($B39, Result_Database!$A$2:$A$500, Result_Database!G$2:G$500),
  _xlfn.IFNA(_xlpm.result, "")
)</f>
        <v/>
      </c>
      <c r="I39" t="str">
        <f>_xlfn.LET(
  _xlpm.result, _xlfn.XLOOKUP($B39, Result_Database!$A$2:$A$500, Result_Database!H$2:H$500),
  _xlfn.IFNA(_xlpm.result, "")
)</f>
        <v/>
      </c>
      <c r="J39" t="str">
        <f>_xlfn.LET(
  _xlpm.result, _xlfn.XLOOKUP($B39, Result_Database!$A$2:$A$500, Result_Database!I$2:I$500),
  _xlfn.IFNA(_xlpm.result, "")
)</f>
        <v/>
      </c>
      <c r="K39" t="str">
        <f>_xlfn.LET(
  _xlpm.result, _xlfn.XLOOKUP($B39, Result_Database!$A$2:$A$500, Result_Database!J$2:J$500),
  _xlfn.IFNA(_xlpm.result, "")
)</f>
        <v/>
      </c>
      <c r="L39" t="str">
        <f>_xlfn.LET(
  _xlpm.result, _xlfn.XLOOKUP($B39, Result_Database!$A$2:$A$500, Result_Database!K$2:K$500),
  _xlfn.IFNA(_xlpm.result, "")
)</f>
        <v/>
      </c>
      <c r="M39" t="str">
        <f>_xlfn.LET(
  _xlpm.result, _xlfn.XLOOKUP($B39, Result_Database!$A$2:$A$500, Result_Database!L$2:L$500),
  _xlfn.IFNA(_xlpm.result, "")
)</f>
        <v/>
      </c>
      <c r="N39" t="str">
        <f>_xlfn.LET(
  _xlpm.result, _xlfn.XLOOKUP($B39, Result_Database!$A$2:$A$500, Result_Database!M$2:M$500),
  _xlfn.IFNA(_xlpm.result, "")
)</f>
        <v/>
      </c>
      <c r="O39" t="str">
        <f>_xlfn.LET(
  _xlpm.result, _xlfn.XLOOKUP($B39, Result_Database!$A$2:$A$500, Result_Database!N$2:N$500),
  _xlfn.IFNA(_xlpm.result, "")
)</f>
        <v/>
      </c>
      <c r="P39" t="str">
        <f>_xlfn.LET(
  _xlpm.result, _xlfn.XLOOKUP($B39, Result_Database!$A$2:$A$500, Result_Database!O$2:O$500),
  _xlfn.IFNA(_xlpm.result, "")
)</f>
        <v/>
      </c>
      <c r="Q39" t="str">
        <f>_xlfn.LET(
  _xlpm.result, _xlfn.XLOOKUP($B39, Result_Database!$A$2:$A$500, Result_Database!P$2:P$500),
  _xlfn.IFNA(_xlpm.result, "")
)</f>
        <v/>
      </c>
      <c r="R39" t="str">
        <f>_xlfn.LET(
  _xlpm.result, _xlfn.XLOOKUP($B39, Result_Database!$A$2:$A$500, Result_Database!Q$2:Q$500),
  _xlfn.IFNA(_xlpm.result, "")
)</f>
        <v/>
      </c>
      <c r="S39" t="str">
        <f>_xlfn.LET(
  _xlpm.result, _xlfn.XLOOKUP($B39, Result_Database!$A$2:$A$500, Result_Database!R$2:R$500),
  _xlfn.IFNA(_xlpm.result, "")
)</f>
        <v/>
      </c>
      <c r="T39" t="str">
        <f>_xlfn.LET(
  _xlpm.result, _xlfn.XLOOKUP($B39, Result_Database!$A$2:$A$500, Result_Database!S$2:S$500),
  _xlfn.IFNA(_xlpm.result, "")
)</f>
        <v/>
      </c>
      <c r="U39" t="str">
        <f>_xlfn.LET(
  _xlpm.result, _xlfn.XLOOKUP($B39, Result_Database!$A$2:$A$500, Result_Database!T$2:T$500),
  _xlfn.IFNA(_xlpm.result, "")
)</f>
        <v/>
      </c>
      <c r="V39" t="str">
        <f>_xlfn.LET(
  _xlpm.result, _xlfn.XLOOKUP($B39, Result_Database!$A$2:$A$500, Result_Database!U$2:U$500),
  _xlfn.IFNA(_xlpm.result, "")
)</f>
        <v/>
      </c>
      <c r="W39" t="str">
        <f>_xlfn.LET(
  _xlpm.result, _xlfn.XLOOKUP($B39, Result_Database!$A$2:$A$500, Result_Database!V$2:V$500),
  _xlfn.IFNA(_xlpm.result, "")
)</f>
        <v/>
      </c>
      <c r="X39" t="str">
        <f>_xlfn.LET(
  _xlpm.result, _xlfn.XLOOKUP($B39, Result_Database!$A$2:$A$500, Result_Database!W$2:W$500),
  _xlfn.IFNA(_xlpm.result, "")
)</f>
        <v/>
      </c>
      <c r="Y39" t="str">
        <f>_xlfn.LET(
  _xlpm.result, _xlfn.XLOOKUP($B39, Result_Database!$A$2:$A$500, Result_Database!X$2:X$500),
  _xlfn.IFNA(_xlpm.result, "")
)</f>
        <v/>
      </c>
      <c r="Z39" t="str">
        <f>_xlfn.LET(
  _xlpm.result, _xlfn.XLOOKUP($B39, Result_Database!$A$2:$A$500, Result_Database!Y$2:Y$500),
  _xlfn.IFNA(_xlpm.result, "")
)</f>
        <v/>
      </c>
      <c r="AA39" t="str">
        <f>_xlfn.LET(
  _xlpm.result, _xlfn.XLOOKUP($B39, Result_Database!$A$2:$A$500, Result_Database!Z$2:Z$500),
  _xlfn.IFNA(_xlpm.result, "")
)</f>
        <v/>
      </c>
      <c r="AB39" t="str">
        <f>_xlfn.LET(
  _xlpm.result, _xlfn.XLOOKUP($B39, Result_Database!$A$2:$A$500, Result_Database!AA$2:AA$500),
  _xlfn.IFNA(_xlpm.result, "")
)</f>
        <v/>
      </c>
      <c r="AC39" t="str">
        <f>_xlfn.LET(
  _xlpm.result, _xlfn.XLOOKUP($B39, Result_Database!$A$2:$A$500, Result_Database!AB$2:AB$500),
  _xlfn.IFNA(_xlpm.result, "")
)</f>
        <v/>
      </c>
      <c r="AD39" t="str">
        <f>_xlfn.LET(
  _xlpm.result, _xlfn.XLOOKUP($B39, Result_Database!$A$2:$A$500, Result_Database!AC$2:AC$500),
  _xlfn.IFNA(_xlpm.result, "")
)</f>
        <v/>
      </c>
      <c r="AE39" t="str">
        <f>_xlfn.LET(
  _xlpm.result, _xlfn.XLOOKUP($B39, Result_Database!$A$2:$A$500, Result_Database!AD$2:AD$500),
  _xlfn.IFNA(_xlpm.result, "")
)</f>
        <v/>
      </c>
      <c r="AF39" t="str">
        <f>_xlfn.LET(
  _xlpm.result, _xlfn.XLOOKUP($B39, Result_Database!$A$2:$A$500, Result_Database!AE$2:AE$500),
  _xlfn.IFNA(_xlpm.result, "")
)</f>
        <v/>
      </c>
      <c r="AG39" t="str">
        <f>_xlfn.LET(
  _xlpm.result, _xlfn.XLOOKUP($B39, Result_Database!$A$2:$A$500, Result_Database!AF$2:AF$500),
  _xlfn.IFNA(_xlpm.result, "")
)</f>
        <v/>
      </c>
      <c r="AH39" t="str">
        <f>_xlfn.LET(
  _xlpm.result, _xlfn.XLOOKUP($B39, Result_Database!$A$2:$A$500, Result_Database!AG$2:AG$500),
  _xlfn.IFNA(_xlpm.result, "")
)</f>
        <v/>
      </c>
      <c r="AI39" t="str">
        <f>_xlfn.LET(
  _xlpm.result, _xlfn.XLOOKUP($B39, Result_Database!$A$2:$A$500, Result_Database!AH$2:AH$500),
  _xlfn.IFNA(_xlpm.result, "")
)</f>
        <v/>
      </c>
      <c r="AJ39" t="str">
        <f>_xlfn.LET(
  _xlpm.result, _xlfn.XLOOKUP($B39, Result_Database!$A$2:$A$500, Result_Database!AI$2:AI$500),
  _xlfn.IFNA(_xlpm.result, "")
)</f>
        <v/>
      </c>
      <c r="AK39" t="str">
        <f>_xlfn.LET(
  _xlpm.result, _xlfn.XLOOKUP($B39, Result_Database!$A$2:$A$500, Result_Database!AJ$2:AJ$500),
  _xlfn.IFNA(_xlpm.result, "")
)</f>
        <v/>
      </c>
      <c r="AL39" t="str">
        <f>_xlfn.LET(
  _xlpm.result, _xlfn.XLOOKUP($B39, Result_Database!$A$2:$A$500, Result_Database!AK$2:AK$500),
  _xlfn.IFNA(_xlpm.result, "")
)</f>
        <v/>
      </c>
      <c r="AM3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9" t="str">
        <f>IF(SUM(Table5[[#This Row],[A1]:[C6]])&lt;&gt;0,SUM(Table5[[#This Row],[A1]:[C6]]),"")</f>
        <v/>
      </c>
      <c r="AW39" t="str">
        <f>IF(SUM(Table5[[#This Row],[D7]:[F9]])=0,"",SUM(Table5[[#This Row],[D7]:[F9]]))</f>
        <v/>
      </c>
      <c r="AX3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9" t="str">
        <f>IF(COUNTIF(Table5[[#This Row],[English Language]:[Electrical/ Electronics]],"WITHHELD")=0,"",COUNTIF(Table5[[#This Row],[English Language]:[Electrical/ Electronics]],"WITHHELD"))</f>
        <v/>
      </c>
      <c r="BE39" t="str">
        <f>IF(SUM(Table5[[#This Row],[NO OF CREDITS]:[BELOW CREDITS]])=0,"",SUM(Table5[[#This Row],[NO OF CREDITS]:[BELOW CREDITS]]))</f>
        <v/>
      </c>
    </row>
    <row r="40" spans="1:57" x14ac:dyDescent="0.3">
      <c r="A40" t="str">
        <f>IF(B40&lt;&gt;"",COUNTA($B$6:B40),"")</f>
        <v/>
      </c>
      <c r="B40" t="str">
        <f>IF(Result_Database!A36="","",Result_Database!A36)</f>
        <v/>
      </c>
      <c r="C40" t="str">
        <f>_xlfn.LET(
_xlpm.result,_xlfn.XLOOKUP($B40,Result_Database!$A$2:$A$500,Result_Database!$B$2:$B$500),
_xlfn.IFNA(_xlpm.result,"")
)</f>
        <v/>
      </c>
      <c r="D40" t="str">
        <f>_xlfn.LET(
  _xlpm.result, _xlfn.XLOOKUP($B40, Result_Database!$A$2:$A$500, Result_Database!C$2:C$500),
  _xlfn.IFNA(_xlpm.result, "")
)</f>
        <v/>
      </c>
      <c r="E40" t="str">
        <f>_xlfn.LET(
  _xlpm.result, _xlfn.XLOOKUP($B40, Result_Database!$A$2:$A$500, Result_Database!D$2:D$500),
  _xlfn.IFNA(_xlpm.result, "")
)</f>
        <v/>
      </c>
      <c r="F40" t="str">
        <f>_xlfn.LET(
  _xlpm.result, _xlfn.XLOOKUP($B40, Result_Database!$A$2:$A$500, Result_Database!E$2:E$500),
  _xlfn.IFNA(_xlpm.result, "")
)</f>
        <v/>
      </c>
      <c r="G40" t="str">
        <f>_xlfn.LET(
  _xlpm.result, _xlfn.XLOOKUP($B40, Result_Database!$A$2:$A$500, Result_Database!F$2:F$500),
  _xlfn.IFNA(_xlpm.result, "")
)</f>
        <v/>
      </c>
      <c r="H40" t="str">
        <f>_xlfn.LET(
  _xlpm.result, _xlfn.XLOOKUP($B40, Result_Database!$A$2:$A$500, Result_Database!G$2:G$500),
  _xlfn.IFNA(_xlpm.result, "")
)</f>
        <v/>
      </c>
      <c r="I40" t="str">
        <f>_xlfn.LET(
  _xlpm.result, _xlfn.XLOOKUP($B40, Result_Database!$A$2:$A$500, Result_Database!H$2:H$500),
  _xlfn.IFNA(_xlpm.result, "")
)</f>
        <v/>
      </c>
      <c r="J40" t="str">
        <f>_xlfn.LET(
  _xlpm.result, _xlfn.XLOOKUP($B40, Result_Database!$A$2:$A$500, Result_Database!I$2:I$500),
  _xlfn.IFNA(_xlpm.result, "")
)</f>
        <v/>
      </c>
      <c r="K40" t="str">
        <f>_xlfn.LET(
  _xlpm.result, _xlfn.XLOOKUP($B40, Result_Database!$A$2:$A$500, Result_Database!J$2:J$500),
  _xlfn.IFNA(_xlpm.result, "")
)</f>
        <v/>
      </c>
      <c r="L40" t="str">
        <f>_xlfn.LET(
  _xlpm.result, _xlfn.XLOOKUP($B40, Result_Database!$A$2:$A$500, Result_Database!K$2:K$500),
  _xlfn.IFNA(_xlpm.result, "")
)</f>
        <v/>
      </c>
      <c r="M40" t="str">
        <f>_xlfn.LET(
  _xlpm.result, _xlfn.XLOOKUP($B40, Result_Database!$A$2:$A$500, Result_Database!L$2:L$500),
  _xlfn.IFNA(_xlpm.result, "")
)</f>
        <v/>
      </c>
      <c r="N40" t="str">
        <f>_xlfn.LET(
  _xlpm.result, _xlfn.XLOOKUP($B40, Result_Database!$A$2:$A$500, Result_Database!M$2:M$500),
  _xlfn.IFNA(_xlpm.result, "")
)</f>
        <v/>
      </c>
      <c r="O40" t="str">
        <f>_xlfn.LET(
  _xlpm.result, _xlfn.XLOOKUP($B40, Result_Database!$A$2:$A$500, Result_Database!N$2:N$500),
  _xlfn.IFNA(_xlpm.result, "")
)</f>
        <v/>
      </c>
      <c r="P40" t="str">
        <f>_xlfn.LET(
  _xlpm.result, _xlfn.XLOOKUP($B40, Result_Database!$A$2:$A$500, Result_Database!O$2:O$500),
  _xlfn.IFNA(_xlpm.result, "")
)</f>
        <v/>
      </c>
      <c r="Q40" t="str">
        <f>_xlfn.LET(
  _xlpm.result, _xlfn.XLOOKUP($B40, Result_Database!$A$2:$A$500, Result_Database!P$2:P$500),
  _xlfn.IFNA(_xlpm.result, "")
)</f>
        <v/>
      </c>
      <c r="R40" t="str">
        <f>_xlfn.LET(
  _xlpm.result, _xlfn.XLOOKUP($B40, Result_Database!$A$2:$A$500, Result_Database!Q$2:Q$500),
  _xlfn.IFNA(_xlpm.result, "")
)</f>
        <v/>
      </c>
      <c r="S40" t="str">
        <f>_xlfn.LET(
  _xlpm.result, _xlfn.XLOOKUP($B40, Result_Database!$A$2:$A$500, Result_Database!R$2:R$500),
  _xlfn.IFNA(_xlpm.result, "")
)</f>
        <v/>
      </c>
      <c r="T40" t="str">
        <f>_xlfn.LET(
  _xlpm.result, _xlfn.XLOOKUP($B40, Result_Database!$A$2:$A$500, Result_Database!S$2:S$500),
  _xlfn.IFNA(_xlpm.result, "")
)</f>
        <v/>
      </c>
      <c r="U40" t="str">
        <f>_xlfn.LET(
  _xlpm.result, _xlfn.XLOOKUP($B40, Result_Database!$A$2:$A$500, Result_Database!T$2:T$500),
  _xlfn.IFNA(_xlpm.result, "")
)</f>
        <v/>
      </c>
      <c r="V40" t="str">
        <f>_xlfn.LET(
  _xlpm.result, _xlfn.XLOOKUP($B40, Result_Database!$A$2:$A$500, Result_Database!U$2:U$500),
  _xlfn.IFNA(_xlpm.result, "")
)</f>
        <v/>
      </c>
      <c r="W40" t="str">
        <f>_xlfn.LET(
  _xlpm.result, _xlfn.XLOOKUP($B40, Result_Database!$A$2:$A$500, Result_Database!V$2:V$500),
  _xlfn.IFNA(_xlpm.result, "")
)</f>
        <v/>
      </c>
      <c r="X40" t="str">
        <f>_xlfn.LET(
  _xlpm.result, _xlfn.XLOOKUP($B40, Result_Database!$A$2:$A$500, Result_Database!W$2:W$500),
  _xlfn.IFNA(_xlpm.result, "")
)</f>
        <v/>
      </c>
      <c r="Y40" t="str">
        <f>_xlfn.LET(
  _xlpm.result, _xlfn.XLOOKUP($B40, Result_Database!$A$2:$A$500, Result_Database!X$2:X$500),
  _xlfn.IFNA(_xlpm.result, "")
)</f>
        <v/>
      </c>
      <c r="Z40" t="str">
        <f>_xlfn.LET(
  _xlpm.result, _xlfn.XLOOKUP($B40, Result_Database!$A$2:$A$500, Result_Database!Y$2:Y$500),
  _xlfn.IFNA(_xlpm.result, "")
)</f>
        <v/>
      </c>
      <c r="AA40" t="str">
        <f>_xlfn.LET(
  _xlpm.result, _xlfn.XLOOKUP($B40, Result_Database!$A$2:$A$500, Result_Database!Z$2:Z$500),
  _xlfn.IFNA(_xlpm.result, "")
)</f>
        <v/>
      </c>
      <c r="AB40" t="str">
        <f>_xlfn.LET(
  _xlpm.result, _xlfn.XLOOKUP($B40, Result_Database!$A$2:$A$500, Result_Database!AA$2:AA$500),
  _xlfn.IFNA(_xlpm.result, "")
)</f>
        <v/>
      </c>
      <c r="AC40" t="str">
        <f>_xlfn.LET(
  _xlpm.result, _xlfn.XLOOKUP($B40, Result_Database!$A$2:$A$500, Result_Database!AB$2:AB$500),
  _xlfn.IFNA(_xlpm.result, "")
)</f>
        <v/>
      </c>
      <c r="AD40" t="str">
        <f>_xlfn.LET(
  _xlpm.result, _xlfn.XLOOKUP($B40, Result_Database!$A$2:$A$500, Result_Database!AC$2:AC$500),
  _xlfn.IFNA(_xlpm.result, "")
)</f>
        <v/>
      </c>
      <c r="AE40" t="str">
        <f>_xlfn.LET(
  _xlpm.result, _xlfn.XLOOKUP($B40, Result_Database!$A$2:$A$500, Result_Database!AD$2:AD$500),
  _xlfn.IFNA(_xlpm.result, "")
)</f>
        <v/>
      </c>
      <c r="AF40" t="str">
        <f>_xlfn.LET(
  _xlpm.result, _xlfn.XLOOKUP($B40, Result_Database!$A$2:$A$500, Result_Database!AE$2:AE$500),
  _xlfn.IFNA(_xlpm.result, "")
)</f>
        <v/>
      </c>
      <c r="AG40" t="str">
        <f>_xlfn.LET(
  _xlpm.result, _xlfn.XLOOKUP($B40, Result_Database!$A$2:$A$500, Result_Database!AF$2:AF$500),
  _xlfn.IFNA(_xlpm.result, "")
)</f>
        <v/>
      </c>
      <c r="AH40" t="str">
        <f>_xlfn.LET(
  _xlpm.result, _xlfn.XLOOKUP($B40, Result_Database!$A$2:$A$500, Result_Database!AG$2:AG$500),
  _xlfn.IFNA(_xlpm.result, "")
)</f>
        <v/>
      </c>
      <c r="AI40" t="str">
        <f>_xlfn.LET(
  _xlpm.result, _xlfn.XLOOKUP($B40, Result_Database!$A$2:$A$500, Result_Database!AH$2:AH$500),
  _xlfn.IFNA(_xlpm.result, "")
)</f>
        <v/>
      </c>
      <c r="AJ40" t="str">
        <f>_xlfn.LET(
  _xlpm.result, _xlfn.XLOOKUP($B40, Result_Database!$A$2:$A$500, Result_Database!AI$2:AI$500),
  _xlfn.IFNA(_xlpm.result, "")
)</f>
        <v/>
      </c>
      <c r="AK40" t="str">
        <f>_xlfn.LET(
  _xlpm.result, _xlfn.XLOOKUP($B40, Result_Database!$A$2:$A$500, Result_Database!AJ$2:AJ$500),
  _xlfn.IFNA(_xlpm.result, "")
)</f>
        <v/>
      </c>
      <c r="AL40" t="str">
        <f>_xlfn.LET(
  _xlpm.result, _xlfn.XLOOKUP($B40, Result_Database!$A$2:$A$500, Result_Database!AK$2:AK$500),
  _xlfn.IFNA(_xlpm.result, "")
)</f>
        <v/>
      </c>
      <c r="AM4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0" t="str">
        <f>IF(SUM(Table5[[#This Row],[A1]:[C6]])&lt;&gt;0,SUM(Table5[[#This Row],[A1]:[C6]]),"")</f>
        <v/>
      </c>
      <c r="AW40" t="str">
        <f>IF(SUM(Table5[[#This Row],[D7]:[F9]])=0,"",SUM(Table5[[#This Row],[D7]:[F9]]))</f>
        <v/>
      </c>
      <c r="AX4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0" t="str">
        <f>IF(COUNTIF(Table5[[#This Row],[English Language]:[Electrical/ Electronics]],"WITHHELD")=0,"",COUNTIF(Table5[[#This Row],[English Language]:[Electrical/ Electronics]],"WITHHELD"))</f>
        <v/>
      </c>
      <c r="BE40" t="str">
        <f>IF(SUM(Table5[[#This Row],[NO OF CREDITS]:[BELOW CREDITS]])=0,"",SUM(Table5[[#This Row],[NO OF CREDITS]:[BELOW CREDITS]]))</f>
        <v/>
      </c>
    </row>
    <row r="41" spans="1:57" x14ac:dyDescent="0.3">
      <c r="A41" t="str">
        <f>IF(B41&lt;&gt;"",COUNTA($B$6:B41),"")</f>
        <v/>
      </c>
      <c r="B41" t="str">
        <f>IF(Result_Database!A37="","",Result_Database!A37)</f>
        <v/>
      </c>
      <c r="C41" t="str">
        <f>_xlfn.LET(
_xlpm.result,_xlfn.XLOOKUP($B41,Result_Database!$A$2:$A$500,Result_Database!$B$2:$B$500),
_xlfn.IFNA(_xlpm.result,"")
)</f>
        <v/>
      </c>
      <c r="D41" t="str">
        <f>_xlfn.LET(
  _xlpm.result, _xlfn.XLOOKUP($B41, Result_Database!$A$2:$A$500, Result_Database!C$2:C$500),
  _xlfn.IFNA(_xlpm.result, "")
)</f>
        <v/>
      </c>
      <c r="E41" t="str">
        <f>_xlfn.LET(
  _xlpm.result, _xlfn.XLOOKUP($B41, Result_Database!$A$2:$A$500, Result_Database!D$2:D$500),
  _xlfn.IFNA(_xlpm.result, "")
)</f>
        <v/>
      </c>
      <c r="F41" t="str">
        <f>_xlfn.LET(
  _xlpm.result, _xlfn.XLOOKUP($B41, Result_Database!$A$2:$A$500, Result_Database!E$2:E$500),
  _xlfn.IFNA(_xlpm.result, "")
)</f>
        <v/>
      </c>
      <c r="G41" t="str">
        <f>_xlfn.LET(
  _xlpm.result, _xlfn.XLOOKUP($B41, Result_Database!$A$2:$A$500, Result_Database!F$2:F$500),
  _xlfn.IFNA(_xlpm.result, "")
)</f>
        <v/>
      </c>
      <c r="H41" t="str">
        <f>_xlfn.LET(
  _xlpm.result, _xlfn.XLOOKUP($B41, Result_Database!$A$2:$A$500, Result_Database!G$2:G$500),
  _xlfn.IFNA(_xlpm.result, "")
)</f>
        <v/>
      </c>
      <c r="I41" t="str">
        <f>_xlfn.LET(
  _xlpm.result, _xlfn.XLOOKUP($B41, Result_Database!$A$2:$A$500, Result_Database!H$2:H$500),
  _xlfn.IFNA(_xlpm.result, "")
)</f>
        <v/>
      </c>
      <c r="J41" t="str">
        <f>_xlfn.LET(
  _xlpm.result, _xlfn.XLOOKUP($B41, Result_Database!$A$2:$A$500, Result_Database!I$2:I$500),
  _xlfn.IFNA(_xlpm.result, "")
)</f>
        <v/>
      </c>
      <c r="K41" t="str">
        <f>_xlfn.LET(
  _xlpm.result, _xlfn.XLOOKUP($B41, Result_Database!$A$2:$A$500, Result_Database!J$2:J$500),
  _xlfn.IFNA(_xlpm.result, "")
)</f>
        <v/>
      </c>
      <c r="L41" t="str">
        <f>_xlfn.LET(
  _xlpm.result, _xlfn.XLOOKUP($B41, Result_Database!$A$2:$A$500, Result_Database!K$2:K$500),
  _xlfn.IFNA(_xlpm.result, "")
)</f>
        <v/>
      </c>
      <c r="M41" t="str">
        <f>_xlfn.LET(
  _xlpm.result, _xlfn.XLOOKUP($B41, Result_Database!$A$2:$A$500, Result_Database!L$2:L$500),
  _xlfn.IFNA(_xlpm.result, "")
)</f>
        <v/>
      </c>
      <c r="N41" t="str">
        <f>_xlfn.LET(
  _xlpm.result, _xlfn.XLOOKUP($B41, Result_Database!$A$2:$A$500, Result_Database!M$2:M$500),
  _xlfn.IFNA(_xlpm.result, "")
)</f>
        <v/>
      </c>
      <c r="O41" t="str">
        <f>_xlfn.LET(
  _xlpm.result, _xlfn.XLOOKUP($B41, Result_Database!$A$2:$A$500, Result_Database!N$2:N$500),
  _xlfn.IFNA(_xlpm.result, "")
)</f>
        <v/>
      </c>
      <c r="P41" t="str">
        <f>_xlfn.LET(
  _xlpm.result, _xlfn.XLOOKUP($B41, Result_Database!$A$2:$A$500, Result_Database!O$2:O$500),
  _xlfn.IFNA(_xlpm.result, "")
)</f>
        <v/>
      </c>
      <c r="Q41" t="str">
        <f>_xlfn.LET(
  _xlpm.result, _xlfn.XLOOKUP($B41, Result_Database!$A$2:$A$500, Result_Database!P$2:P$500),
  _xlfn.IFNA(_xlpm.result, "")
)</f>
        <v/>
      </c>
      <c r="R41" t="str">
        <f>_xlfn.LET(
  _xlpm.result, _xlfn.XLOOKUP($B41, Result_Database!$A$2:$A$500, Result_Database!Q$2:Q$500),
  _xlfn.IFNA(_xlpm.result, "")
)</f>
        <v/>
      </c>
      <c r="S41" t="str">
        <f>_xlfn.LET(
  _xlpm.result, _xlfn.XLOOKUP($B41, Result_Database!$A$2:$A$500, Result_Database!R$2:R$500),
  _xlfn.IFNA(_xlpm.result, "")
)</f>
        <v/>
      </c>
      <c r="T41" t="str">
        <f>_xlfn.LET(
  _xlpm.result, _xlfn.XLOOKUP($B41, Result_Database!$A$2:$A$500, Result_Database!S$2:S$500),
  _xlfn.IFNA(_xlpm.result, "")
)</f>
        <v/>
      </c>
      <c r="U41" t="str">
        <f>_xlfn.LET(
  _xlpm.result, _xlfn.XLOOKUP($B41, Result_Database!$A$2:$A$500, Result_Database!T$2:T$500),
  _xlfn.IFNA(_xlpm.result, "")
)</f>
        <v/>
      </c>
      <c r="V41" t="str">
        <f>_xlfn.LET(
  _xlpm.result, _xlfn.XLOOKUP($B41, Result_Database!$A$2:$A$500, Result_Database!U$2:U$500),
  _xlfn.IFNA(_xlpm.result, "")
)</f>
        <v/>
      </c>
      <c r="W41" t="str">
        <f>_xlfn.LET(
  _xlpm.result, _xlfn.XLOOKUP($B41, Result_Database!$A$2:$A$500, Result_Database!V$2:V$500),
  _xlfn.IFNA(_xlpm.result, "")
)</f>
        <v/>
      </c>
      <c r="X41" t="str">
        <f>_xlfn.LET(
  _xlpm.result, _xlfn.XLOOKUP($B41, Result_Database!$A$2:$A$500, Result_Database!W$2:W$500),
  _xlfn.IFNA(_xlpm.result, "")
)</f>
        <v/>
      </c>
      <c r="Y41" t="str">
        <f>_xlfn.LET(
  _xlpm.result, _xlfn.XLOOKUP($B41, Result_Database!$A$2:$A$500, Result_Database!X$2:X$500),
  _xlfn.IFNA(_xlpm.result, "")
)</f>
        <v/>
      </c>
      <c r="Z41" t="str">
        <f>_xlfn.LET(
  _xlpm.result, _xlfn.XLOOKUP($B41, Result_Database!$A$2:$A$500, Result_Database!Y$2:Y$500),
  _xlfn.IFNA(_xlpm.result, "")
)</f>
        <v/>
      </c>
      <c r="AA41" t="str">
        <f>_xlfn.LET(
  _xlpm.result, _xlfn.XLOOKUP($B41, Result_Database!$A$2:$A$500, Result_Database!Z$2:Z$500),
  _xlfn.IFNA(_xlpm.result, "")
)</f>
        <v/>
      </c>
      <c r="AB41" t="str">
        <f>_xlfn.LET(
  _xlpm.result, _xlfn.XLOOKUP($B41, Result_Database!$A$2:$A$500, Result_Database!AA$2:AA$500),
  _xlfn.IFNA(_xlpm.result, "")
)</f>
        <v/>
      </c>
      <c r="AC41" t="str">
        <f>_xlfn.LET(
  _xlpm.result, _xlfn.XLOOKUP($B41, Result_Database!$A$2:$A$500, Result_Database!AB$2:AB$500),
  _xlfn.IFNA(_xlpm.result, "")
)</f>
        <v/>
      </c>
      <c r="AD41" t="str">
        <f>_xlfn.LET(
  _xlpm.result, _xlfn.XLOOKUP($B41, Result_Database!$A$2:$A$500, Result_Database!AC$2:AC$500),
  _xlfn.IFNA(_xlpm.result, "")
)</f>
        <v/>
      </c>
      <c r="AE41" t="str">
        <f>_xlfn.LET(
  _xlpm.result, _xlfn.XLOOKUP($B41, Result_Database!$A$2:$A$500, Result_Database!AD$2:AD$500),
  _xlfn.IFNA(_xlpm.result, "")
)</f>
        <v/>
      </c>
      <c r="AF41" t="str">
        <f>_xlfn.LET(
  _xlpm.result, _xlfn.XLOOKUP($B41, Result_Database!$A$2:$A$500, Result_Database!AE$2:AE$500),
  _xlfn.IFNA(_xlpm.result, "")
)</f>
        <v/>
      </c>
      <c r="AG41" t="str">
        <f>_xlfn.LET(
  _xlpm.result, _xlfn.XLOOKUP($B41, Result_Database!$A$2:$A$500, Result_Database!AF$2:AF$500),
  _xlfn.IFNA(_xlpm.result, "")
)</f>
        <v/>
      </c>
      <c r="AH41" t="str">
        <f>_xlfn.LET(
  _xlpm.result, _xlfn.XLOOKUP($B41, Result_Database!$A$2:$A$500, Result_Database!AG$2:AG$500),
  _xlfn.IFNA(_xlpm.result, "")
)</f>
        <v/>
      </c>
      <c r="AI41" t="str">
        <f>_xlfn.LET(
  _xlpm.result, _xlfn.XLOOKUP($B41, Result_Database!$A$2:$A$500, Result_Database!AH$2:AH$500),
  _xlfn.IFNA(_xlpm.result, "")
)</f>
        <v/>
      </c>
      <c r="AJ41" t="str">
        <f>_xlfn.LET(
  _xlpm.result, _xlfn.XLOOKUP($B41, Result_Database!$A$2:$A$500, Result_Database!AI$2:AI$500),
  _xlfn.IFNA(_xlpm.result, "")
)</f>
        <v/>
      </c>
      <c r="AK41" t="str">
        <f>_xlfn.LET(
  _xlpm.result, _xlfn.XLOOKUP($B41, Result_Database!$A$2:$A$500, Result_Database!AJ$2:AJ$500),
  _xlfn.IFNA(_xlpm.result, "")
)</f>
        <v/>
      </c>
      <c r="AL41" t="str">
        <f>_xlfn.LET(
  _xlpm.result, _xlfn.XLOOKUP($B41, Result_Database!$A$2:$A$500, Result_Database!AK$2:AK$500),
  _xlfn.IFNA(_xlpm.result, "")
)</f>
        <v/>
      </c>
      <c r="AM4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1" t="str">
        <f>IF(SUM(Table5[[#This Row],[A1]:[C6]])&lt;&gt;0,SUM(Table5[[#This Row],[A1]:[C6]]),"")</f>
        <v/>
      </c>
      <c r="AW41" t="str">
        <f>IF(SUM(Table5[[#This Row],[D7]:[F9]])=0,"",SUM(Table5[[#This Row],[D7]:[F9]]))</f>
        <v/>
      </c>
      <c r="AX4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1" t="str">
        <f>IF(COUNTIF(Table5[[#This Row],[English Language]:[Electrical/ Electronics]],"WITHHELD")=0,"",COUNTIF(Table5[[#This Row],[English Language]:[Electrical/ Electronics]],"WITHHELD"))</f>
        <v/>
      </c>
      <c r="BE41" t="str">
        <f>IF(SUM(Table5[[#This Row],[NO OF CREDITS]:[BELOW CREDITS]])=0,"",SUM(Table5[[#This Row],[NO OF CREDITS]:[BELOW CREDITS]]))</f>
        <v/>
      </c>
    </row>
    <row r="42" spans="1:57" x14ac:dyDescent="0.3">
      <c r="A42" t="str">
        <f>IF(B42&lt;&gt;"",COUNTA($B$6:B42),"")</f>
        <v/>
      </c>
      <c r="B42" t="str">
        <f>IF(Result_Database!A38="","",Result_Database!A38)</f>
        <v/>
      </c>
      <c r="C42" t="str">
        <f>_xlfn.LET(
_xlpm.result,_xlfn.XLOOKUP($B42,Result_Database!$A$2:$A$500,Result_Database!$B$2:$B$500),
_xlfn.IFNA(_xlpm.result,"")
)</f>
        <v/>
      </c>
      <c r="D42" t="str">
        <f>_xlfn.LET(
  _xlpm.result, _xlfn.XLOOKUP($B42, Result_Database!$A$2:$A$500, Result_Database!C$2:C$500),
  _xlfn.IFNA(_xlpm.result, "")
)</f>
        <v/>
      </c>
      <c r="E42" t="str">
        <f>_xlfn.LET(
  _xlpm.result, _xlfn.XLOOKUP($B42, Result_Database!$A$2:$A$500, Result_Database!D$2:D$500),
  _xlfn.IFNA(_xlpm.result, "")
)</f>
        <v/>
      </c>
      <c r="F42" t="str">
        <f>_xlfn.LET(
  _xlpm.result, _xlfn.XLOOKUP($B42, Result_Database!$A$2:$A$500, Result_Database!E$2:E$500),
  _xlfn.IFNA(_xlpm.result, "")
)</f>
        <v/>
      </c>
      <c r="G42" t="str">
        <f>_xlfn.LET(
  _xlpm.result, _xlfn.XLOOKUP($B42, Result_Database!$A$2:$A$500, Result_Database!F$2:F$500),
  _xlfn.IFNA(_xlpm.result, "")
)</f>
        <v/>
      </c>
      <c r="H42" t="str">
        <f>_xlfn.LET(
  _xlpm.result, _xlfn.XLOOKUP($B42, Result_Database!$A$2:$A$500, Result_Database!G$2:G$500),
  _xlfn.IFNA(_xlpm.result, "")
)</f>
        <v/>
      </c>
      <c r="I42" t="str">
        <f>_xlfn.LET(
  _xlpm.result, _xlfn.XLOOKUP($B42, Result_Database!$A$2:$A$500, Result_Database!H$2:H$500),
  _xlfn.IFNA(_xlpm.result, "")
)</f>
        <v/>
      </c>
      <c r="J42" t="str">
        <f>_xlfn.LET(
  _xlpm.result, _xlfn.XLOOKUP($B42, Result_Database!$A$2:$A$500, Result_Database!I$2:I$500),
  _xlfn.IFNA(_xlpm.result, "")
)</f>
        <v/>
      </c>
      <c r="K42" t="str">
        <f>_xlfn.LET(
  _xlpm.result, _xlfn.XLOOKUP($B42, Result_Database!$A$2:$A$500, Result_Database!J$2:J$500),
  _xlfn.IFNA(_xlpm.result, "")
)</f>
        <v/>
      </c>
      <c r="L42" t="str">
        <f>_xlfn.LET(
  _xlpm.result, _xlfn.XLOOKUP($B42, Result_Database!$A$2:$A$500, Result_Database!K$2:K$500),
  _xlfn.IFNA(_xlpm.result, "")
)</f>
        <v/>
      </c>
      <c r="M42" t="str">
        <f>_xlfn.LET(
  _xlpm.result, _xlfn.XLOOKUP($B42, Result_Database!$A$2:$A$500, Result_Database!L$2:L$500),
  _xlfn.IFNA(_xlpm.result, "")
)</f>
        <v/>
      </c>
      <c r="N42" t="str">
        <f>_xlfn.LET(
  _xlpm.result, _xlfn.XLOOKUP($B42, Result_Database!$A$2:$A$500, Result_Database!M$2:M$500),
  _xlfn.IFNA(_xlpm.result, "")
)</f>
        <v/>
      </c>
      <c r="O42" t="str">
        <f>_xlfn.LET(
  _xlpm.result, _xlfn.XLOOKUP($B42, Result_Database!$A$2:$A$500, Result_Database!N$2:N$500),
  _xlfn.IFNA(_xlpm.result, "")
)</f>
        <v/>
      </c>
      <c r="P42" t="str">
        <f>_xlfn.LET(
  _xlpm.result, _xlfn.XLOOKUP($B42, Result_Database!$A$2:$A$500, Result_Database!O$2:O$500),
  _xlfn.IFNA(_xlpm.result, "")
)</f>
        <v/>
      </c>
      <c r="Q42" t="str">
        <f>_xlfn.LET(
  _xlpm.result, _xlfn.XLOOKUP($B42, Result_Database!$A$2:$A$500, Result_Database!P$2:P$500),
  _xlfn.IFNA(_xlpm.result, "")
)</f>
        <v/>
      </c>
      <c r="R42" t="str">
        <f>_xlfn.LET(
  _xlpm.result, _xlfn.XLOOKUP($B42, Result_Database!$A$2:$A$500, Result_Database!Q$2:Q$500),
  _xlfn.IFNA(_xlpm.result, "")
)</f>
        <v/>
      </c>
      <c r="S42" t="str">
        <f>_xlfn.LET(
  _xlpm.result, _xlfn.XLOOKUP($B42, Result_Database!$A$2:$A$500, Result_Database!R$2:R$500),
  _xlfn.IFNA(_xlpm.result, "")
)</f>
        <v/>
      </c>
      <c r="T42" t="str">
        <f>_xlfn.LET(
  _xlpm.result, _xlfn.XLOOKUP($B42, Result_Database!$A$2:$A$500, Result_Database!S$2:S$500),
  _xlfn.IFNA(_xlpm.result, "")
)</f>
        <v/>
      </c>
      <c r="U42" t="str">
        <f>_xlfn.LET(
  _xlpm.result, _xlfn.XLOOKUP($B42, Result_Database!$A$2:$A$500, Result_Database!T$2:T$500),
  _xlfn.IFNA(_xlpm.result, "")
)</f>
        <v/>
      </c>
      <c r="V42" t="str">
        <f>_xlfn.LET(
  _xlpm.result, _xlfn.XLOOKUP($B42, Result_Database!$A$2:$A$500, Result_Database!U$2:U$500),
  _xlfn.IFNA(_xlpm.result, "")
)</f>
        <v/>
      </c>
      <c r="W42" t="str">
        <f>_xlfn.LET(
  _xlpm.result, _xlfn.XLOOKUP($B42, Result_Database!$A$2:$A$500, Result_Database!V$2:V$500),
  _xlfn.IFNA(_xlpm.result, "")
)</f>
        <v/>
      </c>
      <c r="X42" t="str">
        <f>_xlfn.LET(
  _xlpm.result, _xlfn.XLOOKUP($B42, Result_Database!$A$2:$A$500, Result_Database!W$2:W$500),
  _xlfn.IFNA(_xlpm.result, "")
)</f>
        <v/>
      </c>
      <c r="Y42" t="str">
        <f>_xlfn.LET(
  _xlpm.result, _xlfn.XLOOKUP($B42, Result_Database!$A$2:$A$500, Result_Database!X$2:X$500),
  _xlfn.IFNA(_xlpm.result, "")
)</f>
        <v/>
      </c>
      <c r="Z42" t="str">
        <f>_xlfn.LET(
  _xlpm.result, _xlfn.XLOOKUP($B42, Result_Database!$A$2:$A$500, Result_Database!Y$2:Y$500),
  _xlfn.IFNA(_xlpm.result, "")
)</f>
        <v/>
      </c>
      <c r="AA42" t="str">
        <f>_xlfn.LET(
  _xlpm.result, _xlfn.XLOOKUP($B42, Result_Database!$A$2:$A$500, Result_Database!Z$2:Z$500),
  _xlfn.IFNA(_xlpm.result, "")
)</f>
        <v/>
      </c>
      <c r="AB42" t="str">
        <f>_xlfn.LET(
  _xlpm.result, _xlfn.XLOOKUP($B42, Result_Database!$A$2:$A$500, Result_Database!AA$2:AA$500),
  _xlfn.IFNA(_xlpm.result, "")
)</f>
        <v/>
      </c>
      <c r="AC42" t="str">
        <f>_xlfn.LET(
  _xlpm.result, _xlfn.XLOOKUP($B42, Result_Database!$A$2:$A$500, Result_Database!AB$2:AB$500),
  _xlfn.IFNA(_xlpm.result, "")
)</f>
        <v/>
      </c>
      <c r="AD42" t="str">
        <f>_xlfn.LET(
  _xlpm.result, _xlfn.XLOOKUP($B42, Result_Database!$A$2:$A$500, Result_Database!AC$2:AC$500),
  _xlfn.IFNA(_xlpm.result, "")
)</f>
        <v/>
      </c>
      <c r="AE42" t="str">
        <f>_xlfn.LET(
  _xlpm.result, _xlfn.XLOOKUP($B42, Result_Database!$A$2:$A$500, Result_Database!AD$2:AD$500),
  _xlfn.IFNA(_xlpm.result, "")
)</f>
        <v/>
      </c>
      <c r="AF42" t="str">
        <f>_xlfn.LET(
  _xlpm.result, _xlfn.XLOOKUP($B42, Result_Database!$A$2:$A$500, Result_Database!AE$2:AE$500),
  _xlfn.IFNA(_xlpm.result, "")
)</f>
        <v/>
      </c>
      <c r="AG42" t="str">
        <f>_xlfn.LET(
  _xlpm.result, _xlfn.XLOOKUP($B42, Result_Database!$A$2:$A$500, Result_Database!AF$2:AF$500),
  _xlfn.IFNA(_xlpm.result, "")
)</f>
        <v/>
      </c>
      <c r="AH42" t="str">
        <f>_xlfn.LET(
  _xlpm.result, _xlfn.XLOOKUP($B42, Result_Database!$A$2:$A$500, Result_Database!AG$2:AG$500),
  _xlfn.IFNA(_xlpm.result, "")
)</f>
        <v/>
      </c>
      <c r="AI42" t="str">
        <f>_xlfn.LET(
  _xlpm.result, _xlfn.XLOOKUP($B42, Result_Database!$A$2:$A$500, Result_Database!AH$2:AH$500),
  _xlfn.IFNA(_xlpm.result, "")
)</f>
        <v/>
      </c>
      <c r="AJ42" t="str">
        <f>_xlfn.LET(
  _xlpm.result, _xlfn.XLOOKUP($B42, Result_Database!$A$2:$A$500, Result_Database!AI$2:AI$500),
  _xlfn.IFNA(_xlpm.result, "")
)</f>
        <v/>
      </c>
      <c r="AK42" t="str">
        <f>_xlfn.LET(
  _xlpm.result, _xlfn.XLOOKUP($B42, Result_Database!$A$2:$A$500, Result_Database!AJ$2:AJ$500),
  _xlfn.IFNA(_xlpm.result, "")
)</f>
        <v/>
      </c>
      <c r="AL42" t="str">
        <f>_xlfn.LET(
  _xlpm.result, _xlfn.XLOOKUP($B42, Result_Database!$A$2:$A$500, Result_Database!AK$2:AK$500),
  _xlfn.IFNA(_xlpm.result, "")
)</f>
        <v/>
      </c>
      <c r="AM4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2" t="str">
        <f>IF(SUM(Table5[[#This Row],[A1]:[C6]])&lt;&gt;0,SUM(Table5[[#This Row],[A1]:[C6]]),"")</f>
        <v/>
      </c>
      <c r="AW42" t="str">
        <f>IF(SUM(Table5[[#This Row],[D7]:[F9]])=0,"",SUM(Table5[[#This Row],[D7]:[F9]]))</f>
        <v/>
      </c>
      <c r="AX4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2" t="str">
        <f>IF(COUNTIF(Table5[[#This Row],[English Language]:[Electrical/ Electronics]],"WITHHELD")=0,"",COUNTIF(Table5[[#This Row],[English Language]:[Electrical/ Electronics]],"WITHHELD"))</f>
        <v/>
      </c>
      <c r="BE42" t="str">
        <f>IF(SUM(Table5[[#This Row],[NO OF CREDITS]:[BELOW CREDITS]])=0,"",SUM(Table5[[#This Row],[NO OF CREDITS]:[BELOW CREDITS]]))</f>
        <v/>
      </c>
    </row>
    <row r="43" spans="1:57" x14ac:dyDescent="0.3">
      <c r="A43" t="str">
        <f>IF(B43&lt;&gt;"",COUNTA($B$6:B43),"")</f>
        <v/>
      </c>
      <c r="B43" t="str">
        <f>IF(Result_Database!A39="","",Result_Database!A39)</f>
        <v/>
      </c>
      <c r="C43" t="str">
        <f>_xlfn.LET(
_xlpm.result,_xlfn.XLOOKUP($B43,Result_Database!$A$2:$A$500,Result_Database!$B$2:$B$500),
_xlfn.IFNA(_xlpm.result,"")
)</f>
        <v/>
      </c>
      <c r="D43" t="str">
        <f>_xlfn.LET(
  _xlpm.result, _xlfn.XLOOKUP($B43, Result_Database!$A$2:$A$500, Result_Database!C$2:C$500),
  _xlfn.IFNA(_xlpm.result, "")
)</f>
        <v/>
      </c>
      <c r="E43" t="str">
        <f>_xlfn.LET(
  _xlpm.result, _xlfn.XLOOKUP($B43, Result_Database!$A$2:$A$500, Result_Database!D$2:D$500),
  _xlfn.IFNA(_xlpm.result, "")
)</f>
        <v/>
      </c>
      <c r="F43" t="str">
        <f>_xlfn.LET(
  _xlpm.result, _xlfn.XLOOKUP($B43, Result_Database!$A$2:$A$500, Result_Database!E$2:E$500),
  _xlfn.IFNA(_xlpm.result, "")
)</f>
        <v/>
      </c>
      <c r="G43" t="str">
        <f>_xlfn.LET(
  _xlpm.result, _xlfn.XLOOKUP($B43, Result_Database!$A$2:$A$500, Result_Database!F$2:F$500),
  _xlfn.IFNA(_xlpm.result, "")
)</f>
        <v/>
      </c>
      <c r="H43" t="str">
        <f>_xlfn.LET(
  _xlpm.result, _xlfn.XLOOKUP($B43, Result_Database!$A$2:$A$500, Result_Database!G$2:G$500),
  _xlfn.IFNA(_xlpm.result, "")
)</f>
        <v/>
      </c>
      <c r="I43" t="str">
        <f>_xlfn.LET(
  _xlpm.result, _xlfn.XLOOKUP($B43, Result_Database!$A$2:$A$500, Result_Database!H$2:H$500),
  _xlfn.IFNA(_xlpm.result, "")
)</f>
        <v/>
      </c>
      <c r="J43" t="str">
        <f>_xlfn.LET(
  _xlpm.result, _xlfn.XLOOKUP($B43, Result_Database!$A$2:$A$500, Result_Database!I$2:I$500),
  _xlfn.IFNA(_xlpm.result, "")
)</f>
        <v/>
      </c>
      <c r="K43" t="str">
        <f>_xlfn.LET(
  _xlpm.result, _xlfn.XLOOKUP($B43, Result_Database!$A$2:$A$500, Result_Database!J$2:J$500),
  _xlfn.IFNA(_xlpm.result, "")
)</f>
        <v/>
      </c>
      <c r="L43" t="str">
        <f>_xlfn.LET(
  _xlpm.result, _xlfn.XLOOKUP($B43, Result_Database!$A$2:$A$500, Result_Database!K$2:K$500),
  _xlfn.IFNA(_xlpm.result, "")
)</f>
        <v/>
      </c>
      <c r="M43" t="str">
        <f>_xlfn.LET(
  _xlpm.result, _xlfn.XLOOKUP($B43, Result_Database!$A$2:$A$500, Result_Database!L$2:L$500),
  _xlfn.IFNA(_xlpm.result, "")
)</f>
        <v/>
      </c>
      <c r="N43" t="str">
        <f>_xlfn.LET(
  _xlpm.result, _xlfn.XLOOKUP($B43, Result_Database!$A$2:$A$500, Result_Database!M$2:M$500),
  _xlfn.IFNA(_xlpm.result, "")
)</f>
        <v/>
      </c>
      <c r="O43" t="str">
        <f>_xlfn.LET(
  _xlpm.result, _xlfn.XLOOKUP($B43, Result_Database!$A$2:$A$500, Result_Database!N$2:N$500),
  _xlfn.IFNA(_xlpm.result, "")
)</f>
        <v/>
      </c>
      <c r="P43" t="str">
        <f>_xlfn.LET(
  _xlpm.result, _xlfn.XLOOKUP($B43, Result_Database!$A$2:$A$500, Result_Database!O$2:O$500),
  _xlfn.IFNA(_xlpm.result, "")
)</f>
        <v/>
      </c>
      <c r="Q43" t="str">
        <f>_xlfn.LET(
  _xlpm.result, _xlfn.XLOOKUP($B43, Result_Database!$A$2:$A$500, Result_Database!P$2:P$500),
  _xlfn.IFNA(_xlpm.result, "")
)</f>
        <v/>
      </c>
      <c r="R43" t="str">
        <f>_xlfn.LET(
  _xlpm.result, _xlfn.XLOOKUP($B43, Result_Database!$A$2:$A$500, Result_Database!Q$2:Q$500),
  _xlfn.IFNA(_xlpm.result, "")
)</f>
        <v/>
      </c>
      <c r="S43" t="str">
        <f>_xlfn.LET(
  _xlpm.result, _xlfn.XLOOKUP($B43, Result_Database!$A$2:$A$500, Result_Database!R$2:R$500),
  _xlfn.IFNA(_xlpm.result, "")
)</f>
        <v/>
      </c>
      <c r="T43" t="str">
        <f>_xlfn.LET(
  _xlpm.result, _xlfn.XLOOKUP($B43, Result_Database!$A$2:$A$500, Result_Database!S$2:S$500),
  _xlfn.IFNA(_xlpm.result, "")
)</f>
        <v/>
      </c>
      <c r="U43" t="str">
        <f>_xlfn.LET(
  _xlpm.result, _xlfn.XLOOKUP($B43, Result_Database!$A$2:$A$500, Result_Database!T$2:T$500),
  _xlfn.IFNA(_xlpm.result, "")
)</f>
        <v/>
      </c>
      <c r="V43" t="str">
        <f>_xlfn.LET(
  _xlpm.result, _xlfn.XLOOKUP($B43, Result_Database!$A$2:$A$500, Result_Database!U$2:U$500),
  _xlfn.IFNA(_xlpm.result, "")
)</f>
        <v/>
      </c>
      <c r="W43" t="str">
        <f>_xlfn.LET(
  _xlpm.result, _xlfn.XLOOKUP($B43, Result_Database!$A$2:$A$500, Result_Database!V$2:V$500),
  _xlfn.IFNA(_xlpm.result, "")
)</f>
        <v/>
      </c>
      <c r="X43" t="str">
        <f>_xlfn.LET(
  _xlpm.result, _xlfn.XLOOKUP($B43, Result_Database!$A$2:$A$500, Result_Database!W$2:W$500),
  _xlfn.IFNA(_xlpm.result, "")
)</f>
        <v/>
      </c>
      <c r="Y43" t="str">
        <f>_xlfn.LET(
  _xlpm.result, _xlfn.XLOOKUP($B43, Result_Database!$A$2:$A$500, Result_Database!X$2:X$500),
  _xlfn.IFNA(_xlpm.result, "")
)</f>
        <v/>
      </c>
      <c r="Z43" t="str">
        <f>_xlfn.LET(
  _xlpm.result, _xlfn.XLOOKUP($B43, Result_Database!$A$2:$A$500, Result_Database!Y$2:Y$500),
  _xlfn.IFNA(_xlpm.result, "")
)</f>
        <v/>
      </c>
      <c r="AA43" t="str">
        <f>_xlfn.LET(
  _xlpm.result, _xlfn.XLOOKUP($B43, Result_Database!$A$2:$A$500, Result_Database!Z$2:Z$500),
  _xlfn.IFNA(_xlpm.result, "")
)</f>
        <v/>
      </c>
      <c r="AB43" t="str">
        <f>_xlfn.LET(
  _xlpm.result, _xlfn.XLOOKUP($B43, Result_Database!$A$2:$A$500, Result_Database!AA$2:AA$500),
  _xlfn.IFNA(_xlpm.result, "")
)</f>
        <v/>
      </c>
      <c r="AC43" t="str">
        <f>_xlfn.LET(
  _xlpm.result, _xlfn.XLOOKUP($B43, Result_Database!$A$2:$A$500, Result_Database!AB$2:AB$500),
  _xlfn.IFNA(_xlpm.result, "")
)</f>
        <v/>
      </c>
      <c r="AD43" t="str">
        <f>_xlfn.LET(
  _xlpm.result, _xlfn.XLOOKUP($B43, Result_Database!$A$2:$A$500, Result_Database!AC$2:AC$500),
  _xlfn.IFNA(_xlpm.result, "")
)</f>
        <v/>
      </c>
      <c r="AE43" t="str">
        <f>_xlfn.LET(
  _xlpm.result, _xlfn.XLOOKUP($B43, Result_Database!$A$2:$A$500, Result_Database!AD$2:AD$500),
  _xlfn.IFNA(_xlpm.result, "")
)</f>
        <v/>
      </c>
      <c r="AF43" t="str">
        <f>_xlfn.LET(
  _xlpm.result, _xlfn.XLOOKUP($B43, Result_Database!$A$2:$A$500, Result_Database!AE$2:AE$500),
  _xlfn.IFNA(_xlpm.result, "")
)</f>
        <v/>
      </c>
      <c r="AG43" t="str">
        <f>_xlfn.LET(
  _xlpm.result, _xlfn.XLOOKUP($B43, Result_Database!$A$2:$A$500, Result_Database!AF$2:AF$500),
  _xlfn.IFNA(_xlpm.result, "")
)</f>
        <v/>
      </c>
      <c r="AH43" t="str">
        <f>_xlfn.LET(
  _xlpm.result, _xlfn.XLOOKUP($B43, Result_Database!$A$2:$A$500, Result_Database!AG$2:AG$500),
  _xlfn.IFNA(_xlpm.result, "")
)</f>
        <v/>
      </c>
      <c r="AI43" t="str">
        <f>_xlfn.LET(
  _xlpm.result, _xlfn.XLOOKUP($B43, Result_Database!$A$2:$A$500, Result_Database!AH$2:AH$500),
  _xlfn.IFNA(_xlpm.result, "")
)</f>
        <v/>
      </c>
      <c r="AJ43" t="str">
        <f>_xlfn.LET(
  _xlpm.result, _xlfn.XLOOKUP($B43, Result_Database!$A$2:$A$500, Result_Database!AI$2:AI$500),
  _xlfn.IFNA(_xlpm.result, "")
)</f>
        <v/>
      </c>
      <c r="AK43" t="str">
        <f>_xlfn.LET(
  _xlpm.result, _xlfn.XLOOKUP($B43, Result_Database!$A$2:$A$500, Result_Database!AJ$2:AJ$500),
  _xlfn.IFNA(_xlpm.result, "")
)</f>
        <v/>
      </c>
      <c r="AL43" t="str">
        <f>_xlfn.LET(
  _xlpm.result, _xlfn.XLOOKUP($B43, Result_Database!$A$2:$A$500, Result_Database!AK$2:AK$500),
  _xlfn.IFNA(_xlpm.result, "")
)</f>
        <v/>
      </c>
      <c r="AM4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3" t="str">
        <f>IF(SUM(Table5[[#This Row],[A1]:[C6]])&lt;&gt;0,SUM(Table5[[#This Row],[A1]:[C6]]),"")</f>
        <v/>
      </c>
      <c r="AW43" t="str">
        <f>IF(SUM(Table5[[#This Row],[D7]:[F9]])=0,"",SUM(Table5[[#This Row],[D7]:[F9]]))</f>
        <v/>
      </c>
      <c r="AX4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3" t="str">
        <f>IF(COUNTIF(Table5[[#This Row],[English Language]:[Electrical/ Electronics]],"WITHHELD")=0,"",COUNTIF(Table5[[#This Row],[English Language]:[Electrical/ Electronics]],"WITHHELD"))</f>
        <v/>
      </c>
      <c r="BE43" t="str">
        <f>IF(SUM(Table5[[#This Row],[NO OF CREDITS]:[BELOW CREDITS]])=0,"",SUM(Table5[[#This Row],[NO OF CREDITS]:[BELOW CREDITS]]))</f>
        <v/>
      </c>
    </row>
    <row r="44" spans="1:57" x14ac:dyDescent="0.3">
      <c r="A44" t="str">
        <f>IF(B44&lt;&gt;"",COUNTA($B$6:B44),"")</f>
        <v/>
      </c>
      <c r="B44" t="str">
        <f>IF(Result_Database!A40="","",Result_Database!A40)</f>
        <v/>
      </c>
      <c r="C44" t="str">
        <f>_xlfn.LET(
_xlpm.result,_xlfn.XLOOKUP($B44,Result_Database!$A$2:$A$500,Result_Database!$B$2:$B$500),
_xlfn.IFNA(_xlpm.result,"")
)</f>
        <v/>
      </c>
      <c r="D44" t="str">
        <f>_xlfn.LET(
  _xlpm.result, _xlfn.XLOOKUP($B44, Result_Database!$A$2:$A$500, Result_Database!C$2:C$500),
  _xlfn.IFNA(_xlpm.result, "")
)</f>
        <v/>
      </c>
      <c r="E44" t="str">
        <f>_xlfn.LET(
  _xlpm.result, _xlfn.XLOOKUP($B44, Result_Database!$A$2:$A$500, Result_Database!D$2:D$500),
  _xlfn.IFNA(_xlpm.result, "")
)</f>
        <v/>
      </c>
      <c r="F44" t="str">
        <f>_xlfn.LET(
  _xlpm.result, _xlfn.XLOOKUP($B44, Result_Database!$A$2:$A$500, Result_Database!E$2:E$500),
  _xlfn.IFNA(_xlpm.result, "")
)</f>
        <v/>
      </c>
      <c r="G44" t="str">
        <f>_xlfn.LET(
  _xlpm.result, _xlfn.XLOOKUP($B44, Result_Database!$A$2:$A$500, Result_Database!F$2:F$500),
  _xlfn.IFNA(_xlpm.result, "")
)</f>
        <v/>
      </c>
      <c r="H44" t="str">
        <f>_xlfn.LET(
  _xlpm.result, _xlfn.XLOOKUP($B44, Result_Database!$A$2:$A$500, Result_Database!G$2:G$500),
  _xlfn.IFNA(_xlpm.result, "")
)</f>
        <v/>
      </c>
      <c r="I44" t="str">
        <f>_xlfn.LET(
  _xlpm.result, _xlfn.XLOOKUP($B44, Result_Database!$A$2:$A$500, Result_Database!H$2:H$500),
  _xlfn.IFNA(_xlpm.result, "")
)</f>
        <v/>
      </c>
      <c r="J44" t="str">
        <f>_xlfn.LET(
  _xlpm.result, _xlfn.XLOOKUP($B44, Result_Database!$A$2:$A$500, Result_Database!I$2:I$500),
  _xlfn.IFNA(_xlpm.result, "")
)</f>
        <v/>
      </c>
      <c r="K44" t="str">
        <f>_xlfn.LET(
  _xlpm.result, _xlfn.XLOOKUP($B44, Result_Database!$A$2:$A$500, Result_Database!J$2:J$500),
  _xlfn.IFNA(_xlpm.result, "")
)</f>
        <v/>
      </c>
      <c r="L44" t="str">
        <f>_xlfn.LET(
  _xlpm.result, _xlfn.XLOOKUP($B44, Result_Database!$A$2:$A$500, Result_Database!K$2:K$500),
  _xlfn.IFNA(_xlpm.result, "")
)</f>
        <v/>
      </c>
      <c r="M44" t="str">
        <f>_xlfn.LET(
  _xlpm.result, _xlfn.XLOOKUP($B44, Result_Database!$A$2:$A$500, Result_Database!L$2:L$500),
  _xlfn.IFNA(_xlpm.result, "")
)</f>
        <v/>
      </c>
      <c r="N44" t="str">
        <f>_xlfn.LET(
  _xlpm.result, _xlfn.XLOOKUP($B44, Result_Database!$A$2:$A$500, Result_Database!M$2:M$500),
  _xlfn.IFNA(_xlpm.result, "")
)</f>
        <v/>
      </c>
      <c r="O44" t="str">
        <f>_xlfn.LET(
  _xlpm.result, _xlfn.XLOOKUP($B44, Result_Database!$A$2:$A$500, Result_Database!N$2:N$500),
  _xlfn.IFNA(_xlpm.result, "")
)</f>
        <v/>
      </c>
      <c r="P44" t="str">
        <f>_xlfn.LET(
  _xlpm.result, _xlfn.XLOOKUP($B44, Result_Database!$A$2:$A$500, Result_Database!O$2:O$500),
  _xlfn.IFNA(_xlpm.result, "")
)</f>
        <v/>
      </c>
      <c r="Q44" t="str">
        <f>_xlfn.LET(
  _xlpm.result, _xlfn.XLOOKUP($B44, Result_Database!$A$2:$A$500, Result_Database!P$2:P$500),
  _xlfn.IFNA(_xlpm.result, "")
)</f>
        <v/>
      </c>
      <c r="R44" t="str">
        <f>_xlfn.LET(
  _xlpm.result, _xlfn.XLOOKUP($B44, Result_Database!$A$2:$A$500, Result_Database!Q$2:Q$500),
  _xlfn.IFNA(_xlpm.result, "")
)</f>
        <v/>
      </c>
      <c r="S44" t="str">
        <f>_xlfn.LET(
  _xlpm.result, _xlfn.XLOOKUP($B44, Result_Database!$A$2:$A$500, Result_Database!R$2:R$500),
  _xlfn.IFNA(_xlpm.result, "")
)</f>
        <v/>
      </c>
      <c r="T44" t="str">
        <f>_xlfn.LET(
  _xlpm.result, _xlfn.XLOOKUP($B44, Result_Database!$A$2:$A$500, Result_Database!S$2:S$500),
  _xlfn.IFNA(_xlpm.result, "")
)</f>
        <v/>
      </c>
      <c r="U44" t="str">
        <f>_xlfn.LET(
  _xlpm.result, _xlfn.XLOOKUP($B44, Result_Database!$A$2:$A$500, Result_Database!T$2:T$500),
  _xlfn.IFNA(_xlpm.result, "")
)</f>
        <v/>
      </c>
      <c r="V44" t="str">
        <f>_xlfn.LET(
  _xlpm.result, _xlfn.XLOOKUP($B44, Result_Database!$A$2:$A$500, Result_Database!U$2:U$500),
  _xlfn.IFNA(_xlpm.result, "")
)</f>
        <v/>
      </c>
      <c r="W44" t="str">
        <f>_xlfn.LET(
  _xlpm.result, _xlfn.XLOOKUP($B44, Result_Database!$A$2:$A$500, Result_Database!V$2:V$500),
  _xlfn.IFNA(_xlpm.result, "")
)</f>
        <v/>
      </c>
      <c r="X44" t="str">
        <f>_xlfn.LET(
  _xlpm.result, _xlfn.XLOOKUP($B44, Result_Database!$A$2:$A$500, Result_Database!W$2:W$500),
  _xlfn.IFNA(_xlpm.result, "")
)</f>
        <v/>
      </c>
      <c r="Y44" t="str">
        <f>_xlfn.LET(
  _xlpm.result, _xlfn.XLOOKUP($B44, Result_Database!$A$2:$A$500, Result_Database!X$2:X$500),
  _xlfn.IFNA(_xlpm.result, "")
)</f>
        <v/>
      </c>
      <c r="Z44" t="str">
        <f>_xlfn.LET(
  _xlpm.result, _xlfn.XLOOKUP($B44, Result_Database!$A$2:$A$500, Result_Database!Y$2:Y$500),
  _xlfn.IFNA(_xlpm.result, "")
)</f>
        <v/>
      </c>
      <c r="AA44" t="str">
        <f>_xlfn.LET(
  _xlpm.result, _xlfn.XLOOKUP($B44, Result_Database!$A$2:$A$500, Result_Database!Z$2:Z$500),
  _xlfn.IFNA(_xlpm.result, "")
)</f>
        <v/>
      </c>
      <c r="AB44" t="str">
        <f>_xlfn.LET(
  _xlpm.result, _xlfn.XLOOKUP($B44, Result_Database!$A$2:$A$500, Result_Database!AA$2:AA$500),
  _xlfn.IFNA(_xlpm.result, "")
)</f>
        <v/>
      </c>
      <c r="AC44" t="str">
        <f>_xlfn.LET(
  _xlpm.result, _xlfn.XLOOKUP($B44, Result_Database!$A$2:$A$500, Result_Database!AB$2:AB$500),
  _xlfn.IFNA(_xlpm.result, "")
)</f>
        <v/>
      </c>
      <c r="AD44" t="str">
        <f>_xlfn.LET(
  _xlpm.result, _xlfn.XLOOKUP($B44, Result_Database!$A$2:$A$500, Result_Database!AC$2:AC$500),
  _xlfn.IFNA(_xlpm.result, "")
)</f>
        <v/>
      </c>
      <c r="AE44" t="str">
        <f>_xlfn.LET(
  _xlpm.result, _xlfn.XLOOKUP($B44, Result_Database!$A$2:$A$500, Result_Database!AD$2:AD$500),
  _xlfn.IFNA(_xlpm.result, "")
)</f>
        <v/>
      </c>
      <c r="AF44" t="str">
        <f>_xlfn.LET(
  _xlpm.result, _xlfn.XLOOKUP($B44, Result_Database!$A$2:$A$500, Result_Database!AE$2:AE$500),
  _xlfn.IFNA(_xlpm.result, "")
)</f>
        <v/>
      </c>
      <c r="AG44" t="str">
        <f>_xlfn.LET(
  _xlpm.result, _xlfn.XLOOKUP($B44, Result_Database!$A$2:$A$500, Result_Database!AF$2:AF$500),
  _xlfn.IFNA(_xlpm.result, "")
)</f>
        <v/>
      </c>
      <c r="AH44" t="str">
        <f>_xlfn.LET(
  _xlpm.result, _xlfn.XLOOKUP($B44, Result_Database!$A$2:$A$500, Result_Database!AG$2:AG$500),
  _xlfn.IFNA(_xlpm.result, "")
)</f>
        <v/>
      </c>
      <c r="AI44" t="str">
        <f>_xlfn.LET(
  _xlpm.result, _xlfn.XLOOKUP($B44, Result_Database!$A$2:$A$500, Result_Database!AH$2:AH$500),
  _xlfn.IFNA(_xlpm.result, "")
)</f>
        <v/>
      </c>
      <c r="AJ44" t="str">
        <f>_xlfn.LET(
  _xlpm.result, _xlfn.XLOOKUP($B44, Result_Database!$A$2:$A$500, Result_Database!AI$2:AI$500),
  _xlfn.IFNA(_xlpm.result, "")
)</f>
        <v/>
      </c>
      <c r="AK44" t="str">
        <f>_xlfn.LET(
  _xlpm.result, _xlfn.XLOOKUP($B44, Result_Database!$A$2:$A$500, Result_Database!AJ$2:AJ$500),
  _xlfn.IFNA(_xlpm.result, "")
)</f>
        <v/>
      </c>
      <c r="AL44" t="str">
        <f>_xlfn.LET(
  _xlpm.result, _xlfn.XLOOKUP($B44, Result_Database!$A$2:$A$500, Result_Database!AK$2:AK$500),
  _xlfn.IFNA(_xlpm.result, "")
)</f>
        <v/>
      </c>
      <c r="AM4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4" t="str">
        <f>IF(SUM(Table5[[#This Row],[A1]:[C6]])&lt;&gt;0,SUM(Table5[[#This Row],[A1]:[C6]]),"")</f>
        <v/>
      </c>
      <c r="AW44" t="str">
        <f>IF(SUM(Table5[[#This Row],[D7]:[F9]])=0,"",SUM(Table5[[#This Row],[D7]:[F9]]))</f>
        <v/>
      </c>
      <c r="AX4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4" t="str">
        <f>IF(COUNTIF(Table5[[#This Row],[English Language]:[Electrical/ Electronics]],"WITHHELD")=0,"",COUNTIF(Table5[[#This Row],[English Language]:[Electrical/ Electronics]],"WITHHELD"))</f>
        <v/>
      </c>
      <c r="BE44" t="str">
        <f>IF(SUM(Table5[[#This Row],[NO OF CREDITS]:[BELOW CREDITS]])=0,"",SUM(Table5[[#This Row],[NO OF CREDITS]:[BELOW CREDITS]]))</f>
        <v/>
      </c>
    </row>
    <row r="45" spans="1:57" x14ac:dyDescent="0.3">
      <c r="A45" t="str">
        <f>IF(B45&lt;&gt;"",COUNTA($B$6:B45),"")</f>
        <v/>
      </c>
      <c r="B45" t="str">
        <f>IF(Result_Database!A41="","",Result_Database!A41)</f>
        <v/>
      </c>
      <c r="C45" t="str">
        <f>_xlfn.LET(
_xlpm.result,_xlfn.XLOOKUP($B45,Result_Database!$A$2:$A$500,Result_Database!$B$2:$B$500),
_xlfn.IFNA(_xlpm.result,"")
)</f>
        <v/>
      </c>
      <c r="D45" t="str">
        <f>_xlfn.LET(
  _xlpm.result, _xlfn.XLOOKUP($B45, Result_Database!$A$2:$A$500, Result_Database!C$2:C$500),
  _xlfn.IFNA(_xlpm.result, "")
)</f>
        <v/>
      </c>
      <c r="E45" t="str">
        <f>_xlfn.LET(
  _xlpm.result, _xlfn.XLOOKUP($B45, Result_Database!$A$2:$A$500, Result_Database!D$2:D$500),
  _xlfn.IFNA(_xlpm.result, "")
)</f>
        <v/>
      </c>
      <c r="F45" t="str">
        <f>_xlfn.LET(
  _xlpm.result, _xlfn.XLOOKUP($B45, Result_Database!$A$2:$A$500, Result_Database!E$2:E$500),
  _xlfn.IFNA(_xlpm.result, "")
)</f>
        <v/>
      </c>
      <c r="G45" t="str">
        <f>_xlfn.LET(
  _xlpm.result, _xlfn.XLOOKUP($B45, Result_Database!$A$2:$A$500, Result_Database!F$2:F$500),
  _xlfn.IFNA(_xlpm.result, "")
)</f>
        <v/>
      </c>
      <c r="H45" t="str">
        <f>_xlfn.LET(
  _xlpm.result, _xlfn.XLOOKUP($B45, Result_Database!$A$2:$A$500, Result_Database!G$2:G$500),
  _xlfn.IFNA(_xlpm.result, "")
)</f>
        <v/>
      </c>
      <c r="I45" t="str">
        <f>_xlfn.LET(
  _xlpm.result, _xlfn.XLOOKUP($B45, Result_Database!$A$2:$A$500, Result_Database!H$2:H$500),
  _xlfn.IFNA(_xlpm.result, "")
)</f>
        <v/>
      </c>
      <c r="J45" t="str">
        <f>_xlfn.LET(
  _xlpm.result, _xlfn.XLOOKUP($B45, Result_Database!$A$2:$A$500, Result_Database!I$2:I$500),
  _xlfn.IFNA(_xlpm.result, "")
)</f>
        <v/>
      </c>
      <c r="K45" t="str">
        <f>_xlfn.LET(
  _xlpm.result, _xlfn.XLOOKUP($B45, Result_Database!$A$2:$A$500, Result_Database!J$2:J$500),
  _xlfn.IFNA(_xlpm.result, "")
)</f>
        <v/>
      </c>
      <c r="L45" t="str">
        <f>_xlfn.LET(
  _xlpm.result, _xlfn.XLOOKUP($B45, Result_Database!$A$2:$A$500, Result_Database!K$2:K$500),
  _xlfn.IFNA(_xlpm.result, "")
)</f>
        <v/>
      </c>
      <c r="M45" t="str">
        <f>_xlfn.LET(
  _xlpm.result, _xlfn.XLOOKUP($B45, Result_Database!$A$2:$A$500, Result_Database!L$2:L$500),
  _xlfn.IFNA(_xlpm.result, "")
)</f>
        <v/>
      </c>
      <c r="N45" t="str">
        <f>_xlfn.LET(
  _xlpm.result, _xlfn.XLOOKUP($B45, Result_Database!$A$2:$A$500, Result_Database!M$2:M$500),
  _xlfn.IFNA(_xlpm.result, "")
)</f>
        <v/>
      </c>
      <c r="O45" t="str">
        <f>_xlfn.LET(
  _xlpm.result, _xlfn.XLOOKUP($B45, Result_Database!$A$2:$A$500, Result_Database!N$2:N$500),
  _xlfn.IFNA(_xlpm.result, "")
)</f>
        <v/>
      </c>
      <c r="P45" t="str">
        <f>_xlfn.LET(
  _xlpm.result, _xlfn.XLOOKUP($B45, Result_Database!$A$2:$A$500, Result_Database!O$2:O$500),
  _xlfn.IFNA(_xlpm.result, "")
)</f>
        <v/>
      </c>
      <c r="Q45" t="str">
        <f>_xlfn.LET(
  _xlpm.result, _xlfn.XLOOKUP($B45, Result_Database!$A$2:$A$500, Result_Database!P$2:P$500),
  _xlfn.IFNA(_xlpm.result, "")
)</f>
        <v/>
      </c>
      <c r="R45" t="str">
        <f>_xlfn.LET(
  _xlpm.result, _xlfn.XLOOKUP($B45, Result_Database!$A$2:$A$500, Result_Database!Q$2:Q$500),
  _xlfn.IFNA(_xlpm.result, "")
)</f>
        <v/>
      </c>
      <c r="S45" t="str">
        <f>_xlfn.LET(
  _xlpm.result, _xlfn.XLOOKUP($B45, Result_Database!$A$2:$A$500, Result_Database!R$2:R$500),
  _xlfn.IFNA(_xlpm.result, "")
)</f>
        <v/>
      </c>
      <c r="T45" t="str">
        <f>_xlfn.LET(
  _xlpm.result, _xlfn.XLOOKUP($B45, Result_Database!$A$2:$A$500, Result_Database!S$2:S$500),
  _xlfn.IFNA(_xlpm.result, "")
)</f>
        <v/>
      </c>
      <c r="U45" t="str">
        <f>_xlfn.LET(
  _xlpm.result, _xlfn.XLOOKUP($B45, Result_Database!$A$2:$A$500, Result_Database!T$2:T$500),
  _xlfn.IFNA(_xlpm.result, "")
)</f>
        <v/>
      </c>
      <c r="V45" t="str">
        <f>_xlfn.LET(
  _xlpm.result, _xlfn.XLOOKUP($B45, Result_Database!$A$2:$A$500, Result_Database!U$2:U$500),
  _xlfn.IFNA(_xlpm.result, "")
)</f>
        <v/>
      </c>
      <c r="W45" t="str">
        <f>_xlfn.LET(
  _xlpm.result, _xlfn.XLOOKUP($B45, Result_Database!$A$2:$A$500, Result_Database!V$2:V$500),
  _xlfn.IFNA(_xlpm.result, "")
)</f>
        <v/>
      </c>
      <c r="X45" t="str">
        <f>_xlfn.LET(
  _xlpm.result, _xlfn.XLOOKUP($B45, Result_Database!$A$2:$A$500, Result_Database!W$2:W$500),
  _xlfn.IFNA(_xlpm.result, "")
)</f>
        <v/>
      </c>
      <c r="Y45" t="str">
        <f>_xlfn.LET(
  _xlpm.result, _xlfn.XLOOKUP($B45, Result_Database!$A$2:$A$500, Result_Database!X$2:X$500),
  _xlfn.IFNA(_xlpm.result, "")
)</f>
        <v/>
      </c>
      <c r="Z45" t="str">
        <f>_xlfn.LET(
  _xlpm.result, _xlfn.XLOOKUP($B45, Result_Database!$A$2:$A$500, Result_Database!Y$2:Y$500),
  _xlfn.IFNA(_xlpm.result, "")
)</f>
        <v/>
      </c>
      <c r="AA45" t="str">
        <f>_xlfn.LET(
  _xlpm.result, _xlfn.XLOOKUP($B45, Result_Database!$A$2:$A$500, Result_Database!Z$2:Z$500),
  _xlfn.IFNA(_xlpm.result, "")
)</f>
        <v/>
      </c>
      <c r="AB45" t="str">
        <f>_xlfn.LET(
  _xlpm.result, _xlfn.XLOOKUP($B45, Result_Database!$A$2:$A$500, Result_Database!AA$2:AA$500),
  _xlfn.IFNA(_xlpm.result, "")
)</f>
        <v/>
      </c>
      <c r="AC45" t="str">
        <f>_xlfn.LET(
  _xlpm.result, _xlfn.XLOOKUP($B45, Result_Database!$A$2:$A$500, Result_Database!AB$2:AB$500),
  _xlfn.IFNA(_xlpm.result, "")
)</f>
        <v/>
      </c>
      <c r="AD45" t="str">
        <f>_xlfn.LET(
  _xlpm.result, _xlfn.XLOOKUP($B45, Result_Database!$A$2:$A$500, Result_Database!AC$2:AC$500),
  _xlfn.IFNA(_xlpm.result, "")
)</f>
        <v/>
      </c>
      <c r="AE45" t="str">
        <f>_xlfn.LET(
  _xlpm.result, _xlfn.XLOOKUP($B45, Result_Database!$A$2:$A$500, Result_Database!AD$2:AD$500),
  _xlfn.IFNA(_xlpm.result, "")
)</f>
        <v/>
      </c>
      <c r="AF45" t="str">
        <f>_xlfn.LET(
  _xlpm.result, _xlfn.XLOOKUP($B45, Result_Database!$A$2:$A$500, Result_Database!AE$2:AE$500),
  _xlfn.IFNA(_xlpm.result, "")
)</f>
        <v/>
      </c>
      <c r="AG45" t="str">
        <f>_xlfn.LET(
  _xlpm.result, _xlfn.XLOOKUP($B45, Result_Database!$A$2:$A$500, Result_Database!AF$2:AF$500),
  _xlfn.IFNA(_xlpm.result, "")
)</f>
        <v/>
      </c>
      <c r="AH45" t="str">
        <f>_xlfn.LET(
  _xlpm.result, _xlfn.XLOOKUP($B45, Result_Database!$A$2:$A$500, Result_Database!AG$2:AG$500),
  _xlfn.IFNA(_xlpm.result, "")
)</f>
        <v/>
      </c>
      <c r="AI45" t="str">
        <f>_xlfn.LET(
  _xlpm.result, _xlfn.XLOOKUP($B45, Result_Database!$A$2:$A$500, Result_Database!AH$2:AH$500),
  _xlfn.IFNA(_xlpm.result, "")
)</f>
        <v/>
      </c>
      <c r="AJ45" t="str">
        <f>_xlfn.LET(
  _xlpm.result, _xlfn.XLOOKUP($B45, Result_Database!$A$2:$A$500, Result_Database!AI$2:AI$500),
  _xlfn.IFNA(_xlpm.result, "")
)</f>
        <v/>
      </c>
      <c r="AK45" t="str">
        <f>_xlfn.LET(
  _xlpm.result, _xlfn.XLOOKUP($B45, Result_Database!$A$2:$A$500, Result_Database!AJ$2:AJ$500),
  _xlfn.IFNA(_xlpm.result, "")
)</f>
        <v/>
      </c>
      <c r="AL45" t="str">
        <f>_xlfn.LET(
  _xlpm.result, _xlfn.XLOOKUP($B45, Result_Database!$A$2:$A$500, Result_Database!AK$2:AK$500),
  _xlfn.IFNA(_xlpm.result, "")
)</f>
        <v/>
      </c>
      <c r="AM4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5" t="str">
        <f>IF(SUM(Table5[[#This Row],[A1]:[C6]])&lt;&gt;0,SUM(Table5[[#This Row],[A1]:[C6]]),"")</f>
        <v/>
      </c>
      <c r="AW45" t="str">
        <f>IF(SUM(Table5[[#This Row],[D7]:[F9]])=0,"",SUM(Table5[[#This Row],[D7]:[F9]]))</f>
        <v/>
      </c>
      <c r="AX4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5" t="str">
        <f>IF(COUNTIF(Table5[[#This Row],[English Language]:[Electrical/ Electronics]],"WITHHELD")=0,"",COUNTIF(Table5[[#This Row],[English Language]:[Electrical/ Electronics]],"WITHHELD"))</f>
        <v/>
      </c>
      <c r="BE45" t="str">
        <f>IF(SUM(Table5[[#This Row],[NO OF CREDITS]:[BELOW CREDITS]])=0,"",SUM(Table5[[#This Row],[NO OF CREDITS]:[BELOW CREDITS]]))</f>
        <v/>
      </c>
    </row>
    <row r="46" spans="1:57" x14ac:dyDescent="0.3">
      <c r="A46" t="str">
        <f>IF(B46&lt;&gt;"",COUNTA($B$6:B46),"")</f>
        <v/>
      </c>
      <c r="B46" t="str">
        <f>IF(Result_Database!A42="","",Result_Database!A42)</f>
        <v/>
      </c>
      <c r="C46" t="str">
        <f>_xlfn.LET(
_xlpm.result,_xlfn.XLOOKUP($B46,Result_Database!$A$2:$A$500,Result_Database!$B$2:$B$500),
_xlfn.IFNA(_xlpm.result,"")
)</f>
        <v/>
      </c>
      <c r="D46" t="str">
        <f>_xlfn.LET(
  _xlpm.result, _xlfn.XLOOKUP($B46, Result_Database!$A$2:$A$500, Result_Database!C$2:C$500),
  _xlfn.IFNA(_xlpm.result, "")
)</f>
        <v/>
      </c>
      <c r="E46" t="str">
        <f>_xlfn.LET(
  _xlpm.result, _xlfn.XLOOKUP($B46, Result_Database!$A$2:$A$500, Result_Database!D$2:D$500),
  _xlfn.IFNA(_xlpm.result, "")
)</f>
        <v/>
      </c>
      <c r="F46" t="str">
        <f>_xlfn.LET(
  _xlpm.result, _xlfn.XLOOKUP($B46, Result_Database!$A$2:$A$500, Result_Database!E$2:E$500),
  _xlfn.IFNA(_xlpm.result, "")
)</f>
        <v/>
      </c>
      <c r="G46" t="str">
        <f>_xlfn.LET(
  _xlpm.result, _xlfn.XLOOKUP($B46, Result_Database!$A$2:$A$500, Result_Database!F$2:F$500),
  _xlfn.IFNA(_xlpm.result, "")
)</f>
        <v/>
      </c>
      <c r="H46" t="str">
        <f>_xlfn.LET(
  _xlpm.result, _xlfn.XLOOKUP($B46, Result_Database!$A$2:$A$500, Result_Database!G$2:G$500),
  _xlfn.IFNA(_xlpm.result, "")
)</f>
        <v/>
      </c>
      <c r="I46" t="str">
        <f>_xlfn.LET(
  _xlpm.result, _xlfn.XLOOKUP($B46, Result_Database!$A$2:$A$500, Result_Database!H$2:H$500),
  _xlfn.IFNA(_xlpm.result, "")
)</f>
        <v/>
      </c>
      <c r="J46" t="str">
        <f>_xlfn.LET(
  _xlpm.result, _xlfn.XLOOKUP($B46, Result_Database!$A$2:$A$500, Result_Database!I$2:I$500),
  _xlfn.IFNA(_xlpm.result, "")
)</f>
        <v/>
      </c>
      <c r="K46" t="str">
        <f>_xlfn.LET(
  _xlpm.result, _xlfn.XLOOKUP($B46, Result_Database!$A$2:$A$500, Result_Database!J$2:J$500),
  _xlfn.IFNA(_xlpm.result, "")
)</f>
        <v/>
      </c>
      <c r="L46" t="str">
        <f>_xlfn.LET(
  _xlpm.result, _xlfn.XLOOKUP($B46, Result_Database!$A$2:$A$500, Result_Database!K$2:K$500),
  _xlfn.IFNA(_xlpm.result, "")
)</f>
        <v/>
      </c>
      <c r="M46" t="str">
        <f>_xlfn.LET(
  _xlpm.result, _xlfn.XLOOKUP($B46, Result_Database!$A$2:$A$500, Result_Database!L$2:L$500),
  _xlfn.IFNA(_xlpm.result, "")
)</f>
        <v/>
      </c>
      <c r="N46" t="str">
        <f>_xlfn.LET(
  _xlpm.result, _xlfn.XLOOKUP($B46, Result_Database!$A$2:$A$500, Result_Database!M$2:M$500),
  _xlfn.IFNA(_xlpm.result, "")
)</f>
        <v/>
      </c>
      <c r="O46" t="str">
        <f>_xlfn.LET(
  _xlpm.result, _xlfn.XLOOKUP($B46, Result_Database!$A$2:$A$500, Result_Database!N$2:N$500),
  _xlfn.IFNA(_xlpm.result, "")
)</f>
        <v/>
      </c>
      <c r="P46" t="str">
        <f>_xlfn.LET(
  _xlpm.result, _xlfn.XLOOKUP($B46, Result_Database!$A$2:$A$500, Result_Database!O$2:O$500),
  _xlfn.IFNA(_xlpm.result, "")
)</f>
        <v/>
      </c>
      <c r="Q46" t="str">
        <f>_xlfn.LET(
  _xlpm.result, _xlfn.XLOOKUP($B46, Result_Database!$A$2:$A$500, Result_Database!P$2:P$500),
  _xlfn.IFNA(_xlpm.result, "")
)</f>
        <v/>
      </c>
      <c r="R46" t="str">
        <f>_xlfn.LET(
  _xlpm.result, _xlfn.XLOOKUP($B46, Result_Database!$A$2:$A$500, Result_Database!Q$2:Q$500),
  _xlfn.IFNA(_xlpm.result, "")
)</f>
        <v/>
      </c>
      <c r="S46" t="str">
        <f>_xlfn.LET(
  _xlpm.result, _xlfn.XLOOKUP($B46, Result_Database!$A$2:$A$500, Result_Database!R$2:R$500),
  _xlfn.IFNA(_xlpm.result, "")
)</f>
        <v/>
      </c>
      <c r="T46" t="str">
        <f>_xlfn.LET(
  _xlpm.result, _xlfn.XLOOKUP($B46, Result_Database!$A$2:$A$500, Result_Database!S$2:S$500),
  _xlfn.IFNA(_xlpm.result, "")
)</f>
        <v/>
      </c>
      <c r="U46" t="str">
        <f>_xlfn.LET(
  _xlpm.result, _xlfn.XLOOKUP($B46, Result_Database!$A$2:$A$500, Result_Database!T$2:T$500),
  _xlfn.IFNA(_xlpm.result, "")
)</f>
        <v/>
      </c>
      <c r="V46" t="str">
        <f>_xlfn.LET(
  _xlpm.result, _xlfn.XLOOKUP($B46, Result_Database!$A$2:$A$500, Result_Database!U$2:U$500),
  _xlfn.IFNA(_xlpm.result, "")
)</f>
        <v/>
      </c>
      <c r="W46" t="str">
        <f>_xlfn.LET(
  _xlpm.result, _xlfn.XLOOKUP($B46, Result_Database!$A$2:$A$500, Result_Database!V$2:V$500),
  _xlfn.IFNA(_xlpm.result, "")
)</f>
        <v/>
      </c>
      <c r="X46" t="str">
        <f>_xlfn.LET(
  _xlpm.result, _xlfn.XLOOKUP($B46, Result_Database!$A$2:$A$500, Result_Database!W$2:W$500),
  _xlfn.IFNA(_xlpm.result, "")
)</f>
        <v/>
      </c>
      <c r="Y46" t="str">
        <f>_xlfn.LET(
  _xlpm.result, _xlfn.XLOOKUP($B46, Result_Database!$A$2:$A$500, Result_Database!X$2:X$500),
  _xlfn.IFNA(_xlpm.result, "")
)</f>
        <v/>
      </c>
      <c r="Z46" t="str">
        <f>_xlfn.LET(
  _xlpm.result, _xlfn.XLOOKUP($B46, Result_Database!$A$2:$A$500, Result_Database!Y$2:Y$500),
  _xlfn.IFNA(_xlpm.result, "")
)</f>
        <v/>
      </c>
      <c r="AA46" t="str">
        <f>_xlfn.LET(
  _xlpm.result, _xlfn.XLOOKUP($B46, Result_Database!$A$2:$A$500, Result_Database!Z$2:Z$500),
  _xlfn.IFNA(_xlpm.result, "")
)</f>
        <v/>
      </c>
      <c r="AB46" t="str">
        <f>_xlfn.LET(
  _xlpm.result, _xlfn.XLOOKUP($B46, Result_Database!$A$2:$A$500, Result_Database!AA$2:AA$500),
  _xlfn.IFNA(_xlpm.result, "")
)</f>
        <v/>
      </c>
      <c r="AC46" t="str">
        <f>_xlfn.LET(
  _xlpm.result, _xlfn.XLOOKUP($B46, Result_Database!$A$2:$A$500, Result_Database!AB$2:AB$500),
  _xlfn.IFNA(_xlpm.result, "")
)</f>
        <v/>
      </c>
      <c r="AD46" t="str">
        <f>_xlfn.LET(
  _xlpm.result, _xlfn.XLOOKUP($B46, Result_Database!$A$2:$A$500, Result_Database!AC$2:AC$500),
  _xlfn.IFNA(_xlpm.result, "")
)</f>
        <v/>
      </c>
      <c r="AE46" t="str">
        <f>_xlfn.LET(
  _xlpm.result, _xlfn.XLOOKUP($B46, Result_Database!$A$2:$A$500, Result_Database!AD$2:AD$500),
  _xlfn.IFNA(_xlpm.result, "")
)</f>
        <v/>
      </c>
      <c r="AF46" t="str">
        <f>_xlfn.LET(
  _xlpm.result, _xlfn.XLOOKUP($B46, Result_Database!$A$2:$A$500, Result_Database!AE$2:AE$500),
  _xlfn.IFNA(_xlpm.result, "")
)</f>
        <v/>
      </c>
      <c r="AG46" t="str">
        <f>_xlfn.LET(
  _xlpm.result, _xlfn.XLOOKUP($B46, Result_Database!$A$2:$A$500, Result_Database!AF$2:AF$500),
  _xlfn.IFNA(_xlpm.result, "")
)</f>
        <v/>
      </c>
      <c r="AH46" t="str">
        <f>_xlfn.LET(
  _xlpm.result, _xlfn.XLOOKUP($B46, Result_Database!$A$2:$A$500, Result_Database!AG$2:AG$500),
  _xlfn.IFNA(_xlpm.result, "")
)</f>
        <v/>
      </c>
      <c r="AI46" t="str">
        <f>_xlfn.LET(
  _xlpm.result, _xlfn.XLOOKUP($B46, Result_Database!$A$2:$A$500, Result_Database!AH$2:AH$500),
  _xlfn.IFNA(_xlpm.result, "")
)</f>
        <v/>
      </c>
      <c r="AJ46" t="str">
        <f>_xlfn.LET(
  _xlpm.result, _xlfn.XLOOKUP($B46, Result_Database!$A$2:$A$500, Result_Database!AI$2:AI$500),
  _xlfn.IFNA(_xlpm.result, "")
)</f>
        <v/>
      </c>
      <c r="AK46" t="str">
        <f>_xlfn.LET(
  _xlpm.result, _xlfn.XLOOKUP($B46, Result_Database!$A$2:$A$500, Result_Database!AJ$2:AJ$500),
  _xlfn.IFNA(_xlpm.result, "")
)</f>
        <v/>
      </c>
      <c r="AL46" t="str">
        <f>_xlfn.LET(
  _xlpm.result, _xlfn.XLOOKUP($B46, Result_Database!$A$2:$A$500, Result_Database!AK$2:AK$500),
  _xlfn.IFNA(_xlpm.result, "")
)</f>
        <v/>
      </c>
      <c r="AM4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6" t="str">
        <f>IF(SUM(Table5[[#This Row],[A1]:[C6]])&lt;&gt;0,SUM(Table5[[#This Row],[A1]:[C6]]),"")</f>
        <v/>
      </c>
      <c r="AW46" t="str">
        <f>IF(SUM(Table5[[#This Row],[D7]:[F9]])=0,"",SUM(Table5[[#This Row],[D7]:[F9]]))</f>
        <v/>
      </c>
      <c r="AX4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6" t="str">
        <f>IF(COUNTIF(Table5[[#This Row],[English Language]:[Electrical/ Electronics]],"WITHHELD")=0,"",COUNTIF(Table5[[#This Row],[English Language]:[Electrical/ Electronics]],"WITHHELD"))</f>
        <v/>
      </c>
      <c r="BE46" t="str">
        <f>IF(SUM(Table5[[#This Row],[NO OF CREDITS]:[BELOW CREDITS]])=0,"",SUM(Table5[[#This Row],[NO OF CREDITS]:[BELOW CREDITS]]))</f>
        <v/>
      </c>
    </row>
    <row r="47" spans="1:57" x14ac:dyDescent="0.3">
      <c r="A47" t="str">
        <f>IF(B47&lt;&gt;"",COUNTA($B$6:B47),"")</f>
        <v/>
      </c>
      <c r="B47" t="str">
        <f>IF(Result_Database!A43="","",Result_Database!A43)</f>
        <v/>
      </c>
      <c r="C47" t="str">
        <f>_xlfn.LET(
_xlpm.result,_xlfn.XLOOKUP($B47,Result_Database!$A$2:$A$500,Result_Database!$B$2:$B$500),
_xlfn.IFNA(_xlpm.result,"")
)</f>
        <v/>
      </c>
      <c r="D47" t="str">
        <f>_xlfn.LET(
  _xlpm.result, _xlfn.XLOOKUP($B47, Result_Database!$A$2:$A$500, Result_Database!C$2:C$500),
  _xlfn.IFNA(_xlpm.result, "")
)</f>
        <v/>
      </c>
      <c r="E47" t="str">
        <f>_xlfn.LET(
  _xlpm.result, _xlfn.XLOOKUP($B47, Result_Database!$A$2:$A$500, Result_Database!D$2:D$500),
  _xlfn.IFNA(_xlpm.result, "")
)</f>
        <v/>
      </c>
      <c r="F47" t="str">
        <f>_xlfn.LET(
  _xlpm.result, _xlfn.XLOOKUP($B47, Result_Database!$A$2:$A$500, Result_Database!E$2:E$500),
  _xlfn.IFNA(_xlpm.result, "")
)</f>
        <v/>
      </c>
      <c r="G47" t="str">
        <f>_xlfn.LET(
  _xlpm.result, _xlfn.XLOOKUP($B47, Result_Database!$A$2:$A$500, Result_Database!F$2:F$500),
  _xlfn.IFNA(_xlpm.result, "")
)</f>
        <v/>
      </c>
      <c r="H47" t="str">
        <f>_xlfn.LET(
  _xlpm.result, _xlfn.XLOOKUP($B47, Result_Database!$A$2:$A$500, Result_Database!G$2:G$500),
  _xlfn.IFNA(_xlpm.result, "")
)</f>
        <v/>
      </c>
      <c r="I47" t="str">
        <f>_xlfn.LET(
  _xlpm.result, _xlfn.XLOOKUP($B47, Result_Database!$A$2:$A$500, Result_Database!H$2:H$500),
  _xlfn.IFNA(_xlpm.result, "")
)</f>
        <v/>
      </c>
      <c r="J47" t="str">
        <f>_xlfn.LET(
  _xlpm.result, _xlfn.XLOOKUP($B47, Result_Database!$A$2:$A$500, Result_Database!I$2:I$500),
  _xlfn.IFNA(_xlpm.result, "")
)</f>
        <v/>
      </c>
      <c r="K47" t="str">
        <f>_xlfn.LET(
  _xlpm.result, _xlfn.XLOOKUP($B47, Result_Database!$A$2:$A$500, Result_Database!J$2:J$500),
  _xlfn.IFNA(_xlpm.result, "")
)</f>
        <v/>
      </c>
      <c r="L47" t="str">
        <f>_xlfn.LET(
  _xlpm.result, _xlfn.XLOOKUP($B47, Result_Database!$A$2:$A$500, Result_Database!K$2:K$500),
  _xlfn.IFNA(_xlpm.result, "")
)</f>
        <v/>
      </c>
      <c r="M47" t="str">
        <f>_xlfn.LET(
  _xlpm.result, _xlfn.XLOOKUP($B47, Result_Database!$A$2:$A$500, Result_Database!L$2:L$500),
  _xlfn.IFNA(_xlpm.result, "")
)</f>
        <v/>
      </c>
      <c r="N47" t="str">
        <f>_xlfn.LET(
  _xlpm.result, _xlfn.XLOOKUP($B47, Result_Database!$A$2:$A$500, Result_Database!M$2:M$500),
  _xlfn.IFNA(_xlpm.result, "")
)</f>
        <v/>
      </c>
      <c r="O47" t="str">
        <f>_xlfn.LET(
  _xlpm.result, _xlfn.XLOOKUP($B47, Result_Database!$A$2:$A$500, Result_Database!N$2:N$500),
  _xlfn.IFNA(_xlpm.result, "")
)</f>
        <v/>
      </c>
      <c r="P47" t="str">
        <f>_xlfn.LET(
  _xlpm.result, _xlfn.XLOOKUP($B47, Result_Database!$A$2:$A$500, Result_Database!O$2:O$500),
  _xlfn.IFNA(_xlpm.result, "")
)</f>
        <v/>
      </c>
      <c r="Q47" t="str">
        <f>_xlfn.LET(
  _xlpm.result, _xlfn.XLOOKUP($B47, Result_Database!$A$2:$A$500, Result_Database!P$2:P$500),
  _xlfn.IFNA(_xlpm.result, "")
)</f>
        <v/>
      </c>
      <c r="R47" t="str">
        <f>_xlfn.LET(
  _xlpm.result, _xlfn.XLOOKUP($B47, Result_Database!$A$2:$A$500, Result_Database!Q$2:Q$500),
  _xlfn.IFNA(_xlpm.result, "")
)</f>
        <v/>
      </c>
      <c r="S47" t="str">
        <f>_xlfn.LET(
  _xlpm.result, _xlfn.XLOOKUP($B47, Result_Database!$A$2:$A$500, Result_Database!R$2:R$500),
  _xlfn.IFNA(_xlpm.result, "")
)</f>
        <v/>
      </c>
      <c r="T47" t="str">
        <f>_xlfn.LET(
  _xlpm.result, _xlfn.XLOOKUP($B47, Result_Database!$A$2:$A$500, Result_Database!S$2:S$500),
  _xlfn.IFNA(_xlpm.result, "")
)</f>
        <v/>
      </c>
      <c r="U47" t="str">
        <f>_xlfn.LET(
  _xlpm.result, _xlfn.XLOOKUP($B47, Result_Database!$A$2:$A$500, Result_Database!T$2:T$500),
  _xlfn.IFNA(_xlpm.result, "")
)</f>
        <v/>
      </c>
      <c r="V47" t="str">
        <f>_xlfn.LET(
  _xlpm.result, _xlfn.XLOOKUP($B47, Result_Database!$A$2:$A$500, Result_Database!U$2:U$500),
  _xlfn.IFNA(_xlpm.result, "")
)</f>
        <v/>
      </c>
      <c r="W47" t="str">
        <f>_xlfn.LET(
  _xlpm.result, _xlfn.XLOOKUP($B47, Result_Database!$A$2:$A$500, Result_Database!V$2:V$500),
  _xlfn.IFNA(_xlpm.result, "")
)</f>
        <v/>
      </c>
      <c r="X47" t="str">
        <f>_xlfn.LET(
  _xlpm.result, _xlfn.XLOOKUP($B47, Result_Database!$A$2:$A$500, Result_Database!W$2:W$500),
  _xlfn.IFNA(_xlpm.result, "")
)</f>
        <v/>
      </c>
      <c r="Y47" t="str">
        <f>_xlfn.LET(
  _xlpm.result, _xlfn.XLOOKUP($B47, Result_Database!$A$2:$A$500, Result_Database!X$2:X$500),
  _xlfn.IFNA(_xlpm.result, "")
)</f>
        <v/>
      </c>
      <c r="Z47" t="str">
        <f>_xlfn.LET(
  _xlpm.result, _xlfn.XLOOKUP($B47, Result_Database!$A$2:$A$500, Result_Database!Y$2:Y$500),
  _xlfn.IFNA(_xlpm.result, "")
)</f>
        <v/>
      </c>
      <c r="AA47" t="str">
        <f>_xlfn.LET(
  _xlpm.result, _xlfn.XLOOKUP($B47, Result_Database!$A$2:$A$500, Result_Database!Z$2:Z$500),
  _xlfn.IFNA(_xlpm.result, "")
)</f>
        <v/>
      </c>
      <c r="AB47" t="str">
        <f>_xlfn.LET(
  _xlpm.result, _xlfn.XLOOKUP($B47, Result_Database!$A$2:$A$500, Result_Database!AA$2:AA$500),
  _xlfn.IFNA(_xlpm.result, "")
)</f>
        <v/>
      </c>
      <c r="AC47" t="str">
        <f>_xlfn.LET(
  _xlpm.result, _xlfn.XLOOKUP($B47, Result_Database!$A$2:$A$500, Result_Database!AB$2:AB$500),
  _xlfn.IFNA(_xlpm.result, "")
)</f>
        <v/>
      </c>
      <c r="AD47" t="str">
        <f>_xlfn.LET(
  _xlpm.result, _xlfn.XLOOKUP($B47, Result_Database!$A$2:$A$500, Result_Database!AC$2:AC$500),
  _xlfn.IFNA(_xlpm.result, "")
)</f>
        <v/>
      </c>
      <c r="AE47" t="str">
        <f>_xlfn.LET(
  _xlpm.result, _xlfn.XLOOKUP($B47, Result_Database!$A$2:$A$500, Result_Database!AD$2:AD$500),
  _xlfn.IFNA(_xlpm.result, "")
)</f>
        <v/>
      </c>
      <c r="AF47" t="str">
        <f>_xlfn.LET(
  _xlpm.result, _xlfn.XLOOKUP($B47, Result_Database!$A$2:$A$500, Result_Database!AE$2:AE$500),
  _xlfn.IFNA(_xlpm.result, "")
)</f>
        <v/>
      </c>
      <c r="AG47" t="str">
        <f>_xlfn.LET(
  _xlpm.result, _xlfn.XLOOKUP($B47, Result_Database!$A$2:$A$500, Result_Database!AF$2:AF$500),
  _xlfn.IFNA(_xlpm.result, "")
)</f>
        <v/>
      </c>
      <c r="AH47" t="str">
        <f>_xlfn.LET(
  _xlpm.result, _xlfn.XLOOKUP($B47, Result_Database!$A$2:$A$500, Result_Database!AG$2:AG$500),
  _xlfn.IFNA(_xlpm.result, "")
)</f>
        <v/>
      </c>
      <c r="AI47" t="str">
        <f>_xlfn.LET(
  _xlpm.result, _xlfn.XLOOKUP($B47, Result_Database!$A$2:$A$500, Result_Database!AH$2:AH$500),
  _xlfn.IFNA(_xlpm.result, "")
)</f>
        <v/>
      </c>
      <c r="AJ47" t="str">
        <f>_xlfn.LET(
  _xlpm.result, _xlfn.XLOOKUP($B47, Result_Database!$A$2:$A$500, Result_Database!AI$2:AI$500),
  _xlfn.IFNA(_xlpm.result, "")
)</f>
        <v/>
      </c>
      <c r="AK47" t="str">
        <f>_xlfn.LET(
  _xlpm.result, _xlfn.XLOOKUP($B47, Result_Database!$A$2:$A$500, Result_Database!AJ$2:AJ$500),
  _xlfn.IFNA(_xlpm.result, "")
)</f>
        <v/>
      </c>
      <c r="AL47" t="str">
        <f>_xlfn.LET(
  _xlpm.result, _xlfn.XLOOKUP($B47, Result_Database!$A$2:$A$500, Result_Database!AK$2:AK$500),
  _xlfn.IFNA(_xlpm.result, "")
)</f>
        <v/>
      </c>
      <c r="AM4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7" t="str">
        <f>IF(SUM(Table5[[#This Row],[A1]:[C6]])&lt;&gt;0,SUM(Table5[[#This Row],[A1]:[C6]]),"")</f>
        <v/>
      </c>
      <c r="AW47" t="str">
        <f>IF(SUM(Table5[[#This Row],[D7]:[F9]])=0,"",SUM(Table5[[#This Row],[D7]:[F9]]))</f>
        <v/>
      </c>
      <c r="AX4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7" t="str">
        <f>IF(COUNTIF(Table5[[#This Row],[English Language]:[Electrical/ Electronics]],"WITHHELD")=0,"",COUNTIF(Table5[[#This Row],[English Language]:[Electrical/ Electronics]],"WITHHELD"))</f>
        <v/>
      </c>
      <c r="BE47" t="str">
        <f>IF(SUM(Table5[[#This Row],[NO OF CREDITS]:[BELOW CREDITS]])=0,"",SUM(Table5[[#This Row],[NO OF CREDITS]:[BELOW CREDITS]]))</f>
        <v/>
      </c>
    </row>
    <row r="48" spans="1:57" x14ac:dyDescent="0.3">
      <c r="A48" t="str">
        <f>IF(B48&lt;&gt;"",COUNTA($B$6:B48),"")</f>
        <v/>
      </c>
      <c r="B48" t="str">
        <f>IF(Result_Database!A44="","",Result_Database!A44)</f>
        <v/>
      </c>
      <c r="C48" t="str">
        <f>_xlfn.LET(
_xlpm.result,_xlfn.XLOOKUP($B48,Result_Database!$A$2:$A$500,Result_Database!$B$2:$B$500),
_xlfn.IFNA(_xlpm.result,"")
)</f>
        <v/>
      </c>
      <c r="D48" t="str">
        <f>_xlfn.LET(
  _xlpm.result, _xlfn.XLOOKUP($B48, Result_Database!$A$2:$A$500, Result_Database!C$2:C$500),
  _xlfn.IFNA(_xlpm.result, "")
)</f>
        <v/>
      </c>
      <c r="E48" t="str">
        <f>_xlfn.LET(
  _xlpm.result, _xlfn.XLOOKUP($B48, Result_Database!$A$2:$A$500, Result_Database!D$2:D$500),
  _xlfn.IFNA(_xlpm.result, "")
)</f>
        <v/>
      </c>
      <c r="F48" t="str">
        <f>_xlfn.LET(
  _xlpm.result, _xlfn.XLOOKUP($B48, Result_Database!$A$2:$A$500, Result_Database!E$2:E$500),
  _xlfn.IFNA(_xlpm.result, "")
)</f>
        <v/>
      </c>
      <c r="G48" t="str">
        <f>_xlfn.LET(
  _xlpm.result, _xlfn.XLOOKUP($B48, Result_Database!$A$2:$A$500, Result_Database!F$2:F$500),
  _xlfn.IFNA(_xlpm.result, "")
)</f>
        <v/>
      </c>
      <c r="H48" t="str">
        <f>_xlfn.LET(
  _xlpm.result, _xlfn.XLOOKUP($B48, Result_Database!$A$2:$A$500, Result_Database!G$2:G$500),
  _xlfn.IFNA(_xlpm.result, "")
)</f>
        <v/>
      </c>
      <c r="I48" t="str">
        <f>_xlfn.LET(
  _xlpm.result, _xlfn.XLOOKUP($B48, Result_Database!$A$2:$A$500, Result_Database!H$2:H$500),
  _xlfn.IFNA(_xlpm.result, "")
)</f>
        <v/>
      </c>
      <c r="J48" t="str">
        <f>_xlfn.LET(
  _xlpm.result, _xlfn.XLOOKUP($B48, Result_Database!$A$2:$A$500, Result_Database!I$2:I$500),
  _xlfn.IFNA(_xlpm.result, "")
)</f>
        <v/>
      </c>
      <c r="K48" t="str">
        <f>_xlfn.LET(
  _xlpm.result, _xlfn.XLOOKUP($B48, Result_Database!$A$2:$A$500, Result_Database!J$2:J$500),
  _xlfn.IFNA(_xlpm.result, "")
)</f>
        <v/>
      </c>
      <c r="L48" t="str">
        <f>_xlfn.LET(
  _xlpm.result, _xlfn.XLOOKUP($B48, Result_Database!$A$2:$A$500, Result_Database!K$2:K$500),
  _xlfn.IFNA(_xlpm.result, "")
)</f>
        <v/>
      </c>
      <c r="M48" t="str">
        <f>_xlfn.LET(
  _xlpm.result, _xlfn.XLOOKUP($B48, Result_Database!$A$2:$A$500, Result_Database!L$2:L$500),
  _xlfn.IFNA(_xlpm.result, "")
)</f>
        <v/>
      </c>
      <c r="N48" t="str">
        <f>_xlfn.LET(
  _xlpm.result, _xlfn.XLOOKUP($B48, Result_Database!$A$2:$A$500, Result_Database!M$2:M$500),
  _xlfn.IFNA(_xlpm.result, "")
)</f>
        <v/>
      </c>
      <c r="O48" t="str">
        <f>_xlfn.LET(
  _xlpm.result, _xlfn.XLOOKUP($B48, Result_Database!$A$2:$A$500, Result_Database!N$2:N$500),
  _xlfn.IFNA(_xlpm.result, "")
)</f>
        <v/>
      </c>
      <c r="P48" t="str">
        <f>_xlfn.LET(
  _xlpm.result, _xlfn.XLOOKUP($B48, Result_Database!$A$2:$A$500, Result_Database!O$2:O$500),
  _xlfn.IFNA(_xlpm.result, "")
)</f>
        <v/>
      </c>
      <c r="Q48" t="str">
        <f>_xlfn.LET(
  _xlpm.result, _xlfn.XLOOKUP($B48, Result_Database!$A$2:$A$500, Result_Database!P$2:P$500),
  _xlfn.IFNA(_xlpm.result, "")
)</f>
        <v/>
      </c>
      <c r="R48" t="str">
        <f>_xlfn.LET(
  _xlpm.result, _xlfn.XLOOKUP($B48, Result_Database!$A$2:$A$500, Result_Database!Q$2:Q$500),
  _xlfn.IFNA(_xlpm.result, "")
)</f>
        <v/>
      </c>
      <c r="S48" t="str">
        <f>_xlfn.LET(
  _xlpm.result, _xlfn.XLOOKUP($B48, Result_Database!$A$2:$A$500, Result_Database!R$2:R$500),
  _xlfn.IFNA(_xlpm.result, "")
)</f>
        <v/>
      </c>
      <c r="T48" t="str">
        <f>_xlfn.LET(
  _xlpm.result, _xlfn.XLOOKUP($B48, Result_Database!$A$2:$A$500, Result_Database!S$2:S$500),
  _xlfn.IFNA(_xlpm.result, "")
)</f>
        <v/>
      </c>
      <c r="U48" t="str">
        <f>_xlfn.LET(
  _xlpm.result, _xlfn.XLOOKUP($B48, Result_Database!$A$2:$A$500, Result_Database!T$2:T$500),
  _xlfn.IFNA(_xlpm.result, "")
)</f>
        <v/>
      </c>
      <c r="V48" t="str">
        <f>_xlfn.LET(
  _xlpm.result, _xlfn.XLOOKUP($B48, Result_Database!$A$2:$A$500, Result_Database!U$2:U$500),
  _xlfn.IFNA(_xlpm.result, "")
)</f>
        <v/>
      </c>
      <c r="W48" t="str">
        <f>_xlfn.LET(
  _xlpm.result, _xlfn.XLOOKUP($B48, Result_Database!$A$2:$A$500, Result_Database!V$2:V$500),
  _xlfn.IFNA(_xlpm.result, "")
)</f>
        <v/>
      </c>
      <c r="X48" t="str">
        <f>_xlfn.LET(
  _xlpm.result, _xlfn.XLOOKUP($B48, Result_Database!$A$2:$A$500, Result_Database!W$2:W$500),
  _xlfn.IFNA(_xlpm.result, "")
)</f>
        <v/>
      </c>
      <c r="Y48" t="str">
        <f>_xlfn.LET(
  _xlpm.result, _xlfn.XLOOKUP($B48, Result_Database!$A$2:$A$500, Result_Database!X$2:X$500),
  _xlfn.IFNA(_xlpm.result, "")
)</f>
        <v/>
      </c>
      <c r="Z48" t="str">
        <f>_xlfn.LET(
  _xlpm.result, _xlfn.XLOOKUP($B48, Result_Database!$A$2:$A$500, Result_Database!Y$2:Y$500),
  _xlfn.IFNA(_xlpm.result, "")
)</f>
        <v/>
      </c>
      <c r="AA48" t="str">
        <f>_xlfn.LET(
  _xlpm.result, _xlfn.XLOOKUP($B48, Result_Database!$A$2:$A$500, Result_Database!Z$2:Z$500),
  _xlfn.IFNA(_xlpm.result, "")
)</f>
        <v/>
      </c>
      <c r="AB48" t="str">
        <f>_xlfn.LET(
  _xlpm.result, _xlfn.XLOOKUP($B48, Result_Database!$A$2:$A$500, Result_Database!AA$2:AA$500),
  _xlfn.IFNA(_xlpm.result, "")
)</f>
        <v/>
      </c>
      <c r="AC48" t="str">
        <f>_xlfn.LET(
  _xlpm.result, _xlfn.XLOOKUP($B48, Result_Database!$A$2:$A$500, Result_Database!AB$2:AB$500),
  _xlfn.IFNA(_xlpm.result, "")
)</f>
        <v/>
      </c>
      <c r="AD48" t="str">
        <f>_xlfn.LET(
  _xlpm.result, _xlfn.XLOOKUP($B48, Result_Database!$A$2:$A$500, Result_Database!AC$2:AC$500),
  _xlfn.IFNA(_xlpm.result, "")
)</f>
        <v/>
      </c>
      <c r="AE48" t="str">
        <f>_xlfn.LET(
  _xlpm.result, _xlfn.XLOOKUP($B48, Result_Database!$A$2:$A$500, Result_Database!AD$2:AD$500),
  _xlfn.IFNA(_xlpm.result, "")
)</f>
        <v/>
      </c>
      <c r="AF48" t="str">
        <f>_xlfn.LET(
  _xlpm.result, _xlfn.XLOOKUP($B48, Result_Database!$A$2:$A$500, Result_Database!AE$2:AE$500),
  _xlfn.IFNA(_xlpm.result, "")
)</f>
        <v/>
      </c>
      <c r="AG48" t="str">
        <f>_xlfn.LET(
  _xlpm.result, _xlfn.XLOOKUP($B48, Result_Database!$A$2:$A$500, Result_Database!AF$2:AF$500),
  _xlfn.IFNA(_xlpm.result, "")
)</f>
        <v/>
      </c>
      <c r="AH48" t="str">
        <f>_xlfn.LET(
  _xlpm.result, _xlfn.XLOOKUP($B48, Result_Database!$A$2:$A$500, Result_Database!AG$2:AG$500),
  _xlfn.IFNA(_xlpm.result, "")
)</f>
        <v/>
      </c>
      <c r="AI48" t="str">
        <f>_xlfn.LET(
  _xlpm.result, _xlfn.XLOOKUP($B48, Result_Database!$A$2:$A$500, Result_Database!AH$2:AH$500),
  _xlfn.IFNA(_xlpm.result, "")
)</f>
        <v/>
      </c>
      <c r="AJ48" t="str">
        <f>_xlfn.LET(
  _xlpm.result, _xlfn.XLOOKUP($B48, Result_Database!$A$2:$A$500, Result_Database!AI$2:AI$500),
  _xlfn.IFNA(_xlpm.result, "")
)</f>
        <v/>
      </c>
      <c r="AK48" t="str">
        <f>_xlfn.LET(
  _xlpm.result, _xlfn.XLOOKUP($B48, Result_Database!$A$2:$A$500, Result_Database!AJ$2:AJ$500),
  _xlfn.IFNA(_xlpm.result, "")
)</f>
        <v/>
      </c>
      <c r="AL48" t="str">
        <f>_xlfn.LET(
  _xlpm.result, _xlfn.XLOOKUP($B48, Result_Database!$A$2:$A$500, Result_Database!AK$2:AK$500),
  _xlfn.IFNA(_xlpm.result, "")
)</f>
        <v/>
      </c>
      <c r="AM4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8" t="str">
        <f>IF(SUM(Table5[[#This Row],[A1]:[C6]])&lt;&gt;0,SUM(Table5[[#This Row],[A1]:[C6]]),"")</f>
        <v/>
      </c>
      <c r="AW48" t="str">
        <f>IF(SUM(Table5[[#This Row],[D7]:[F9]])=0,"",SUM(Table5[[#This Row],[D7]:[F9]]))</f>
        <v/>
      </c>
      <c r="AX4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8" t="str">
        <f>IF(COUNTIF(Table5[[#This Row],[English Language]:[Electrical/ Electronics]],"WITHHELD")=0,"",COUNTIF(Table5[[#This Row],[English Language]:[Electrical/ Electronics]],"WITHHELD"))</f>
        <v/>
      </c>
      <c r="BE48" t="str">
        <f>IF(SUM(Table5[[#This Row],[NO OF CREDITS]:[BELOW CREDITS]])=0,"",SUM(Table5[[#This Row],[NO OF CREDITS]:[BELOW CREDITS]]))</f>
        <v/>
      </c>
    </row>
    <row r="49" spans="1:57" x14ac:dyDescent="0.3">
      <c r="A49" t="str">
        <f>IF(B49&lt;&gt;"",COUNTA($B$6:B49),"")</f>
        <v/>
      </c>
      <c r="B49" t="str">
        <f>IF(Result_Database!A45="","",Result_Database!A45)</f>
        <v/>
      </c>
      <c r="C49" t="str">
        <f>_xlfn.LET(
_xlpm.result,_xlfn.XLOOKUP($B49,Result_Database!$A$2:$A$500,Result_Database!$B$2:$B$500),
_xlfn.IFNA(_xlpm.result,"")
)</f>
        <v/>
      </c>
      <c r="D49" t="str">
        <f>_xlfn.LET(
  _xlpm.result, _xlfn.XLOOKUP($B49, Result_Database!$A$2:$A$500, Result_Database!C$2:C$500),
  _xlfn.IFNA(_xlpm.result, "")
)</f>
        <v/>
      </c>
      <c r="E49" t="str">
        <f>_xlfn.LET(
  _xlpm.result, _xlfn.XLOOKUP($B49, Result_Database!$A$2:$A$500, Result_Database!D$2:D$500),
  _xlfn.IFNA(_xlpm.result, "")
)</f>
        <v/>
      </c>
      <c r="F49" t="str">
        <f>_xlfn.LET(
  _xlpm.result, _xlfn.XLOOKUP($B49, Result_Database!$A$2:$A$500, Result_Database!E$2:E$500),
  _xlfn.IFNA(_xlpm.result, "")
)</f>
        <v/>
      </c>
      <c r="G49" t="str">
        <f>_xlfn.LET(
  _xlpm.result, _xlfn.XLOOKUP($B49, Result_Database!$A$2:$A$500, Result_Database!F$2:F$500),
  _xlfn.IFNA(_xlpm.result, "")
)</f>
        <v/>
      </c>
      <c r="H49" t="str">
        <f>_xlfn.LET(
  _xlpm.result, _xlfn.XLOOKUP($B49, Result_Database!$A$2:$A$500, Result_Database!G$2:G$500),
  _xlfn.IFNA(_xlpm.result, "")
)</f>
        <v/>
      </c>
      <c r="I49" t="str">
        <f>_xlfn.LET(
  _xlpm.result, _xlfn.XLOOKUP($B49, Result_Database!$A$2:$A$500, Result_Database!H$2:H$500),
  _xlfn.IFNA(_xlpm.result, "")
)</f>
        <v/>
      </c>
      <c r="J49" t="str">
        <f>_xlfn.LET(
  _xlpm.result, _xlfn.XLOOKUP($B49, Result_Database!$A$2:$A$500, Result_Database!I$2:I$500),
  _xlfn.IFNA(_xlpm.result, "")
)</f>
        <v/>
      </c>
      <c r="K49" t="str">
        <f>_xlfn.LET(
  _xlpm.result, _xlfn.XLOOKUP($B49, Result_Database!$A$2:$A$500, Result_Database!J$2:J$500),
  _xlfn.IFNA(_xlpm.result, "")
)</f>
        <v/>
      </c>
      <c r="L49" t="str">
        <f>_xlfn.LET(
  _xlpm.result, _xlfn.XLOOKUP($B49, Result_Database!$A$2:$A$500, Result_Database!K$2:K$500),
  _xlfn.IFNA(_xlpm.result, "")
)</f>
        <v/>
      </c>
      <c r="M49" t="str">
        <f>_xlfn.LET(
  _xlpm.result, _xlfn.XLOOKUP($B49, Result_Database!$A$2:$A$500, Result_Database!L$2:L$500),
  _xlfn.IFNA(_xlpm.result, "")
)</f>
        <v/>
      </c>
      <c r="N49" t="str">
        <f>_xlfn.LET(
  _xlpm.result, _xlfn.XLOOKUP($B49, Result_Database!$A$2:$A$500, Result_Database!M$2:M$500),
  _xlfn.IFNA(_xlpm.result, "")
)</f>
        <v/>
      </c>
      <c r="O49" t="str">
        <f>_xlfn.LET(
  _xlpm.result, _xlfn.XLOOKUP($B49, Result_Database!$A$2:$A$500, Result_Database!N$2:N$500),
  _xlfn.IFNA(_xlpm.result, "")
)</f>
        <v/>
      </c>
      <c r="P49" t="str">
        <f>_xlfn.LET(
  _xlpm.result, _xlfn.XLOOKUP($B49, Result_Database!$A$2:$A$500, Result_Database!O$2:O$500),
  _xlfn.IFNA(_xlpm.result, "")
)</f>
        <v/>
      </c>
      <c r="Q49" t="str">
        <f>_xlfn.LET(
  _xlpm.result, _xlfn.XLOOKUP($B49, Result_Database!$A$2:$A$500, Result_Database!P$2:P$500),
  _xlfn.IFNA(_xlpm.result, "")
)</f>
        <v/>
      </c>
      <c r="R49" t="str">
        <f>_xlfn.LET(
  _xlpm.result, _xlfn.XLOOKUP($B49, Result_Database!$A$2:$A$500, Result_Database!Q$2:Q$500),
  _xlfn.IFNA(_xlpm.result, "")
)</f>
        <v/>
      </c>
      <c r="S49" t="str">
        <f>_xlfn.LET(
  _xlpm.result, _xlfn.XLOOKUP($B49, Result_Database!$A$2:$A$500, Result_Database!R$2:R$500),
  _xlfn.IFNA(_xlpm.result, "")
)</f>
        <v/>
      </c>
      <c r="T49" t="str">
        <f>_xlfn.LET(
  _xlpm.result, _xlfn.XLOOKUP($B49, Result_Database!$A$2:$A$500, Result_Database!S$2:S$500),
  _xlfn.IFNA(_xlpm.result, "")
)</f>
        <v/>
      </c>
      <c r="U49" t="str">
        <f>_xlfn.LET(
  _xlpm.result, _xlfn.XLOOKUP($B49, Result_Database!$A$2:$A$500, Result_Database!T$2:T$500),
  _xlfn.IFNA(_xlpm.result, "")
)</f>
        <v/>
      </c>
      <c r="V49" t="str">
        <f>_xlfn.LET(
  _xlpm.result, _xlfn.XLOOKUP($B49, Result_Database!$A$2:$A$500, Result_Database!U$2:U$500),
  _xlfn.IFNA(_xlpm.result, "")
)</f>
        <v/>
      </c>
      <c r="W49" t="str">
        <f>_xlfn.LET(
  _xlpm.result, _xlfn.XLOOKUP($B49, Result_Database!$A$2:$A$500, Result_Database!V$2:V$500),
  _xlfn.IFNA(_xlpm.result, "")
)</f>
        <v/>
      </c>
      <c r="X49" t="str">
        <f>_xlfn.LET(
  _xlpm.result, _xlfn.XLOOKUP($B49, Result_Database!$A$2:$A$500, Result_Database!W$2:W$500),
  _xlfn.IFNA(_xlpm.result, "")
)</f>
        <v/>
      </c>
      <c r="Y49" t="str">
        <f>_xlfn.LET(
  _xlpm.result, _xlfn.XLOOKUP($B49, Result_Database!$A$2:$A$500, Result_Database!X$2:X$500),
  _xlfn.IFNA(_xlpm.result, "")
)</f>
        <v/>
      </c>
      <c r="Z49" t="str">
        <f>_xlfn.LET(
  _xlpm.result, _xlfn.XLOOKUP($B49, Result_Database!$A$2:$A$500, Result_Database!Y$2:Y$500),
  _xlfn.IFNA(_xlpm.result, "")
)</f>
        <v/>
      </c>
      <c r="AA49" t="str">
        <f>_xlfn.LET(
  _xlpm.result, _xlfn.XLOOKUP($B49, Result_Database!$A$2:$A$500, Result_Database!Z$2:Z$500),
  _xlfn.IFNA(_xlpm.result, "")
)</f>
        <v/>
      </c>
      <c r="AB49" t="str">
        <f>_xlfn.LET(
  _xlpm.result, _xlfn.XLOOKUP($B49, Result_Database!$A$2:$A$500, Result_Database!AA$2:AA$500),
  _xlfn.IFNA(_xlpm.result, "")
)</f>
        <v/>
      </c>
      <c r="AC49" t="str">
        <f>_xlfn.LET(
  _xlpm.result, _xlfn.XLOOKUP($B49, Result_Database!$A$2:$A$500, Result_Database!AB$2:AB$500),
  _xlfn.IFNA(_xlpm.result, "")
)</f>
        <v/>
      </c>
      <c r="AD49" t="str">
        <f>_xlfn.LET(
  _xlpm.result, _xlfn.XLOOKUP($B49, Result_Database!$A$2:$A$500, Result_Database!AC$2:AC$500),
  _xlfn.IFNA(_xlpm.result, "")
)</f>
        <v/>
      </c>
      <c r="AE49" t="str">
        <f>_xlfn.LET(
  _xlpm.result, _xlfn.XLOOKUP($B49, Result_Database!$A$2:$A$500, Result_Database!AD$2:AD$500),
  _xlfn.IFNA(_xlpm.result, "")
)</f>
        <v/>
      </c>
      <c r="AF49" t="str">
        <f>_xlfn.LET(
  _xlpm.result, _xlfn.XLOOKUP($B49, Result_Database!$A$2:$A$500, Result_Database!AE$2:AE$500),
  _xlfn.IFNA(_xlpm.result, "")
)</f>
        <v/>
      </c>
      <c r="AG49" t="str">
        <f>_xlfn.LET(
  _xlpm.result, _xlfn.XLOOKUP($B49, Result_Database!$A$2:$A$500, Result_Database!AF$2:AF$500),
  _xlfn.IFNA(_xlpm.result, "")
)</f>
        <v/>
      </c>
      <c r="AH49" t="str">
        <f>_xlfn.LET(
  _xlpm.result, _xlfn.XLOOKUP($B49, Result_Database!$A$2:$A$500, Result_Database!AG$2:AG$500),
  _xlfn.IFNA(_xlpm.result, "")
)</f>
        <v/>
      </c>
      <c r="AI49" t="str">
        <f>_xlfn.LET(
  _xlpm.result, _xlfn.XLOOKUP($B49, Result_Database!$A$2:$A$500, Result_Database!AH$2:AH$500),
  _xlfn.IFNA(_xlpm.result, "")
)</f>
        <v/>
      </c>
      <c r="AJ49" t="str">
        <f>_xlfn.LET(
  _xlpm.result, _xlfn.XLOOKUP($B49, Result_Database!$A$2:$A$500, Result_Database!AI$2:AI$500),
  _xlfn.IFNA(_xlpm.result, "")
)</f>
        <v/>
      </c>
      <c r="AK49" t="str">
        <f>_xlfn.LET(
  _xlpm.result, _xlfn.XLOOKUP($B49, Result_Database!$A$2:$A$500, Result_Database!AJ$2:AJ$500),
  _xlfn.IFNA(_xlpm.result, "")
)</f>
        <v/>
      </c>
      <c r="AL49" t="str">
        <f>_xlfn.LET(
  _xlpm.result, _xlfn.XLOOKUP($B49, Result_Database!$A$2:$A$500, Result_Database!AK$2:AK$500),
  _xlfn.IFNA(_xlpm.result, "")
)</f>
        <v/>
      </c>
      <c r="AM4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9" t="str">
        <f>IF(SUM(Table5[[#This Row],[A1]:[C6]])&lt;&gt;0,SUM(Table5[[#This Row],[A1]:[C6]]),"")</f>
        <v/>
      </c>
      <c r="AW49" t="str">
        <f>IF(SUM(Table5[[#This Row],[D7]:[F9]])=0,"",SUM(Table5[[#This Row],[D7]:[F9]]))</f>
        <v/>
      </c>
      <c r="AX4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9" t="str">
        <f>IF(COUNTIF(Table5[[#This Row],[English Language]:[Electrical/ Electronics]],"WITHHELD")=0,"",COUNTIF(Table5[[#This Row],[English Language]:[Electrical/ Electronics]],"WITHHELD"))</f>
        <v/>
      </c>
      <c r="BE49" t="str">
        <f>IF(SUM(Table5[[#This Row],[NO OF CREDITS]:[BELOW CREDITS]])=0,"",SUM(Table5[[#This Row],[NO OF CREDITS]:[BELOW CREDITS]]))</f>
        <v/>
      </c>
    </row>
    <row r="50" spans="1:57" x14ac:dyDescent="0.3">
      <c r="A50" t="str">
        <f>IF(B50&lt;&gt;"",COUNTA($B$6:B50),"")</f>
        <v/>
      </c>
      <c r="B50" t="str">
        <f>IF(Result_Database!A46="","",Result_Database!A46)</f>
        <v/>
      </c>
      <c r="C50" t="str">
        <f>_xlfn.LET(
_xlpm.result,_xlfn.XLOOKUP($B50,Result_Database!$A$2:$A$500,Result_Database!$B$2:$B$500),
_xlfn.IFNA(_xlpm.result,"")
)</f>
        <v/>
      </c>
      <c r="D50" t="str">
        <f>_xlfn.LET(
  _xlpm.result, _xlfn.XLOOKUP($B50, Result_Database!$A$2:$A$500, Result_Database!C$2:C$500),
  _xlfn.IFNA(_xlpm.result, "")
)</f>
        <v/>
      </c>
      <c r="E50" t="str">
        <f>_xlfn.LET(
  _xlpm.result, _xlfn.XLOOKUP($B50, Result_Database!$A$2:$A$500, Result_Database!D$2:D$500),
  _xlfn.IFNA(_xlpm.result, "")
)</f>
        <v/>
      </c>
      <c r="F50" t="str">
        <f>_xlfn.LET(
  _xlpm.result, _xlfn.XLOOKUP($B50, Result_Database!$A$2:$A$500, Result_Database!E$2:E$500),
  _xlfn.IFNA(_xlpm.result, "")
)</f>
        <v/>
      </c>
      <c r="G50" t="str">
        <f>_xlfn.LET(
  _xlpm.result, _xlfn.XLOOKUP($B50, Result_Database!$A$2:$A$500, Result_Database!F$2:F$500),
  _xlfn.IFNA(_xlpm.result, "")
)</f>
        <v/>
      </c>
      <c r="H50" t="str">
        <f>_xlfn.LET(
  _xlpm.result, _xlfn.XLOOKUP($B50, Result_Database!$A$2:$A$500, Result_Database!G$2:G$500),
  _xlfn.IFNA(_xlpm.result, "")
)</f>
        <v/>
      </c>
      <c r="I50" t="str">
        <f>_xlfn.LET(
  _xlpm.result, _xlfn.XLOOKUP($B50, Result_Database!$A$2:$A$500, Result_Database!H$2:H$500),
  _xlfn.IFNA(_xlpm.result, "")
)</f>
        <v/>
      </c>
      <c r="J50" t="str">
        <f>_xlfn.LET(
  _xlpm.result, _xlfn.XLOOKUP($B50, Result_Database!$A$2:$A$500, Result_Database!I$2:I$500),
  _xlfn.IFNA(_xlpm.result, "")
)</f>
        <v/>
      </c>
      <c r="K50" t="str">
        <f>_xlfn.LET(
  _xlpm.result, _xlfn.XLOOKUP($B50, Result_Database!$A$2:$A$500, Result_Database!J$2:J$500),
  _xlfn.IFNA(_xlpm.result, "")
)</f>
        <v/>
      </c>
      <c r="L50" t="str">
        <f>_xlfn.LET(
  _xlpm.result, _xlfn.XLOOKUP($B50, Result_Database!$A$2:$A$500, Result_Database!K$2:K$500),
  _xlfn.IFNA(_xlpm.result, "")
)</f>
        <v/>
      </c>
      <c r="M50" t="str">
        <f>_xlfn.LET(
  _xlpm.result, _xlfn.XLOOKUP($B50, Result_Database!$A$2:$A$500, Result_Database!L$2:L$500),
  _xlfn.IFNA(_xlpm.result, "")
)</f>
        <v/>
      </c>
      <c r="N50" t="str">
        <f>_xlfn.LET(
  _xlpm.result, _xlfn.XLOOKUP($B50, Result_Database!$A$2:$A$500, Result_Database!M$2:M$500),
  _xlfn.IFNA(_xlpm.result, "")
)</f>
        <v/>
      </c>
      <c r="O50" t="str">
        <f>_xlfn.LET(
  _xlpm.result, _xlfn.XLOOKUP($B50, Result_Database!$A$2:$A$500, Result_Database!N$2:N$500),
  _xlfn.IFNA(_xlpm.result, "")
)</f>
        <v/>
      </c>
      <c r="P50" t="str">
        <f>_xlfn.LET(
  _xlpm.result, _xlfn.XLOOKUP($B50, Result_Database!$A$2:$A$500, Result_Database!O$2:O$500),
  _xlfn.IFNA(_xlpm.result, "")
)</f>
        <v/>
      </c>
      <c r="Q50" t="str">
        <f>_xlfn.LET(
  _xlpm.result, _xlfn.XLOOKUP($B50, Result_Database!$A$2:$A$500, Result_Database!P$2:P$500),
  _xlfn.IFNA(_xlpm.result, "")
)</f>
        <v/>
      </c>
      <c r="R50" t="str">
        <f>_xlfn.LET(
  _xlpm.result, _xlfn.XLOOKUP($B50, Result_Database!$A$2:$A$500, Result_Database!Q$2:Q$500),
  _xlfn.IFNA(_xlpm.result, "")
)</f>
        <v/>
      </c>
      <c r="S50" t="str">
        <f>_xlfn.LET(
  _xlpm.result, _xlfn.XLOOKUP($B50, Result_Database!$A$2:$A$500, Result_Database!R$2:R$500),
  _xlfn.IFNA(_xlpm.result, "")
)</f>
        <v/>
      </c>
      <c r="T50" t="str">
        <f>_xlfn.LET(
  _xlpm.result, _xlfn.XLOOKUP($B50, Result_Database!$A$2:$A$500, Result_Database!S$2:S$500),
  _xlfn.IFNA(_xlpm.result, "")
)</f>
        <v/>
      </c>
      <c r="U50" t="str">
        <f>_xlfn.LET(
  _xlpm.result, _xlfn.XLOOKUP($B50, Result_Database!$A$2:$A$500, Result_Database!T$2:T$500),
  _xlfn.IFNA(_xlpm.result, "")
)</f>
        <v/>
      </c>
      <c r="V50" t="str">
        <f>_xlfn.LET(
  _xlpm.result, _xlfn.XLOOKUP($B50, Result_Database!$A$2:$A$500, Result_Database!U$2:U$500),
  _xlfn.IFNA(_xlpm.result, "")
)</f>
        <v/>
      </c>
      <c r="W50" t="str">
        <f>_xlfn.LET(
  _xlpm.result, _xlfn.XLOOKUP($B50, Result_Database!$A$2:$A$500, Result_Database!V$2:V$500),
  _xlfn.IFNA(_xlpm.result, "")
)</f>
        <v/>
      </c>
      <c r="X50" t="str">
        <f>_xlfn.LET(
  _xlpm.result, _xlfn.XLOOKUP($B50, Result_Database!$A$2:$A$500, Result_Database!W$2:W$500),
  _xlfn.IFNA(_xlpm.result, "")
)</f>
        <v/>
      </c>
      <c r="Y50" t="str">
        <f>_xlfn.LET(
  _xlpm.result, _xlfn.XLOOKUP($B50, Result_Database!$A$2:$A$500, Result_Database!X$2:X$500),
  _xlfn.IFNA(_xlpm.result, "")
)</f>
        <v/>
      </c>
      <c r="Z50" t="str">
        <f>_xlfn.LET(
  _xlpm.result, _xlfn.XLOOKUP($B50, Result_Database!$A$2:$A$500, Result_Database!Y$2:Y$500),
  _xlfn.IFNA(_xlpm.result, "")
)</f>
        <v/>
      </c>
      <c r="AA50" t="str">
        <f>_xlfn.LET(
  _xlpm.result, _xlfn.XLOOKUP($B50, Result_Database!$A$2:$A$500, Result_Database!Z$2:Z$500),
  _xlfn.IFNA(_xlpm.result, "")
)</f>
        <v/>
      </c>
      <c r="AB50" t="str">
        <f>_xlfn.LET(
  _xlpm.result, _xlfn.XLOOKUP($B50, Result_Database!$A$2:$A$500, Result_Database!AA$2:AA$500),
  _xlfn.IFNA(_xlpm.result, "")
)</f>
        <v/>
      </c>
      <c r="AC50" t="str">
        <f>_xlfn.LET(
  _xlpm.result, _xlfn.XLOOKUP($B50, Result_Database!$A$2:$A$500, Result_Database!AB$2:AB$500),
  _xlfn.IFNA(_xlpm.result, "")
)</f>
        <v/>
      </c>
      <c r="AD50" t="str">
        <f>_xlfn.LET(
  _xlpm.result, _xlfn.XLOOKUP($B50, Result_Database!$A$2:$A$500, Result_Database!AC$2:AC$500),
  _xlfn.IFNA(_xlpm.result, "")
)</f>
        <v/>
      </c>
      <c r="AE50" t="str">
        <f>_xlfn.LET(
  _xlpm.result, _xlfn.XLOOKUP($B50, Result_Database!$A$2:$A$500, Result_Database!AD$2:AD$500),
  _xlfn.IFNA(_xlpm.result, "")
)</f>
        <v/>
      </c>
      <c r="AF50" t="str">
        <f>_xlfn.LET(
  _xlpm.result, _xlfn.XLOOKUP($B50, Result_Database!$A$2:$A$500, Result_Database!AE$2:AE$500),
  _xlfn.IFNA(_xlpm.result, "")
)</f>
        <v/>
      </c>
      <c r="AG50" t="str">
        <f>_xlfn.LET(
  _xlpm.result, _xlfn.XLOOKUP($B50, Result_Database!$A$2:$A$500, Result_Database!AF$2:AF$500),
  _xlfn.IFNA(_xlpm.result, "")
)</f>
        <v/>
      </c>
      <c r="AH50" t="str">
        <f>_xlfn.LET(
  _xlpm.result, _xlfn.XLOOKUP($B50, Result_Database!$A$2:$A$500, Result_Database!AG$2:AG$500),
  _xlfn.IFNA(_xlpm.result, "")
)</f>
        <v/>
      </c>
      <c r="AI50" t="str">
        <f>_xlfn.LET(
  _xlpm.result, _xlfn.XLOOKUP($B50, Result_Database!$A$2:$A$500, Result_Database!AH$2:AH$500),
  _xlfn.IFNA(_xlpm.result, "")
)</f>
        <v/>
      </c>
      <c r="AJ50" t="str">
        <f>_xlfn.LET(
  _xlpm.result, _xlfn.XLOOKUP($B50, Result_Database!$A$2:$A$500, Result_Database!AI$2:AI$500),
  _xlfn.IFNA(_xlpm.result, "")
)</f>
        <v/>
      </c>
      <c r="AK50" t="str">
        <f>_xlfn.LET(
  _xlpm.result, _xlfn.XLOOKUP($B50, Result_Database!$A$2:$A$500, Result_Database!AJ$2:AJ$500),
  _xlfn.IFNA(_xlpm.result, "")
)</f>
        <v/>
      </c>
      <c r="AL50" t="str">
        <f>_xlfn.LET(
  _xlpm.result, _xlfn.XLOOKUP($B50, Result_Database!$A$2:$A$500, Result_Database!AK$2:AK$500),
  _xlfn.IFNA(_xlpm.result, "")
)</f>
        <v/>
      </c>
      <c r="AM5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5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5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5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5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5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5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5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5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50" t="str">
        <f>IF(SUM(Table5[[#This Row],[A1]:[C6]])&lt;&gt;0,SUM(Table5[[#This Row],[A1]:[C6]]),"")</f>
        <v/>
      </c>
      <c r="AW50" t="str">
        <f>IF(SUM(Table5[[#This Row],[D7]:[F9]])=0,"",SUM(Table5[[#This Row],[D7]:[F9]]))</f>
        <v/>
      </c>
      <c r="AX5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5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5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5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5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5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50" t="str">
        <f>IF(COUNTIF(Table5[[#This Row],[English Language]:[Electrical/ Electronics]],"WITHHELD")=0,"",COUNTIF(Table5[[#This Row],[English Language]:[Electrical/ Electronics]],"WITHHELD"))</f>
        <v/>
      </c>
      <c r="BE50" t="str">
        <f>IF(SUM(Table5[[#This Row],[NO OF CREDITS]:[BELOW CREDITS]])=0,"",SUM(Table5[[#This Row],[NO OF CREDITS]:[BELOW CREDITS]]))</f>
        <v/>
      </c>
    </row>
    <row r="51" spans="1:57" x14ac:dyDescent="0.3">
      <c r="A51" t="str">
        <f>IF(B51&lt;&gt;"",COUNTA($B$6:B51),"")</f>
        <v/>
      </c>
      <c r="B51" t="str">
        <f>IF(Result_Database!A47="","",Result_Database!A47)</f>
        <v/>
      </c>
      <c r="C51" t="str">
        <f>_xlfn.LET(
_xlpm.result,_xlfn.XLOOKUP($B51,Result_Database!$A$2:$A$500,Result_Database!$B$2:$B$500),
_xlfn.IFNA(_xlpm.result,"")
)</f>
        <v/>
      </c>
      <c r="D51" t="str">
        <f>_xlfn.LET(
  _xlpm.result, _xlfn.XLOOKUP($B51, Result_Database!$A$2:$A$500, Result_Database!C$2:C$500),
  _xlfn.IFNA(_xlpm.result, "")
)</f>
        <v/>
      </c>
      <c r="E51" t="str">
        <f>_xlfn.LET(
  _xlpm.result, _xlfn.XLOOKUP($B51, Result_Database!$A$2:$A$500, Result_Database!D$2:D$500),
  _xlfn.IFNA(_xlpm.result, "")
)</f>
        <v/>
      </c>
      <c r="F51" t="str">
        <f>_xlfn.LET(
  _xlpm.result, _xlfn.XLOOKUP($B51, Result_Database!$A$2:$A$500, Result_Database!E$2:E$500),
  _xlfn.IFNA(_xlpm.result, "")
)</f>
        <v/>
      </c>
      <c r="G51" t="str">
        <f>_xlfn.LET(
  _xlpm.result, _xlfn.XLOOKUP($B51, Result_Database!$A$2:$A$500, Result_Database!F$2:F$500),
  _xlfn.IFNA(_xlpm.result, "")
)</f>
        <v/>
      </c>
      <c r="H51" t="str">
        <f>_xlfn.LET(
  _xlpm.result, _xlfn.XLOOKUP($B51, Result_Database!$A$2:$A$500, Result_Database!G$2:G$500),
  _xlfn.IFNA(_xlpm.result, "")
)</f>
        <v/>
      </c>
      <c r="I51" t="str">
        <f>_xlfn.LET(
  _xlpm.result, _xlfn.XLOOKUP($B51, Result_Database!$A$2:$A$500, Result_Database!H$2:H$500),
  _xlfn.IFNA(_xlpm.result, "")
)</f>
        <v/>
      </c>
      <c r="J51" t="str">
        <f>_xlfn.LET(
  _xlpm.result, _xlfn.XLOOKUP($B51, Result_Database!$A$2:$A$500, Result_Database!I$2:I$500),
  _xlfn.IFNA(_xlpm.result, "")
)</f>
        <v/>
      </c>
      <c r="K51" t="str">
        <f>_xlfn.LET(
  _xlpm.result, _xlfn.XLOOKUP($B51, Result_Database!$A$2:$A$500, Result_Database!J$2:J$500),
  _xlfn.IFNA(_xlpm.result, "")
)</f>
        <v/>
      </c>
      <c r="L51" t="str">
        <f>_xlfn.LET(
  _xlpm.result, _xlfn.XLOOKUP($B51, Result_Database!$A$2:$A$500, Result_Database!K$2:K$500),
  _xlfn.IFNA(_xlpm.result, "")
)</f>
        <v/>
      </c>
      <c r="M51" t="str">
        <f>_xlfn.LET(
  _xlpm.result, _xlfn.XLOOKUP($B51, Result_Database!$A$2:$A$500, Result_Database!L$2:L$500),
  _xlfn.IFNA(_xlpm.result, "")
)</f>
        <v/>
      </c>
      <c r="N51" t="str">
        <f>_xlfn.LET(
  _xlpm.result, _xlfn.XLOOKUP($B51, Result_Database!$A$2:$A$500, Result_Database!M$2:M$500),
  _xlfn.IFNA(_xlpm.result, "")
)</f>
        <v/>
      </c>
      <c r="O51" t="str">
        <f>_xlfn.LET(
  _xlpm.result, _xlfn.XLOOKUP($B51, Result_Database!$A$2:$A$500, Result_Database!N$2:N$500),
  _xlfn.IFNA(_xlpm.result, "")
)</f>
        <v/>
      </c>
      <c r="P51" t="str">
        <f>_xlfn.LET(
  _xlpm.result, _xlfn.XLOOKUP($B51, Result_Database!$A$2:$A$500, Result_Database!O$2:O$500),
  _xlfn.IFNA(_xlpm.result, "")
)</f>
        <v/>
      </c>
      <c r="Q51" t="str">
        <f>_xlfn.LET(
  _xlpm.result, _xlfn.XLOOKUP($B51, Result_Database!$A$2:$A$500, Result_Database!P$2:P$500),
  _xlfn.IFNA(_xlpm.result, "")
)</f>
        <v/>
      </c>
      <c r="R51" t="str">
        <f>_xlfn.LET(
  _xlpm.result, _xlfn.XLOOKUP($B51, Result_Database!$A$2:$A$500, Result_Database!Q$2:Q$500),
  _xlfn.IFNA(_xlpm.result, "")
)</f>
        <v/>
      </c>
      <c r="S51" t="str">
        <f>_xlfn.LET(
  _xlpm.result, _xlfn.XLOOKUP($B51, Result_Database!$A$2:$A$500, Result_Database!R$2:R$500),
  _xlfn.IFNA(_xlpm.result, "")
)</f>
        <v/>
      </c>
      <c r="T51" t="str">
        <f>_xlfn.LET(
  _xlpm.result, _xlfn.XLOOKUP($B51, Result_Database!$A$2:$A$500, Result_Database!S$2:S$500),
  _xlfn.IFNA(_xlpm.result, "")
)</f>
        <v/>
      </c>
      <c r="U51" t="str">
        <f>_xlfn.LET(
  _xlpm.result, _xlfn.XLOOKUP($B51, Result_Database!$A$2:$A$500, Result_Database!T$2:T$500),
  _xlfn.IFNA(_xlpm.result, "")
)</f>
        <v/>
      </c>
      <c r="V51" t="str">
        <f>_xlfn.LET(
  _xlpm.result, _xlfn.XLOOKUP($B51, Result_Database!$A$2:$A$500, Result_Database!U$2:U$500),
  _xlfn.IFNA(_xlpm.result, "")
)</f>
        <v/>
      </c>
      <c r="W51" t="str">
        <f>_xlfn.LET(
  _xlpm.result, _xlfn.XLOOKUP($B51, Result_Database!$A$2:$A$500, Result_Database!V$2:V$500),
  _xlfn.IFNA(_xlpm.result, "")
)</f>
        <v/>
      </c>
      <c r="X51" t="str">
        <f>_xlfn.LET(
  _xlpm.result, _xlfn.XLOOKUP($B51, Result_Database!$A$2:$A$500, Result_Database!W$2:W$500),
  _xlfn.IFNA(_xlpm.result, "")
)</f>
        <v/>
      </c>
      <c r="Y51" t="str">
        <f>_xlfn.LET(
  _xlpm.result, _xlfn.XLOOKUP($B51, Result_Database!$A$2:$A$500, Result_Database!X$2:X$500),
  _xlfn.IFNA(_xlpm.result, "")
)</f>
        <v/>
      </c>
      <c r="Z51" t="str">
        <f>_xlfn.LET(
  _xlpm.result, _xlfn.XLOOKUP($B51, Result_Database!$A$2:$A$500, Result_Database!Y$2:Y$500),
  _xlfn.IFNA(_xlpm.result, "")
)</f>
        <v/>
      </c>
      <c r="AA51" t="str">
        <f>_xlfn.LET(
  _xlpm.result, _xlfn.XLOOKUP($B51, Result_Database!$A$2:$A$500, Result_Database!Z$2:Z$500),
  _xlfn.IFNA(_xlpm.result, "")
)</f>
        <v/>
      </c>
      <c r="AB51" t="str">
        <f>_xlfn.LET(
  _xlpm.result, _xlfn.XLOOKUP($B51, Result_Database!$A$2:$A$500, Result_Database!AA$2:AA$500),
  _xlfn.IFNA(_xlpm.result, "")
)</f>
        <v/>
      </c>
      <c r="AC51" t="str">
        <f>_xlfn.LET(
  _xlpm.result, _xlfn.XLOOKUP($B51, Result_Database!$A$2:$A$500, Result_Database!AB$2:AB$500),
  _xlfn.IFNA(_xlpm.result, "")
)</f>
        <v/>
      </c>
      <c r="AD51" t="str">
        <f>_xlfn.LET(
  _xlpm.result, _xlfn.XLOOKUP($B51, Result_Database!$A$2:$A$500, Result_Database!AC$2:AC$500),
  _xlfn.IFNA(_xlpm.result, "")
)</f>
        <v/>
      </c>
      <c r="AE51" t="str">
        <f>_xlfn.LET(
  _xlpm.result, _xlfn.XLOOKUP($B51, Result_Database!$A$2:$A$500, Result_Database!AD$2:AD$500),
  _xlfn.IFNA(_xlpm.result, "")
)</f>
        <v/>
      </c>
      <c r="AF51" t="str">
        <f>_xlfn.LET(
  _xlpm.result, _xlfn.XLOOKUP($B51, Result_Database!$A$2:$A$500, Result_Database!AE$2:AE$500),
  _xlfn.IFNA(_xlpm.result, "")
)</f>
        <v/>
      </c>
      <c r="AG51" t="str">
        <f>_xlfn.LET(
  _xlpm.result, _xlfn.XLOOKUP($B51, Result_Database!$A$2:$A$500, Result_Database!AF$2:AF$500),
  _xlfn.IFNA(_xlpm.result, "")
)</f>
        <v/>
      </c>
      <c r="AH51" t="str">
        <f>_xlfn.LET(
  _xlpm.result, _xlfn.XLOOKUP($B51, Result_Database!$A$2:$A$500, Result_Database!AG$2:AG$500),
  _xlfn.IFNA(_xlpm.result, "")
)</f>
        <v/>
      </c>
      <c r="AI51" t="str">
        <f>_xlfn.LET(
  _xlpm.result, _xlfn.XLOOKUP($B51, Result_Database!$A$2:$A$500, Result_Database!AH$2:AH$500),
  _xlfn.IFNA(_xlpm.result, "")
)</f>
        <v/>
      </c>
      <c r="AJ51" t="str">
        <f>_xlfn.LET(
  _xlpm.result, _xlfn.XLOOKUP($B51, Result_Database!$A$2:$A$500, Result_Database!AI$2:AI$500),
  _xlfn.IFNA(_xlpm.result, "")
)</f>
        <v/>
      </c>
      <c r="AK51" t="str">
        <f>_xlfn.LET(
  _xlpm.result, _xlfn.XLOOKUP($B51, Result_Database!$A$2:$A$500, Result_Database!AJ$2:AJ$500),
  _xlfn.IFNA(_xlpm.result, "")
)</f>
        <v/>
      </c>
      <c r="AL51" t="str">
        <f>_xlfn.LET(
  _xlpm.result, _xlfn.XLOOKUP($B51, Result_Database!$A$2:$A$500, Result_Database!AK$2:AK$500),
  _xlfn.IFNA(_xlpm.result, "")
)</f>
        <v/>
      </c>
      <c r="AM5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5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5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5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5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5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5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5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5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51" t="str">
        <f>IF(SUM(Table5[[#This Row],[A1]:[C6]])&lt;&gt;0,SUM(Table5[[#This Row],[A1]:[C6]]),"")</f>
        <v/>
      </c>
      <c r="AW51" t="str">
        <f>IF(SUM(Table5[[#This Row],[D7]:[F9]])=0,"",SUM(Table5[[#This Row],[D7]:[F9]]))</f>
        <v/>
      </c>
      <c r="AX5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5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5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5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5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5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51" t="str">
        <f>IF(COUNTIF(Table5[[#This Row],[English Language]:[Electrical/ Electronics]],"WITHHELD")=0,"",COUNTIF(Table5[[#This Row],[English Language]:[Electrical/ Electronics]],"WITHHELD"))</f>
        <v/>
      </c>
      <c r="BE51" t="str">
        <f>IF(SUM(Table5[[#This Row],[NO OF CREDITS]:[BELOW CREDITS]])=0,"",SUM(Table5[[#This Row],[NO OF CREDITS]:[BELOW CREDITS]]))</f>
        <v/>
      </c>
    </row>
    <row r="52" spans="1:57" x14ac:dyDescent="0.3">
      <c r="A52" t="str">
        <f>IF(B52&lt;&gt;"",COUNTA($B$6:B52),"")</f>
        <v/>
      </c>
      <c r="B52" t="str">
        <f>IF(Result_Database!A48="","",Result_Database!A48)</f>
        <v/>
      </c>
      <c r="C52" t="str">
        <f>_xlfn.LET(
_xlpm.result,_xlfn.XLOOKUP($B52,Result_Database!$A$2:$A$500,Result_Database!$B$2:$B$500),
_xlfn.IFNA(_xlpm.result,"")
)</f>
        <v/>
      </c>
      <c r="D52" t="str">
        <f>_xlfn.LET(
  _xlpm.result, _xlfn.XLOOKUP($B52, Result_Database!$A$2:$A$500, Result_Database!C$2:C$500),
  _xlfn.IFNA(_xlpm.result, "")
)</f>
        <v/>
      </c>
      <c r="E52" t="str">
        <f>_xlfn.LET(
  _xlpm.result, _xlfn.XLOOKUP($B52, Result_Database!$A$2:$A$500, Result_Database!D$2:D$500),
  _xlfn.IFNA(_xlpm.result, "")
)</f>
        <v/>
      </c>
      <c r="F52" t="str">
        <f>_xlfn.LET(
  _xlpm.result, _xlfn.XLOOKUP($B52, Result_Database!$A$2:$A$500, Result_Database!E$2:E$500),
  _xlfn.IFNA(_xlpm.result, "")
)</f>
        <v/>
      </c>
      <c r="G52" t="str">
        <f>_xlfn.LET(
  _xlpm.result, _xlfn.XLOOKUP($B52, Result_Database!$A$2:$A$500, Result_Database!F$2:F$500),
  _xlfn.IFNA(_xlpm.result, "")
)</f>
        <v/>
      </c>
      <c r="H52" t="str">
        <f>_xlfn.LET(
  _xlpm.result, _xlfn.XLOOKUP($B52, Result_Database!$A$2:$A$500, Result_Database!G$2:G$500),
  _xlfn.IFNA(_xlpm.result, "")
)</f>
        <v/>
      </c>
      <c r="I52" t="str">
        <f>_xlfn.LET(
  _xlpm.result, _xlfn.XLOOKUP($B52, Result_Database!$A$2:$A$500, Result_Database!H$2:H$500),
  _xlfn.IFNA(_xlpm.result, "")
)</f>
        <v/>
      </c>
      <c r="J52" t="str">
        <f>_xlfn.LET(
  _xlpm.result, _xlfn.XLOOKUP($B52, Result_Database!$A$2:$A$500, Result_Database!I$2:I$500),
  _xlfn.IFNA(_xlpm.result, "")
)</f>
        <v/>
      </c>
      <c r="K52" t="str">
        <f>_xlfn.LET(
  _xlpm.result, _xlfn.XLOOKUP($B52, Result_Database!$A$2:$A$500, Result_Database!J$2:J$500),
  _xlfn.IFNA(_xlpm.result, "")
)</f>
        <v/>
      </c>
      <c r="L52" t="str">
        <f>_xlfn.LET(
  _xlpm.result, _xlfn.XLOOKUP($B52, Result_Database!$A$2:$A$500, Result_Database!K$2:K$500),
  _xlfn.IFNA(_xlpm.result, "")
)</f>
        <v/>
      </c>
      <c r="M52" t="str">
        <f>_xlfn.LET(
  _xlpm.result, _xlfn.XLOOKUP($B52, Result_Database!$A$2:$A$500, Result_Database!L$2:L$500),
  _xlfn.IFNA(_xlpm.result, "")
)</f>
        <v/>
      </c>
      <c r="N52" t="str">
        <f>_xlfn.LET(
  _xlpm.result, _xlfn.XLOOKUP($B52, Result_Database!$A$2:$A$500, Result_Database!M$2:M$500),
  _xlfn.IFNA(_xlpm.result, "")
)</f>
        <v/>
      </c>
      <c r="O52" t="str">
        <f>_xlfn.LET(
  _xlpm.result, _xlfn.XLOOKUP($B52, Result_Database!$A$2:$A$500, Result_Database!N$2:N$500),
  _xlfn.IFNA(_xlpm.result, "")
)</f>
        <v/>
      </c>
      <c r="P52" t="str">
        <f>_xlfn.LET(
  _xlpm.result, _xlfn.XLOOKUP($B52, Result_Database!$A$2:$A$500, Result_Database!O$2:O$500),
  _xlfn.IFNA(_xlpm.result, "")
)</f>
        <v/>
      </c>
      <c r="Q52" t="str">
        <f>_xlfn.LET(
  _xlpm.result, _xlfn.XLOOKUP($B52, Result_Database!$A$2:$A$500, Result_Database!P$2:P$500),
  _xlfn.IFNA(_xlpm.result, "")
)</f>
        <v/>
      </c>
      <c r="R52" t="str">
        <f>_xlfn.LET(
  _xlpm.result, _xlfn.XLOOKUP($B52, Result_Database!$A$2:$A$500, Result_Database!Q$2:Q$500),
  _xlfn.IFNA(_xlpm.result, "")
)</f>
        <v/>
      </c>
      <c r="S52" t="str">
        <f>_xlfn.LET(
  _xlpm.result, _xlfn.XLOOKUP($B52, Result_Database!$A$2:$A$500, Result_Database!R$2:R$500),
  _xlfn.IFNA(_xlpm.result, "")
)</f>
        <v/>
      </c>
      <c r="T52" t="str">
        <f>_xlfn.LET(
  _xlpm.result, _xlfn.XLOOKUP($B52, Result_Database!$A$2:$A$500, Result_Database!S$2:S$500),
  _xlfn.IFNA(_xlpm.result, "")
)</f>
        <v/>
      </c>
      <c r="U52" t="str">
        <f>_xlfn.LET(
  _xlpm.result, _xlfn.XLOOKUP($B52, Result_Database!$A$2:$A$500, Result_Database!T$2:T$500),
  _xlfn.IFNA(_xlpm.result, "")
)</f>
        <v/>
      </c>
      <c r="V52" t="str">
        <f>_xlfn.LET(
  _xlpm.result, _xlfn.XLOOKUP($B52, Result_Database!$A$2:$A$500, Result_Database!U$2:U$500),
  _xlfn.IFNA(_xlpm.result, "")
)</f>
        <v/>
      </c>
      <c r="W52" t="str">
        <f>_xlfn.LET(
  _xlpm.result, _xlfn.XLOOKUP($B52, Result_Database!$A$2:$A$500, Result_Database!V$2:V$500),
  _xlfn.IFNA(_xlpm.result, "")
)</f>
        <v/>
      </c>
      <c r="X52" t="str">
        <f>_xlfn.LET(
  _xlpm.result, _xlfn.XLOOKUP($B52, Result_Database!$A$2:$A$500, Result_Database!W$2:W$500),
  _xlfn.IFNA(_xlpm.result, "")
)</f>
        <v/>
      </c>
      <c r="Y52" t="str">
        <f>_xlfn.LET(
  _xlpm.result, _xlfn.XLOOKUP($B52, Result_Database!$A$2:$A$500, Result_Database!X$2:X$500),
  _xlfn.IFNA(_xlpm.result, "")
)</f>
        <v/>
      </c>
      <c r="Z52" t="str">
        <f>_xlfn.LET(
  _xlpm.result, _xlfn.XLOOKUP($B52, Result_Database!$A$2:$A$500, Result_Database!Y$2:Y$500),
  _xlfn.IFNA(_xlpm.result, "")
)</f>
        <v/>
      </c>
      <c r="AA52" t="str">
        <f>_xlfn.LET(
  _xlpm.result, _xlfn.XLOOKUP($B52, Result_Database!$A$2:$A$500, Result_Database!Z$2:Z$500),
  _xlfn.IFNA(_xlpm.result, "")
)</f>
        <v/>
      </c>
      <c r="AB52" t="str">
        <f>_xlfn.LET(
  _xlpm.result, _xlfn.XLOOKUP($B52, Result_Database!$A$2:$A$500, Result_Database!AA$2:AA$500),
  _xlfn.IFNA(_xlpm.result, "")
)</f>
        <v/>
      </c>
      <c r="AC52" t="str">
        <f>_xlfn.LET(
  _xlpm.result, _xlfn.XLOOKUP($B52, Result_Database!$A$2:$A$500, Result_Database!AB$2:AB$500),
  _xlfn.IFNA(_xlpm.result, "")
)</f>
        <v/>
      </c>
      <c r="AD52" t="str">
        <f>_xlfn.LET(
  _xlpm.result, _xlfn.XLOOKUP($B52, Result_Database!$A$2:$A$500, Result_Database!AC$2:AC$500),
  _xlfn.IFNA(_xlpm.result, "")
)</f>
        <v/>
      </c>
      <c r="AE52" t="str">
        <f>_xlfn.LET(
  _xlpm.result, _xlfn.XLOOKUP($B52, Result_Database!$A$2:$A$500, Result_Database!AD$2:AD$500),
  _xlfn.IFNA(_xlpm.result, "")
)</f>
        <v/>
      </c>
      <c r="AF52" t="str">
        <f>_xlfn.LET(
  _xlpm.result, _xlfn.XLOOKUP($B52, Result_Database!$A$2:$A$500, Result_Database!AE$2:AE$500),
  _xlfn.IFNA(_xlpm.result, "")
)</f>
        <v/>
      </c>
      <c r="AG52" t="str">
        <f>_xlfn.LET(
  _xlpm.result, _xlfn.XLOOKUP($B52, Result_Database!$A$2:$A$500, Result_Database!AF$2:AF$500),
  _xlfn.IFNA(_xlpm.result, "")
)</f>
        <v/>
      </c>
      <c r="AH52" t="str">
        <f>_xlfn.LET(
  _xlpm.result, _xlfn.XLOOKUP($B52, Result_Database!$A$2:$A$500, Result_Database!AG$2:AG$500),
  _xlfn.IFNA(_xlpm.result, "")
)</f>
        <v/>
      </c>
      <c r="AI52" t="str">
        <f>_xlfn.LET(
  _xlpm.result, _xlfn.XLOOKUP($B52, Result_Database!$A$2:$A$500, Result_Database!AH$2:AH$500),
  _xlfn.IFNA(_xlpm.result, "")
)</f>
        <v/>
      </c>
      <c r="AJ52" t="str">
        <f>_xlfn.LET(
  _xlpm.result, _xlfn.XLOOKUP($B52, Result_Database!$A$2:$A$500, Result_Database!AI$2:AI$500),
  _xlfn.IFNA(_xlpm.result, "")
)</f>
        <v/>
      </c>
      <c r="AK52" t="str">
        <f>_xlfn.LET(
  _xlpm.result, _xlfn.XLOOKUP($B52, Result_Database!$A$2:$A$500, Result_Database!AJ$2:AJ$500),
  _xlfn.IFNA(_xlpm.result, "")
)</f>
        <v/>
      </c>
      <c r="AL52" t="str">
        <f>_xlfn.LET(
  _xlpm.result, _xlfn.XLOOKUP($B52, Result_Database!$A$2:$A$500, Result_Database!AK$2:AK$500),
  _xlfn.IFNA(_xlpm.result, "")
)</f>
        <v/>
      </c>
      <c r="AM5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5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5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5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5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5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5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5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5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52" t="str">
        <f>IF(SUM(Table5[[#This Row],[A1]:[C6]])&lt;&gt;0,SUM(Table5[[#This Row],[A1]:[C6]]),"")</f>
        <v/>
      </c>
      <c r="AW52" t="str">
        <f>IF(SUM(Table5[[#This Row],[D7]:[F9]])=0,"",SUM(Table5[[#This Row],[D7]:[F9]]))</f>
        <v/>
      </c>
      <c r="AX5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5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5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5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5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5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52" t="str">
        <f>IF(COUNTIF(Table5[[#This Row],[English Language]:[Electrical/ Electronics]],"WITHHELD")=0,"",COUNTIF(Table5[[#This Row],[English Language]:[Electrical/ Electronics]],"WITHHELD"))</f>
        <v/>
      </c>
      <c r="BE52" t="str">
        <f>IF(SUM(Table5[[#This Row],[NO OF CREDITS]:[BELOW CREDITS]])=0,"",SUM(Table5[[#This Row],[NO OF CREDITS]:[BELOW CREDITS]]))</f>
        <v/>
      </c>
    </row>
    <row r="53" spans="1:57" x14ac:dyDescent="0.3">
      <c r="A53" t="str">
        <f>IF(B53&lt;&gt;"",COUNTA($B$6:B53),"")</f>
        <v/>
      </c>
      <c r="B53" t="str">
        <f>IF(Result_Database!A49="","",Result_Database!A49)</f>
        <v/>
      </c>
      <c r="C53" t="str">
        <f>_xlfn.LET(
_xlpm.result,_xlfn.XLOOKUP($B53,Result_Database!$A$2:$A$500,Result_Database!$B$2:$B$500),
_xlfn.IFNA(_xlpm.result,"")
)</f>
        <v/>
      </c>
      <c r="D53" t="str">
        <f>_xlfn.LET(
  _xlpm.result, _xlfn.XLOOKUP($B53, Result_Database!$A$2:$A$500, Result_Database!C$2:C$500),
  _xlfn.IFNA(_xlpm.result, "")
)</f>
        <v/>
      </c>
      <c r="E53" t="str">
        <f>_xlfn.LET(
  _xlpm.result, _xlfn.XLOOKUP($B53, Result_Database!$A$2:$A$500, Result_Database!D$2:D$500),
  _xlfn.IFNA(_xlpm.result, "")
)</f>
        <v/>
      </c>
      <c r="F53" t="str">
        <f>_xlfn.LET(
  _xlpm.result, _xlfn.XLOOKUP($B53, Result_Database!$A$2:$A$500, Result_Database!E$2:E$500),
  _xlfn.IFNA(_xlpm.result, "")
)</f>
        <v/>
      </c>
      <c r="G53" t="str">
        <f>_xlfn.LET(
  _xlpm.result, _xlfn.XLOOKUP($B53, Result_Database!$A$2:$A$500, Result_Database!F$2:F$500),
  _xlfn.IFNA(_xlpm.result, "")
)</f>
        <v/>
      </c>
      <c r="H53" t="str">
        <f>_xlfn.LET(
  _xlpm.result, _xlfn.XLOOKUP($B53, Result_Database!$A$2:$A$500, Result_Database!G$2:G$500),
  _xlfn.IFNA(_xlpm.result, "")
)</f>
        <v/>
      </c>
      <c r="I53" t="str">
        <f>_xlfn.LET(
  _xlpm.result, _xlfn.XLOOKUP($B53, Result_Database!$A$2:$A$500, Result_Database!H$2:H$500),
  _xlfn.IFNA(_xlpm.result, "")
)</f>
        <v/>
      </c>
      <c r="J53" t="str">
        <f>_xlfn.LET(
  _xlpm.result, _xlfn.XLOOKUP($B53, Result_Database!$A$2:$A$500, Result_Database!I$2:I$500),
  _xlfn.IFNA(_xlpm.result, "")
)</f>
        <v/>
      </c>
      <c r="K53" t="str">
        <f>_xlfn.LET(
  _xlpm.result, _xlfn.XLOOKUP($B53, Result_Database!$A$2:$A$500, Result_Database!J$2:J$500),
  _xlfn.IFNA(_xlpm.result, "")
)</f>
        <v/>
      </c>
      <c r="L53" t="str">
        <f>_xlfn.LET(
  _xlpm.result, _xlfn.XLOOKUP($B53, Result_Database!$A$2:$A$500, Result_Database!K$2:K$500),
  _xlfn.IFNA(_xlpm.result, "")
)</f>
        <v/>
      </c>
      <c r="M53" t="str">
        <f>_xlfn.LET(
  _xlpm.result, _xlfn.XLOOKUP($B53, Result_Database!$A$2:$A$500, Result_Database!L$2:L$500),
  _xlfn.IFNA(_xlpm.result, "")
)</f>
        <v/>
      </c>
      <c r="N53" t="str">
        <f>_xlfn.LET(
  _xlpm.result, _xlfn.XLOOKUP($B53, Result_Database!$A$2:$A$500, Result_Database!M$2:M$500),
  _xlfn.IFNA(_xlpm.result, "")
)</f>
        <v/>
      </c>
      <c r="O53" t="str">
        <f>_xlfn.LET(
  _xlpm.result, _xlfn.XLOOKUP($B53, Result_Database!$A$2:$A$500, Result_Database!N$2:N$500),
  _xlfn.IFNA(_xlpm.result, "")
)</f>
        <v/>
      </c>
      <c r="P53" t="str">
        <f>_xlfn.LET(
  _xlpm.result, _xlfn.XLOOKUP($B53, Result_Database!$A$2:$A$500, Result_Database!O$2:O$500),
  _xlfn.IFNA(_xlpm.result, "")
)</f>
        <v/>
      </c>
      <c r="Q53" t="str">
        <f>_xlfn.LET(
  _xlpm.result, _xlfn.XLOOKUP($B53, Result_Database!$A$2:$A$500, Result_Database!P$2:P$500),
  _xlfn.IFNA(_xlpm.result, "")
)</f>
        <v/>
      </c>
      <c r="R53" t="str">
        <f>_xlfn.LET(
  _xlpm.result, _xlfn.XLOOKUP($B53, Result_Database!$A$2:$A$500, Result_Database!Q$2:Q$500),
  _xlfn.IFNA(_xlpm.result, "")
)</f>
        <v/>
      </c>
      <c r="S53" t="str">
        <f>_xlfn.LET(
  _xlpm.result, _xlfn.XLOOKUP($B53, Result_Database!$A$2:$A$500, Result_Database!R$2:R$500),
  _xlfn.IFNA(_xlpm.result, "")
)</f>
        <v/>
      </c>
      <c r="T53" t="str">
        <f>_xlfn.LET(
  _xlpm.result, _xlfn.XLOOKUP($B53, Result_Database!$A$2:$A$500, Result_Database!S$2:S$500),
  _xlfn.IFNA(_xlpm.result, "")
)</f>
        <v/>
      </c>
      <c r="U53" t="str">
        <f>_xlfn.LET(
  _xlpm.result, _xlfn.XLOOKUP($B53, Result_Database!$A$2:$A$500, Result_Database!T$2:T$500),
  _xlfn.IFNA(_xlpm.result, "")
)</f>
        <v/>
      </c>
      <c r="V53" t="str">
        <f>_xlfn.LET(
  _xlpm.result, _xlfn.XLOOKUP($B53, Result_Database!$A$2:$A$500, Result_Database!U$2:U$500),
  _xlfn.IFNA(_xlpm.result, "")
)</f>
        <v/>
      </c>
      <c r="W53" t="str">
        <f>_xlfn.LET(
  _xlpm.result, _xlfn.XLOOKUP($B53, Result_Database!$A$2:$A$500, Result_Database!V$2:V$500),
  _xlfn.IFNA(_xlpm.result, "")
)</f>
        <v/>
      </c>
      <c r="X53" t="str">
        <f>_xlfn.LET(
  _xlpm.result, _xlfn.XLOOKUP($B53, Result_Database!$A$2:$A$500, Result_Database!W$2:W$500),
  _xlfn.IFNA(_xlpm.result, "")
)</f>
        <v/>
      </c>
      <c r="Y53" t="str">
        <f>_xlfn.LET(
  _xlpm.result, _xlfn.XLOOKUP($B53, Result_Database!$A$2:$A$500, Result_Database!X$2:X$500),
  _xlfn.IFNA(_xlpm.result, "")
)</f>
        <v/>
      </c>
      <c r="Z53" t="str">
        <f>_xlfn.LET(
  _xlpm.result, _xlfn.XLOOKUP($B53, Result_Database!$A$2:$A$500, Result_Database!Y$2:Y$500),
  _xlfn.IFNA(_xlpm.result, "")
)</f>
        <v/>
      </c>
      <c r="AA53" t="str">
        <f>_xlfn.LET(
  _xlpm.result, _xlfn.XLOOKUP($B53, Result_Database!$A$2:$A$500, Result_Database!Z$2:Z$500),
  _xlfn.IFNA(_xlpm.result, "")
)</f>
        <v/>
      </c>
      <c r="AB53" t="str">
        <f>_xlfn.LET(
  _xlpm.result, _xlfn.XLOOKUP($B53, Result_Database!$A$2:$A$500, Result_Database!AA$2:AA$500),
  _xlfn.IFNA(_xlpm.result, "")
)</f>
        <v/>
      </c>
      <c r="AC53" t="str">
        <f>_xlfn.LET(
  _xlpm.result, _xlfn.XLOOKUP($B53, Result_Database!$A$2:$A$500, Result_Database!AB$2:AB$500),
  _xlfn.IFNA(_xlpm.result, "")
)</f>
        <v/>
      </c>
      <c r="AD53" t="str">
        <f>_xlfn.LET(
  _xlpm.result, _xlfn.XLOOKUP($B53, Result_Database!$A$2:$A$500, Result_Database!AC$2:AC$500),
  _xlfn.IFNA(_xlpm.result, "")
)</f>
        <v/>
      </c>
      <c r="AE53" t="str">
        <f>_xlfn.LET(
  _xlpm.result, _xlfn.XLOOKUP($B53, Result_Database!$A$2:$A$500, Result_Database!AD$2:AD$500),
  _xlfn.IFNA(_xlpm.result, "")
)</f>
        <v/>
      </c>
      <c r="AF53" t="str">
        <f>_xlfn.LET(
  _xlpm.result, _xlfn.XLOOKUP($B53, Result_Database!$A$2:$A$500, Result_Database!AE$2:AE$500),
  _xlfn.IFNA(_xlpm.result, "")
)</f>
        <v/>
      </c>
      <c r="AG53" t="str">
        <f>_xlfn.LET(
  _xlpm.result, _xlfn.XLOOKUP($B53, Result_Database!$A$2:$A$500, Result_Database!AF$2:AF$500),
  _xlfn.IFNA(_xlpm.result, "")
)</f>
        <v/>
      </c>
      <c r="AH53" t="str">
        <f>_xlfn.LET(
  _xlpm.result, _xlfn.XLOOKUP($B53, Result_Database!$A$2:$A$500, Result_Database!AG$2:AG$500),
  _xlfn.IFNA(_xlpm.result, "")
)</f>
        <v/>
      </c>
      <c r="AI53" t="str">
        <f>_xlfn.LET(
  _xlpm.result, _xlfn.XLOOKUP($B53, Result_Database!$A$2:$A$500, Result_Database!AH$2:AH$500),
  _xlfn.IFNA(_xlpm.result, "")
)</f>
        <v/>
      </c>
      <c r="AJ53" t="str">
        <f>_xlfn.LET(
  _xlpm.result, _xlfn.XLOOKUP($B53, Result_Database!$A$2:$A$500, Result_Database!AI$2:AI$500),
  _xlfn.IFNA(_xlpm.result, "")
)</f>
        <v/>
      </c>
      <c r="AK53" t="str">
        <f>_xlfn.LET(
  _xlpm.result, _xlfn.XLOOKUP($B53, Result_Database!$A$2:$A$500, Result_Database!AJ$2:AJ$500),
  _xlfn.IFNA(_xlpm.result, "")
)</f>
        <v/>
      </c>
      <c r="AL53" t="str">
        <f>_xlfn.LET(
  _xlpm.result, _xlfn.XLOOKUP($B53, Result_Database!$A$2:$A$500, Result_Database!AK$2:AK$500),
  _xlfn.IFNA(_xlpm.result, "")
)</f>
        <v/>
      </c>
      <c r="AM5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5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5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5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5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5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5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5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5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53" t="str">
        <f>IF(SUM(Table5[[#This Row],[A1]:[C6]])&lt;&gt;0,SUM(Table5[[#This Row],[A1]:[C6]]),"")</f>
        <v/>
      </c>
      <c r="AW53" t="str">
        <f>IF(SUM(Table5[[#This Row],[D7]:[F9]])=0,"",SUM(Table5[[#This Row],[D7]:[F9]]))</f>
        <v/>
      </c>
      <c r="AX5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5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5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5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5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5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53" t="str">
        <f>IF(COUNTIF(Table5[[#This Row],[English Language]:[Electrical/ Electronics]],"WITHHELD")=0,"",COUNTIF(Table5[[#This Row],[English Language]:[Electrical/ Electronics]],"WITHHELD"))</f>
        <v/>
      </c>
      <c r="BE53" t="str">
        <f>IF(SUM(Table5[[#This Row],[NO OF CREDITS]:[BELOW CREDITS]])=0,"",SUM(Table5[[#This Row],[NO OF CREDITS]:[BELOW CREDITS]]))</f>
        <v/>
      </c>
    </row>
    <row r="54" spans="1:57" x14ac:dyDescent="0.3">
      <c r="A54" t="str">
        <f>IF(B54&lt;&gt;"",COUNTA($B$6:B54),"")</f>
        <v/>
      </c>
      <c r="B54" t="str">
        <f>IF(Result_Database!A50="","",Result_Database!A50)</f>
        <v/>
      </c>
      <c r="C54" t="str">
        <f>_xlfn.LET(
_xlpm.result,_xlfn.XLOOKUP($B54,Result_Database!$A$2:$A$500,Result_Database!$B$2:$B$500),
_xlfn.IFNA(_xlpm.result,"")
)</f>
        <v/>
      </c>
      <c r="D54" t="str">
        <f>_xlfn.LET(
  _xlpm.result, _xlfn.XLOOKUP($B54, Result_Database!$A$2:$A$500, Result_Database!C$2:C$500),
  _xlfn.IFNA(_xlpm.result, "")
)</f>
        <v/>
      </c>
      <c r="E54" t="str">
        <f>_xlfn.LET(
  _xlpm.result, _xlfn.XLOOKUP($B54, Result_Database!$A$2:$A$500, Result_Database!D$2:D$500),
  _xlfn.IFNA(_xlpm.result, "")
)</f>
        <v/>
      </c>
      <c r="F54" t="str">
        <f>_xlfn.LET(
  _xlpm.result, _xlfn.XLOOKUP($B54, Result_Database!$A$2:$A$500, Result_Database!E$2:E$500),
  _xlfn.IFNA(_xlpm.result, "")
)</f>
        <v/>
      </c>
      <c r="G54" t="str">
        <f>_xlfn.LET(
  _xlpm.result, _xlfn.XLOOKUP($B54, Result_Database!$A$2:$A$500, Result_Database!F$2:F$500),
  _xlfn.IFNA(_xlpm.result, "")
)</f>
        <v/>
      </c>
      <c r="H54" t="str">
        <f>_xlfn.LET(
  _xlpm.result, _xlfn.XLOOKUP($B54, Result_Database!$A$2:$A$500, Result_Database!G$2:G$500),
  _xlfn.IFNA(_xlpm.result, "")
)</f>
        <v/>
      </c>
      <c r="I54" t="str">
        <f>_xlfn.LET(
  _xlpm.result, _xlfn.XLOOKUP($B54, Result_Database!$A$2:$A$500, Result_Database!H$2:H$500),
  _xlfn.IFNA(_xlpm.result, "")
)</f>
        <v/>
      </c>
      <c r="J54" t="str">
        <f>_xlfn.LET(
  _xlpm.result, _xlfn.XLOOKUP($B54, Result_Database!$A$2:$A$500, Result_Database!I$2:I$500),
  _xlfn.IFNA(_xlpm.result, "")
)</f>
        <v/>
      </c>
      <c r="K54" t="str">
        <f>_xlfn.LET(
  _xlpm.result, _xlfn.XLOOKUP($B54, Result_Database!$A$2:$A$500, Result_Database!J$2:J$500),
  _xlfn.IFNA(_xlpm.result, "")
)</f>
        <v/>
      </c>
      <c r="L54" t="str">
        <f>_xlfn.LET(
  _xlpm.result, _xlfn.XLOOKUP($B54, Result_Database!$A$2:$A$500, Result_Database!K$2:K$500),
  _xlfn.IFNA(_xlpm.result, "")
)</f>
        <v/>
      </c>
      <c r="M54" t="str">
        <f>_xlfn.LET(
  _xlpm.result, _xlfn.XLOOKUP($B54, Result_Database!$A$2:$A$500, Result_Database!L$2:L$500),
  _xlfn.IFNA(_xlpm.result, "")
)</f>
        <v/>
      </c>
      <c r="N54" t="str">
        <f>_xlfn.LET(
  _xlpm.result, _xlfn.XLOOKUP($B54, Result_Database!$A$2:$A$500, Result_Database!M$2:M$500),
  _xlfn.IFNA(_xlpm.result, "")
)</f>
        <v/>
      </c>
      <c r="O54" t="str">
        <f>_xlfn.LET(
  _xlpm.result, _xlfn.XLOOKUP($B54, Result_Database!$A$2:$A$500, Result_Database!N$2:N$500),
  _xlfn.IFNA(_xlpm.result, "")
)</f>
        <v/>
      </c>
      <c r="P54" t="str">
        <f>_xlfn.LET(
  _xlpm.result, _xlfn.XLOOKUP($B54, Result_Database!$A$2:$A$500, Result_Database!O$2:O$500),
  _xlfn.IFNA(_xlpm.result, "")
)</f>
        <v/>
      </c>
      <c r="Q54" t="str">
        <f>_xlfn.LET(
  _xlpm.result, _xlfn.XLOOKUP($B54, Result_Database!$A$2:$A$500, Result_Database!P$2:P$500),
  _xlfn.IFNA(_xlpm.result, "")
)</f>
        <v/>
      </c>
      <c r="R54" t="str">
        <f>_xlfn.LET(
  _xlpm.result, _xlfn.XLOOKUP($B54, Result_Database!$A$2:$A$500, Result_Database!Q$2:Q$500),
  _xlfn.IFNA(_xlpm.result, "")
)</f>
        <v/>
      </c>
      <c r="S54" t="str">
        <f>_xlfn.LET(
  _xlpm.result, _xlfn.XLOOKUP($B54, Result_Database!$A$2:$A$500, Result_Database!R$2:R$500),
  _xlfn.IFNA(_xlpm.result, "")
)</f>
        <v/>
      </c>
      <c r="T54" t="str">
        <f>_xlfn.LET(
  _xlpm.result, _xlfn.XLOOKUP($B54, Result_Database!$A$2:$A$500, Result_Database!S$2:S$500),
  _xlfn.IFNA(_xlpm.result, "")
)</f>
        <v/>
      </c>
      <c r="U54" t="str">
        <f>_xlfn.LET(
  _xlpm.result, _xlfn.XLOOKUP($B54, Result_Database!$A$2:$A$500, Result_Database!T$2:T$500),
  _xlfn.IFNA(_xlpm.result, "")
)</f>
        <v/>
      </c>
      <c r="V54" t="str">
        <f>_xlfn.LET(
  _xlpm.result, _xlfn.XLOOKUP($B54, Result_Database!$A$2:$A$500, Result_Database!U$2:U$500),
  _xlfn.IFNA(_xlpm.result, "")
)</f>
        <v/>
      </c>
      <c r="W54" t="str">
        <f>_xlfn.LET(
  _xlpm.result, _xlfn.XLOOKUP($B54, Result_Database!$A$2:$A$500, Result_Database!V$2:V$500),
  _xlfn.IFNA(_xlpm.result, "")
)</f>
        <v/>
      </c>
      <c r="X54" t="str">
        <f>_xlfn.LET(
  _xlpm.result, _xlfn.XLOOKUP($B54, Result_Database!$A$2:$A$500, Result_Database!W$2:W$500),
  _xlfn.IFNA(_xlpm.result, "")
)</f>
        <v/>
      </c>
      <c r="Y54" t="str">
        <f>_xlfn.LET(
  _xlpm.result, _xlfn.XLOOKUP($B54, Result_Database!$A$2:$A$500, Result_Database!X$2:X$500),
  _xlfn.IFNA(_xlpm.result, "")
)</f>
        <v/>
      </c>
      <c r="Z54" t="str">
        <f>_xlfn.LET(
  _xlpm.result, _xlfn.XLOOKUP($B54, Result_Database!$A$2:$A$500, Result_Database!Y$2:Y$500),
  _xlfn.IFNA(_xlpm.result, "")
)</f>
        <v/>
      </c>
      <c r="AA54" t="str">
        <f>_xlfn.LET(
  _xlpm.result, _xlfn.XLOOKUP($B54, Result_Database!$A$2:$A$500, Result_Database!Z$2:Z$500),
  _xlfn.IFNA(_xlpm.result, "")
)</f>
        <v/>
      </c>
      <c r="AB54" t="str">
        <f>_xlfn.LET(
  _xlpm.result, _xlfn.XLOOKUP($B54, Result_Database!$A$2:$A$500, Result_Database!AA$2:AA$500),
  _xlfn.IFNA(_xlpm.result, "")
)</f>
        <v/>
      </c>
      <c r="AC54" t="str">
        <f>_xlfn.LET(
  _xlpm.result, _xlfn.XLOOKUP($B54, Result_Database!$A$2:$A$500, Result_Database!AB$2:AB$500),
  _xlfn.IFNA(_xlpm.result, "")
)</f>
        <v/>
      </c>
      <c r="AD54" t="str">
        <f>_xlfn.LET(
  _xlpm.result, _xlfn.XLOOKUP($B54, Result_Database!$A$2:$A$500, Result_Database!AC$2:AC$500),
  _xlfn.IFNA(_xlpm.result, "")
)</f>
        <v/>
      </c>
      <c r="AE54" t="str">
        <f>_xlfn.LET(
  _xlpm.result, _xlfn.XLOOKUP($B54, Result_Database!$A$2:$A$500, Result_Database!AD$2:AD$500),
  _xlfn.IFNA(_xlpm.result, "")
)</f>
        <v/>
      </c>
      <c r="AF54" t="str">
        <f>_xlfn.LET(
  _xlpm.result, _xlfn.XLOOKUP($B54, Result_Database!$A$2:$A$500, Result_Database!AE$2:AE$500),
  _xlfn.IFNA(_xlpm.result, "")
)</f>
        <v/>
      </c>
      <c r="AG54" t="str">
        <f>_xlfn.LET(
  _xlpm.result, _xlfn.XLOOKUP($B54, Result_Database!$A$2:$A$500, Result_Database!AF$2:AF$500),
  _xlfn.IFNA(_xlpm.result, "")
)</f>
        <v/>
      </c>
      <c r="AH54" t="str">
        <f>_xlfn.LET(
  _xlpm.result, _xlfn.XLOOKUP($B54, Result_Database!$A$2:$A$500, Result_Database!AG$2:AG$500),
  _xlfn.IFNA(_xlpm.result, "")
)</f>
        <v/>
      </c>
      <c r="AI54" t="str">
        <f>_xlfn.LET(
  _xlpm.result, _xlfn.XLOOKUP($B54, Result_Database!$A$2:$A$500, Result_Database!AH$2:AH$500),
  _xlfn.IFNA(_xlpm.result, "")
)</f>
        <v/>
      </c>
      <c r="AJ54" t="str">
        <f>_xlfn.LET(
  _xlpm.result, _xlfn.XLOOKUP($B54, Result_Database!$A$2:$A$500, Result_Database!AI$2:AI$500),
  _xlfn.IFNA(_xlpm.result, "")
)</f>
        <v/>
      </c>
      <c r="AK54" t="str">
        <f>_xlfn.LET(
  _xlpm.result, _xlfn.XLOOKUP($B54, Result_Database!$A$2:$A$500, Result_Database!AJ$2:AJ$500),
  _xlfn.IFNA(_xlpm.result, "")
)</f>
        <v/>
      </c>
      <c r="AL54" t="str">
        <f>_xlfn.LET(
  _xlpm.result, _xlfn.XLOOKUP($B54, Result_Database!$A$2:$A$500, Result_Database!AK$2:AK$500),
  _xlfn.IFNA(_xlpm.result, "")
)</f>
        <v/>
      </c>
      <c r="AM5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5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5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5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5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5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5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5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5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54" t="str">
        <f>IF(SUM(Table5[[#This Row],[A1]:[C6]])&lt;&gt;0,SUM(Table5[[#This Row],[A1]:[C6]]),"")</f>
        <v/>
      </c>
      <c r="AW54" t="str">
        <f>IF(SUM(Table5[[#This Row],[D7]:[F9]])=0,"",SUM(Table5[[#This Row],[D7]:[F9]]))</f>
        <v/>
      </c>
      <c r="AX5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5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5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5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5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5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54" t="str">
        <f>IF(COUNTIF(Table5[[#This Row],[English Language]:[Electrical/ Electronics]],"WITHHELD")=0,"",COUNTIF(Table5[[#This Row],[English Language]:[Electrical/ Electronics]],"WITHHELD"))</f>
        <v/>
      </c>
      <c r="BE54" t="str">
        <f>IF(SUM(Table5[[#This Row],[NO OF CREDITS]:[BELOW CREDITS]])=0,"",SUM(Table5[[#This Row],[NO OF CREDITS]:[BELOW CREDITS]]))</f>
        <v/>
      </c>
    </row>
    <row r="55" spans="1:57" x14ac:dyDescent="0.3">
      <c r="A55" t="str">
        <f>IF(B55&lt;&gt;"",COUNTA($B$6:B55),"")</f>
        <v/>
      </c>
      <c r="B55" t="str">
        <f>IF(Result_Database!A51="","",Result_Database!A51)</f>
        <v/>
      </c>
      <c r="C55" t="str">
        <f>_xlfn.LET(
_xlpm.result,_xlfn.XLOOKUP($B55,Result_Database!$A$2:$A$500,Result_Database!$B$2:$B$500),
_xlfn.IFNA(_xlpm.result,"")
)</f>
        <v/>
      </c>
      <c r="D55" t="str">
        <f>_xlfn.LET(
  _xlpm.result, _xlfn.XLOOKUP($B55, Result_Database!$A$2:$A$500, Result_Database!C$2:C$500),
  _xlfn.IFNA(_xlpm.result, "")
)</f>
        <v/>
      </c>
      <c r="E55" t="str">
        <f>_xlfn.LET(
  _xlpm.result, _xlfn.XLOOKUP($B55, Result_Database!$A$2:$A$500, Result_Database!D$2:D$500),
  _xlfn.IFNA(_xlpm.result, "")
)</f>
        <v/>
      </c>
      <c r="F55" t="str">
        <f>_xlfn.LET(
  _xlpm.result, _xlfn.XLOOKUP($B55, Result_Database!$A$2:$A$500, Result_Database!E$2:E$500),
  _xlfn.IFNA(_xlpm.result, "")
)</f>
        <v/>
      </c>
      <c r="G55" t="str">
        <f>_xlfn.LET(
  _xlpm.result, _xlfn.XLOOKUP($B55, Result_Database!$A$2:$A$500, Result_Database!F$2:F$500),
  _xlfn.IFNA(_xlpm.result, "")
)</f>
        <v/>
      </c>
      <c r="H55" t="str">
        <f>_xlfn.LET(
  _xlpm.result, _xlfn.XLOOKUP($B55, Result_Database!$A$2:$A$500, Result_Database!G$2:G$500),
  _xlfn.IFNA(_xlpm.result, "")
)</f>
        <v/>
      </c>
      <c r="I55" t="str">
        <f>_xlfn.LET(
  _xlpm.result, _xlfn.XLOOKUP($B55, Result_Database!$A$2:$A$500, Result_Database!H$2:H$500),
  _xlfn.IFNA(_xlpm.result, "")
)</f>
        <v/>
      </c>
      <c r="J55" t="str">
        <f>_xlfn.LET(
  _xlpm.result, _xlfn.XLOOKUP($B55, Result_Database!$A$2:$A$500, Result_Database!I$2:I$500),
  _xlfn.IFNA(_xlpm.result, "")
)</f>
        <v/>
      </c>
      <c r="K55" t="str">
        <f>_xlfn.LET(
  _xlpm.result, _xlfn.XLOOKUP($B55, Result_Database!$A$2:$A$500, Result_Database!J$2:J$500),
  _xlfn.IFNA(_xlpm.result, "")
)</f>
        <v/>
      </c>
      <c r="L55" t="str">
        <f>_xlfn.LET(
  _xlpm.result, _xlfn.XLOOKUP($B55, Result_Database!$A$2:$A$500, Result_Database!K$2:K$500),
  _xlfn.IFNA(_xlpm.result, "")
)</f>
        <v/>
      </c>
      <c r="M55" t="str">
        <f>_xlfn.LET(
  _xlpm.result, _xlfn.XLOOKUP($B55, Result_Database!$A$2:$A$500, Result_Database!L$2:L$500),
  _xlfn.IFNA(_xlpm.result, "")
)</f>
        <v/>
      </c>
      <c r="N55" t="str">
        <f>_xlfn.LET(
  _xlpm.result, _xlfn.XLOOKUP($B55, Result_Database!$A$2:$A$500, Result_Database!M$2:M$500),
  _xlfn.IFNA(_xlpm.result, "")
)</f>
        <v/>
      </c>
      <c r="O55" t="str">
        <f>_xlfn.LET(
  _xlpm.result, _xlfn.XLOOKUP($B55, Result_Database!$A$2:$A$500, Result_Database!N$2:N$500),
  _xlfn.IFNA(_xlpm.result, "")
)</f>
        <v/>
      </c>
      <c r="P55" t="str">
        <f>_xlfn.LET(
  _xlpm.result, _xlfn.XLOOKUP($B55, Result_Database!$A$2:$A$500, Result_Database!O$2:O$500),
  _xlfn.IFNA(_xlpm.result, "")
)</f>
        <v/>
      </c>
      <c r="Q55" t="str">
        <f>_xlfn.LET(
  _xlpm.result, _xlfn.XLOOKUP($B55, Result_Database!$A$2:$A$500, Result_Database!P$2:P$500),
  _xlfn.IFNA(_xlpm.result, "")
)</f>
        <v/>
      </c>
      <c r="R55" t="str">
        <f>_xlfn.LET(
  _xlpm.result, _xlfn.XLOOKUP($B55, Result_Database!$A$2:$A$500, Result_Database!Q$2:Q$500),
  _xlfn.IFNA(_xlpm.result, "")
)</f>
        <v/>
      </c>
      <c r="S55" t="str">
        <f>_xlfn.LET(
  _xlpm.result, _xlfn.XLOOKUP($B55, Result_Database!$A$2:$A$500, Result_Database!R$2:R$500),
  _xlfn.IFNA(_xlpm.result, "")
)</f>
        <v/>
      </c>
      <c r="T55" t="str">
        <f>_xlfn.LET(
  _xlpm.result, _xlfn.XLOOKUP($B55, Result_Database!$A$2:$A$500, Result_Database!S$2:S$500),
  _xlfn.IFNA(_xlpm.result, "")
)</f>
        <v/>
      </c>
      <c r="U55" t="str">
        <f>_xlfn.LET(
  _xlpm.result, _xlfn.XLOOKUP($B55, Result_Database!$A$2:$A$500, Result_Database!T$2:T$500),
  _xlfn.IFNA(_xlpm.result, "")
)</f>
        <v/>
      </c>
      <c r="V55" t="str">
        <f>_xlfn.LET(
  _xlpm.result, _xlfn.XLOOKUP($B55, Result_Database!$A$2:$A$500, Result_Database!U$2:U$500),
  _xlfn.IFNA(_xlpm.result, "")
)</f>
        <v/>
      </c>
      <c r="W55" t="str">
        <f>_xlfn.LET(
  _xlpm.result, _xlfn.XLOOKUP($B55, Result_Database!$A$2:$A$500, Result_Database!V$2:V$500),
  _xlfn.IFNA(_xlpm.result, "")
)</f>
        <v/>
      </c>
      <c r="X55" t="str">
        <f>_xlfn.LET(
  _xlpm.result, _xlfn.XLOOKUP($B55, Result_Database!$A$2:$A$500, Result_Database!W$2:W$500),
  _xlfn.IFNA(_xlpm.result, "")
)</f>
        <v/>
      </c>
      <c r="Y55" t="str">
        <f>_xlfn.LET(
  _xlpm.result, _xlfn.XLOOKUP($B55, Result_Database!$A$2:$A$500, Result_Database!X$2:X$500),
  _xlfn.IFNA(_xlpm.result, "")
)</f>
        <v/>
      </c>
      <c r="Z55" t="str">
        <f>_xlfn.LET(
  _xlpm.result, _xlfn.XLOOKUP($B55, Result_Database!$A$2:$A$500, Result_Database!Y$2:Y$500),
  _xlfn.IFNA(_xlpm.result, "")
)</f>
        <v/>
      </c>
      <c r="AA55" t="str">
        <f>_xlfn.LET(
  _xlpm.result, _xlfn.XLOOKUP($B55, Result_Database!$A$2:$A$500, Result_Database!Z$2:Z$500),
  _xlfn.IFNA(_xlpm.result, "")
)</f>
        <v/>
      </c>
      <c r="AB55" t="str">
        <f>_xlfn.LET(
  _xlpm.result, _xlfn.XLOOKUP($B55, Result_Database!$A$2:$A$500, Result_Database!AA$2:AA$500),
  _xlfn.IFNA(_xlpm.result, "")
)</f>
        <v/>
      </c>
      <c r="AC55" t="str">
        <f>_xlfn.LET(
  _xlpm.result, _xlfn.XLOOKUP($B55, Result_Database!$A$2:$A$500, Result_Database!AB$2:AB$500),
  _xlfn.IFNA(_xlpm.result, "")
)</f>
        <v/>
      </c>
      <c r="AD55" t="str">
        <f>_xlfn.LET(
  _xlpm.result, _xlfn.XLOOKUP($B55, Result_Database!$A$2:$A$500, Result_Database!AC$2:AC$500),
  _xlfn.IFNA(_xlpm.result, "")
)</f>
        <v/>
      </c>
      <c r="AE55" t="str">
        <f>_xlfn.LET(
  _xlpm.result, _xlfn.XLOOKUP($B55, Result_Database!$A$2:$A$500, Result_Database!AD$2:AD$500),
  _xlfn.IFNA(_xlpm.result, "")
)</f>
        <v/>
      </c>
      <c r="AF55" t="str">
        <f>_xlfn.LET(
  _xlpm.result, _xlfn.XLOOKUP($B55, Result_Database!$A$2:$A$500, Result_Database!AE$2:AE$500),
  _xlfn.IFNA(_xlpm.result, "")
)</f>
        <v/>
      </c>
      <c r="AG55" t="str">
        <f>_xlfn.LET(
  _xlpm.result, _xlfn.XLOOKUP($B55, Result_Database!$A$2:$A$500, Result_Database!AF$2:AF$500),
  _xlfn.IFNA(_xlpm.result, "")
)</f>
        <v/>
      </c>
      <c r="AH55" t="str">
        <f>_xlfn.LET(
  _xlpm.result, _xlfn.XLOOKUP($B55, Result_Database!$A$2:$A$500, Result_Database!AG$2:AG$500),
  _xlfn.IFNA(_xlpm.result, "")
)</f>
        <v/>
      </c>
      <c r="AI55" t="str">
        <f>_xlfn.LET(
  _xlpm.result, _xlfn.XLOOKUP($B55, Result_Database!$A$2:$A$500, Result_Database!AH$2:AH$500),
  _xlfn.IFNA(_xlpm.result, "")
)</f>
        <v/>
      </c>
      <c r="AJ55" t="str">
        <f>_xlfn.LET(
  _xlpm.result, _xlfn.XLOOKUP($B55, Result_Database!$A$2:$A$500, Result_Database!AI$2:AI$500),
  _xlfn.IFNA(_xlpm.result, "")
)</f>
        <v/>
      </c>
      <c r="AK55" t="str">
        <f>_xlfn.LET(
  _xlpm.result, _xlfn.XLOOKUP($B55, Result_Database!$A$2:$A$500, Result_Database!AJ$2:AJ$500),
  _xlfn.IFNA(_xlpm.result, "")
)</f>
        <v/>
      </c>
      <c r="AL55" t="str">
        <f>_xlfn.LET(
  _xlpm.result, _xlfn.XLOOKUP($B55, Result_Database!$A$2:$A$500, Result_Database!AK$2:AK$500),
  _xlfn.IFNA(_xlpm.result, "")
)</f>
        <v/>
      </c>
      <c r="AM5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5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5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5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5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5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5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5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5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55" t="str">
        <f>IF(SUM(Table5[[#This Row],[A1]:[C6]])&lt;&gt;0,SUM(Table5[[#This Row],[A1]:[C6]]),"")</f>
        <v/>
      </c>
      <c r="AW55" t="str">
        <f>IF(SUM(Table5[[#This Row],[D7]:[F9]])=0,"",SUM(Table5[[#This Row],[D7]:[F9]]))</f>
        <v/>
      </c>
      <c r="AX5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5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5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5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5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5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55" t="str">
        <f>IF(COUNTIF(Table5[[#This Row],[English Language]:[Electrical/ Electronics]],"WITHHELD")=0,"",COUNTIF(Table5[[#This Row],[English Language]:[Electrical/ Electronics]],"WITHHELD"))</f>
        <v/>
      </c>
      <c r="BE55" t="str">
        <f>IF(SUM(Table5[[#This Row],[NO OF CREDITS]:[BELOW CREDITS]])=0,"",SUM(Table5[[#This Row],[NO OF CREDITS]:[BELOW CREDITS]]))</f>
        <v/>
      </c>
    </row>
    <row r="56" spans="1:57" x14ac:dyDescent="0.3">
      <c r="A56" t="str">
        <f>IF(B56&lt;&gt;"",COUNTA($B$6:B56),"")</f>
        <v/>
      </c>
      <c r="B56" t="str">
        <f>IF(Result_Database!A52="","",Result_Database!A52)</f>
        <v/>
      </c>
      <c r="C56" t="str">
        <f>_xlfn.LET(
_xlpm.result,_xlfn.XLOOKUP($B56,Result_Database!$A$2:$A$500,Result_Database!$B$2:$B$500),
_xlfn.IFNA(_xlpm.result,"")
)</f>
        <v/>
      </c>
      <c r="D56" t="str">
        <f>_xlfn.LET(
  _xlpm.result, _xlfn.XLOOKUP($B56, Result_Database!$A$2:$A$500, Result_Database!C$2:C$500),
  _xlfn.IFNA(_xlpm.result, "")
)</f>
        <v/>
      </c>
      <c r="E56" t="str">
        <f>_xlfn.LET(
  _xlpm.result, _xlfn.XLOOKUP($B56, Result_Database!$A$2:$A$500, Result_Database!D$2:D$500),
  _xlfn.IFNA(_xlpm.result, "")
)</f>
        <v/>
      </c>
      <c r="F56" t="str">
        <f>_xlfn.LET(
  _xlpm.result, _xlfn.XLOOKUP($B56, Result_Database!$A$2:$A$500, Result_Database!E$2:E$500),
  _xlfn.IFNA(_xlpm.result, "")
)</f>
        <v/>
      </c>
      <c r="G56" t="str">
        <f>_xlfn.LET(
  _xlpm.result, _xlfn.XLOOKUP($B56, Result_Database!$A$2:$A$500, Result_Database!F$2:F$500),
  _xlfn.IFNA(_xlpm.result, "")
)</f>
        <v/>
      </c>
      <c r="H56" t="str">
        <f>_xlfn.LET(
  _xlpm.result, _xlfn.XLOOKUP($B56, Result_Database!$A$2:$A$500, Result_Database!G$2:G$500),
  _xlfn.IFNA(_xlpm.result, "")
)</f>
        <v/>
      </c>
      <c r="I56" t="str">
        <f>_xlfn.LET(
  _xlpm.result, _xlfn.XLOOKUP($B56, Result_Database!$A$2:$A$500, Result_Database!H$2:H$500),
  _xlfn.IFNA(_xlpm.result, "")
)</f>
        <v/>
      </c>
      <c r="J56" t="str">
        <f>_xlfn.LET(
  _xlpm.result, _xlfn.XLOOKUP($B56, Result_Database!$A$2:$A$500, Result_Database!I$2:I$500),
  _xlfn.IFNA(_xlpm.result, "")
)</f>
        <v/>
      </c>
      <c r="K56" t="str">
        <f>_xlfn.LET(
  _xlpm.result, _xlfn.XLOOKUP($B56, Result_Database!$A$2:$A$500, Result_Database!J$2:J$500),
  _xlfn.IFNA(_xlpm.result, "")
)</f>
        <v/>
      </c>
      <c r="L56" t="str">
        <f>_xlfn.LET(
  _xlpm.result, _xlfn.XLOOKUP($B56, Result_Database!$A$2:$A$500, Result_Database!K$2:K$500),
  _xlfn.IFNA(_xlpm.result, "")
)</f>
        <v/>
      </c>
      <c r="M56" t="str">
        <f>_xlfn.LET(
  _xlpm.result, _xlfn.XLOOKUP($B56, Result_Database!$A$2:$A$500, Result_Database!L$2:L$500),
  _xlfn.IFNA(_xlpm.result, "")
)</f>
        <v/>
      </c>
      <c r="N56" t="str">
        <f>_xlfn.LET(
  _xlpm.result, _xlfn.XLOOKUP($B56, Result_Database!$A$2:$A$500, Result_Database!M$2:M$500),
  _xlfn.IFNA(_xlpm.result, "")
)</f>
        <v/>
      </c>
      <c r="O56" t="str">
        <f>_xlfn.LET(
  _xlpm.result, _xlfn.XLOOKUP($B56, Result_Database!$A$2:$A$500, Result_Database!N$2:N$500),
  _xlfn.IFNA(_xlpm.result, "")
)</f>
        <v/>
      </c>
      <c r="P56" t="str">
        <f>_xlfn.LET(
  _xlpm.result, _xlfn.XLOOKUP($B56, Result_Database!$A$2:$A$500, Result_Database!O$2:O$500),
  _xlfn.IFNA(_xlpm.result, "")
)</f>
        <v/>
      </c>
      <c r="Q56" t="str">
        <f>_xlfn.LET(
  _xlpm.result, _xlfn.XLOOKUP($B56, Result_Database!$A$2:$A$500, Result_Database!P$2:P$500),
  _xlfn.IFNA(_xlpm.result, "")
)</f>
        <v/>
      </c>
      <c r="R56" t="str">
        <f>_xlfn.LET(
  _xlpm.result, _xlfn.XLOOKUP($B56, Result_Database!$A$2:$A$500, Result_Database!Q$2:Q$500),
  _xlfn.IFNA(_xlpm.result, "")
)</f>
        <v/>
      </c>
      <c r="S56" t="str">
        <f>_xlfn.LET(
  _xlpm.result, _xlfn.XLOOKUP($B56, Result_Database!$A$2:$A$500, Result_Database!R$2:R$500),
  _xlfn.IFNA(_xlpm.result, "")
)</f>
        <v/>
      </c>
      <c r="T56" t="str">
        <f>_xlfn.LET(
  _xlpm.result, _xlfn.XLOOKUP($B56, Result_Database!$A$2:$A$500, Result_Database!S$2:S$500),
  _xlfn.IFNA(_xlpm.result, "")
)</f>
        <v/>
      </c>
      <c r="U56" t="str">
        <f>_xlfn.LET(
  _xlpm.result, _xlfn.XLOOKUP($B56, Result_Database!$A$2:$A$500, Result_Database!T$2:T$500),
  _xlfn.IFNA(_xlpm.result, "")
)</f>
        <v/>
      </c>
      <c r="V56" t="str">
        <f>_xlfn.LET(
  _xlpm.result, _xlfn.XLOOKUP($B56, Result_Database!$A$2:$A$500, Result_Database!U$2:U$500),
  _xlfn.IFNA(_xlpm.result, "")
)</f>
        <v/>
      </c>
      <c r="W56" t="str">
        <f>_xlfn.LET(
  _xlpm.result, _xlfn.XLOOKUP($B56, Result_Database!$A$2:$A$500, Result_Database!V$2:V$500),
  _xlfn.IFNA(_xlpm.result, "")
)</f>
        <v/>
      </c>
      <c r="X56" t="str">
        <f>_xlfn.LET(
  _xlpm.result, _xlfn.XLOOKUP($B56, Result_Database!$A$2:$A$500, Result_Database!W$2:W$500),
  _xlfn.IFNA(_xlpm.result, "")
)</f>
        <v/>
      </c>
      <c r="Y56" t="str">
        <f>_xlfn.LET(
  _xlpm.result, _xlfn.XLOOKUP($B56, Result_Database!$A$2:$A$500, Result_Database!X$2:X$500),
  _xlfn.IFNA(_xlpm.result, "")
)</f>
        <v/>
      </c>
      <c r="Z56" t="str">
        <f>_xlfn.LET(
  _xlpm.result, _xlfn.XLOOKUP($B56, Result_Database!$A$2:$A$500, Result_Database!Y$2:Y$500),
  _xlfn.IFNA(_xlpm.result, "")
)</f>
        <v/>
      </c>
      <c r="AA56" t="str">
        <f>_xlfn.LET(
  _xlpm.result, _xlfn.XLOOKUP($B56, Result_Database!$A$2:$A$500, Result_Database!Z$2:Z$500),
  _xlfn.IFNA(_xlpm.result, "")
)</f>
        <v/>
      </c>
      <c r="AB56" t="str">
        <f>_xlfn.LET(
  _xlpm.result, _xlfn.XLOOKUP($B56, Result_Database!$A$2:$A$500, Result_Database!AA$2:AA$500),
  _xlfn.IFNA(_xlpm.result, "")
)</f>
        <v/>
      </c>
      <c r="AC56" t="str">
        <f>_xlfn.LET(
  _xlpm.result, _xlfn.XLOOKUP($B56, Result_Database!$A$2:$A$500, Result_Database!AB$2:AB$500),
  _xlfn.IFNA(_xlpm.result, "")
)</f>
        <v/>
      </c>
      <c r="AD56" t="str">
        <f>_xlfn.LET(
  _xlpm.result, _xlfn.XLOOKUP($B56, Result_Database!$A$2:$A$500, Result_Database!AC$2:AC$500),
  _xlfn.IFNA(_xlpm.result, "")
)</f>
        <v/>
      </c>
      <c r="AE56" t="str">
        <f>_xlfn.LET(
  _xlpm.result, _xlfn.XLOOKUP($B56, Result_Database!$A$2:$A$500, Result_Database!AD$2:AD$500),
  _xlfn.IFNA(_xlpm.result, "")
)</f>
        <v/>
      </c>
      <c r="AF56" t="str">
        <f>_xlfn.LET(
  _xlpm.result, _xlfn.XLOOKUP($B56, Result_Database!$A$2:$A$500, Result_Database!AE$2:AE$500),
  _xlfn.IFNA(_xlpm.result, "")
)</f>
        <v/>
      </c>
      <c r="AG56" t="str">
        <f>_xlfn.LET(
  _xlpm.result, _xlfn.XLOOKUP($B56, Result_Database!$A$2:$A$500, Result_Database!AF$2:AF$500),
  _xlfn.IFNA(_xlpm.result, "")
)</f>
        <v/>
      </c>
      <c r="AH56" t="str">
        <f>_xlfn.LET(
  _xlpm.result, _xlfn.XLOOKUP($B56, Result_Database!$A$2:$A$500, Result_Database!AG$2:AG$500),
  _xlfn.IFNA(_xlpm.result, "")
)</f>
        <v/>
      </c>
      <c r="AI56" t="str">
        <f>_xlfn.LET(
  _xlpm.result, _xlfn.XLOOKUP($B56, Result_Database!$A$2:$A$500, Result_Database!AH$2:AH$500),
  _xlfn.IFNA(_xlpm.result, "")
)</f>
        <v/>
      </c>
      <c r="AJ56" t="str">
        <f>_xlfn.LET(
  _xlpm.result, _xlfn.XLOOKUP($B56, Result_Database!$A$2:$A$500, Result_Database!AI$2:AI$500),
  _xlfn.IFNA(_xlpm.result, "")
)</f>
        <v/>
      </c>
      <c r="AK56" t="str">
        <f>_xlfn.LET(
  _xlpm.result, _xlfn.XLOOKUP($B56, Result_Database!$A$2:$A$500, Result_Database!AJ$2:AJ$500),
  _xlfn.IFNA(_xlpm.result, "")
)</f>
        <v/>
      </c>
      <c r="AL56" t="str">
        <f>_xlfn.LET(
  _xlpm.result, _xlfn.XLOOKUP($B56, Result_Database!$A$2:$A$500, Result_Database!AK$2:AK$500),
  _xlfn.IFNA(_xlpm.result, "")
)</f>
        <v/>
      </c>
      <c r="AM5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5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5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5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5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5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5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5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5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56" t="str">
        <f>IF(SUM(Table5[[#This Row],[A1]:[C6]])&lt;&gt;0,SUM(Table5[[#This Row],[A1]:[C6]]),"")</f>
        <v/>
      </c>
      <c r="AW56" t="str">
        <f>IF(SUM(Table5[[#This Row],[D7]:[F9]])=0,"",SUM(Table5[[#This Row],[D7]:[F9]]))</f>
        <v/>
      </c>
      <c r="AX5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5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5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5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5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5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56" t="str">
        <f>IF(COUNTIF(Table5[[#This Row],[English Language]:[Electrical/ Electronics]],"WITHHELD")=0,"",COUNTIF(Table5[[#This Row],[English Language]:[Electrical/ Electronics]],"WITHHELD"))</f>
        <v/>
      </c>
      <c r="BE56" t="str">
        <f>IF(SUM(Table5[[#This Row],[NO OF CREDITS]:[BELOW CREDITS]])=0,"",SUM(Table5[[#This Row],[NO OF CREDITS]:[BELOW CREDITS]]))</f>
        <v/>
      </c>
    </row>
    <row r="57" spans="1:57" x14ac:dyDescent="0.3">
      <c r="A57" t="str">
        <f>IF(B57&lt;&gt;"",COUNTA($B$6:B57),"")</f>
        <v/>
      </c>
      <c r="B57" t="str">
        <f>IF(Result_Database!A53="","",Result_Database!A53)</f>
        <v/>
      </c>
      <c r="C57" t="str">
        <f>_xlfn.LET(
_xlpm.result,_xlfn.XLOOKUP($B57,Result_Database!$A$2:$A$500,Result_Database!$B$2:$B$500),
_xlfn.IFNA(_xlpm.result,"")
)</f>
        <v/>
      </c>
      <c r="D57" t="str">
        <f>_xlfn.LET(
  _xlpm.result, _xlfn.XLOOKUP($B57, Result_Database!$A$2:$A$500, Result_Database!C$2:C$500),
  _xlfn.IFNA(_xlpm.result, "")
)</f>
        <v/>
      </c>
      <c r="E57" t="str">
        <f>_xlfn.LET(
  _xlpm.result, _xlfn.XLOOKUP($B57, Result_Database!$A$2:$A$500, Result_Database!D$2:D$500),
  _xlfn.IFNA(_xlpm.result, "")
)</f>
        <v/>
      </c>
      <c r="F57" t="str">
        <f>_xlfn.LET(
  _xlpm.result, _xlfn.XLOOKUP($B57, Result_Database!$A$2:$A$500, Result_Database!E$2:E$500),
  _xlfn.IFNA(_xlpm.result, "")
)</f>
        <v/>
      </c>
      <c r="G57" t="str">
        <f>_xlfn.LET(
  _xlpm.result, _xlfn.XLOOKUP($B57, Result_Database!$A$2:$A$500, Result_Database!F$2:F$500),
  _xlfn.IFNA(_xlpm.result, "")
)</f>
        <v/>
      </c>
      <c r="H57" t="str">
        <f>_xlfn.LET(
  _xlpm.result, _xlfn.XLOOKUP($B57, Result_Database!$A$2:$A$500, Result_Database!G$2:G$500),
  _xlfn.IFNA(_xlpm.result, "")
)</f>
        <v/>
      </c>
      <c r="I57" t="str">
        <f>_xlfn.LET(
  _xlpm.result, _xlfn.XLOOKUP($B57, Result_Database!$A$2:$A$500, Result_Database!H$2:H$500),
  _xlfn.IFNA(_xlpm.result, "")
)</f>
        <v/>
      </c>
      <c r="J57" t="str">
        <f>_xlfn.LET(
  _xlpm.result, _xlfn.XLOOKUP($B57, Result_Database!$A$2:$A$500, Result_Database!I$2:I$500),
  _xlfn.IFNA(_xlpm.result, "")
)</f>
        <v/>
      </c>
      <c r="K57" t="str">
        <f>_xlfn.LET(
  _xlpm.result, _xlfn.XLOOKUP($B57, Result_Database!$A$2:$A$500, Result_Database!J$2:J$500),
  _xlfn.IFNA(_xlpm.result, "")
)</f>
        <v/>
      </c>
      <c r="L57" t="str">
        <f>_xlfn.LET(
  _xlpm.result, _xlfn.XLOOKUP($B57, Result_Database!$A$2:$A$500, Result_Database!K$2:K$500),
  _xlfn.IFNA(_xlpm.result, "")
)</f>
        <v/>
      </c>
      <c r="M57" t="str">
        <f>_xlfn.LET(
  _xlpm.result, _xlfn.XLOOKUP($B57, Result_Database!$A$2:$A$500, Result_Database!L$2:L$500),
  _xlfn.IFNA(_xlpm.result, "")
)</f>
        <v/>
      </c>
      <c r="N57" t="str">
        <f>_xlfn.LET(
  _xlpm.result, _xlfn.XLOOKUP($B57, Result_Database!$A$2:$A$500, Result_Database!M$2:M$500),
  _xlfn.IFNA(_xlpm.result, "")
)</f>
        <v/>
      </c>
      <c r="O57" t="str">
        <f>_xlfn.LET(
  _xlpm.result, _xlfn.XLOOKUP($B57, Result_Database!$A$2:$A$500, Result_Database!N$2:N$500),
  _xlfn.IFNA(_xlpm.result, "")
)</f>
        <v/>
      </c>
      <c r="P57" t="str">
        <f>_xlfn.LET(
  _xlpm.result, _xlfn.XLOOKUP($B57, Result_Database!$A$2:$A$500, Result_Database!O$2:O$500),
  _xlfn.IFNA(_xlpm.result, "")
)</f>
        <v/>
      </c>
      <c r="Q57" t="str">
        <f>_xlfn.LET(
  _xlpm.result, _xlfn.XLOOKUP($B57, Result_Database!$A$2:$A$500, Result_Database!P$2:P$500),
  _xlfn.IFNA(_xlpm.result, "")
)</f>
        <v/>
      </c>
      <c r="R57" t="str">
        <f>_xlfn.LET(
  _xlpm.result, _xlfn.XLOOKUP($B57, Result_Database!$A$2:$A$500, Result_Database!Q$2:Q$500),
  _xlfn.IFNA(_xlpm.result, "")
)</f>
        <v/>
      </c>
      <c r="S57" t="str">
        <f>_xlfn.LET(
  _xlpm.result, _xlfn.XLOOKUP($B57, Result_Database!$A$2:$A$500, Result_Database!R$2:R$500),
  _xlfn.IFNA(_xlpm.result, "")
)</f>
        <v/>
      </c>
      <c r="T57" t="str">
        <f>_xlfn.LET(
  _xlpm.result, _xlfn.XLOOKUP($B57, Result_Database!$A$2:$A$500, Result_Database!S$2:S$500),
  _xlfn.IFNA(_xlpm.result, "")
)</f>
        <v/>
      </c>
      <c r="U57" t="str">
        <f>_xlfn.LET(
  _xlpm.result, _xlfn.XLOOKUP($B57, Result_Database!$A$2:$A$500, Result_Database!T$2:T$500),
  _xlfn.IFNA(_xlpm.result, "")
)</f>
        <v/>
      </c>
      <c r="V57" t="str">
        <f>_xlfn.LET(
  _xlpm.result, _xlfn.XLOOKUP($B57, Result_Database!$A$2:$A$500, Result_Database!U$2:U$500),
  _xlfn.IFNA(_xlpm.result, "")
)</f>
        <v/>
      </c>
      <c r="W57" t="str">
        <f>_xlfn.LET(
  _xlpm.result, _xlfn.XLOOKUP($B57, Result_Database!$A$2:$A$500, Result_Database!V$2:V$500),
  _xlfn.IFNA(_xlpm.result, "")
)</f>
        <v/>
      </c>
      <c r="X57" t="str">
        <f>_xlfn.LET(
  _xlpm.result, _xlfn.XLOOKUP($B57, Result_Database!$A$2:$A$500, Result_Database!W$2:W$500),
  _xlfn.IFNA(_xlpm.result, "")
)</f>
        <v/>
      </c>
      <c r="Y57" t="str">
        <f>_xlfn.LET(
  _xlpm.result, _xlfn.XLOOKUP($B57, Result_Database!$A$2:$A$500, Result_Database!X$2:X$500),
  _xlfn.IFNA(_xlpm.result, "")
)</f>
        <v/>
      </c>
      <c r="Z57" t="str">
        <f>_xlfn.LET(
  _xlpm.result, _xlfn.XLOOKUP($B57, Result_Database!$A$2:$A$500, Result_Database!Y$2:Y$500),
  _xlfn.IFNA(_xlpm.result, "")
)</f>
        <v/>
      </c>
      <c r="AA57" t="str">
        <f>_xlfn.LET(
  _xlpm.result, _xlfn.XLOOKUP($B57, Result_Database!$A$2:$A$500, Result_Database!Z$2:Z$500),
  _xlfn.IFNA(_xlpm.result, "")
)</f>
        <v/>
      </c>
      <c r="AB57" t="str">
        <f>_xlfn.LET(
  _xlpm.result, _xlfn.XLOOKUP($B57, Result_Database!$A$2:$A$500, Result_Database!AA$2:AA$500),
  _xlfn.IFNA(_xlpm.result, "")
)</f>
        <v/>
      </c>
      <c r="AC57" t="str">
        <f>_xlfn.LET(
  _xlpm.result, _xlfn.XLOOKUP($B57, Result_Database!$A$2:$A$500, Result_Database!AB$2:AB$500),
  _xlfn.IFNA(_xlpm.result, "")
)</f>
        <v/>
      </c>
      <c r="AD57" t="str">
        <f>_xlfn.LET(
  _xlpm.result, _xlfn.XLOOKUP($B57, Result_Database!$A$2:$A$500, Result_Database!AC$2:AC$500),
  _xlfn.IFNA(_xlpm.result, "")
)</f>
        <v/>
      </c>
      <c r="AE57" t="str">
        <f>_xlfn.LET(
  _xlpm.result, _xlfn.XLOOKUP($B57, Result_Database!$A$2:$A$500, Result_Database!AD$2:AD$500),
  _xlfn.IFNA(_xlpm.result, "")
)</f>
        <v/>
      </c>
      <c r="AF57" t="str">
        <f>_xlfn.LET(
  _xlpm.result, _xlfn.XLOOKUP($B57, Result_Database!$A$2:$A$500, Result_Database!AE$2:AE$500),
  _xlfn.IFNA(_xlpm.result, "")
)</f>
        <v/>
      </c>
      <c r="AG57" t="str">
        <f>_xlfn.LET(
  _xlpm.result, _xlfn.XLOOKUP($B57, Result_Database!$A$2:$A$500, Result_Database!AF$2:AF$500),
  _xlfn.IFNA(_xlpm.result, "")
)</f>
        <v/>
      </c>
      <c r="AH57" t="str">
        <f>_xlfn.LET(
  _xlpm.result, _xlfn.XLOOKUP($B57, Result_Database!$A$2:$A$500, Result_Database!AG$2:AG$500),
  _xlfn.IFNA(_xlpm.result, "")
)</f>
        <v/>
      </c>
      <c r="AI57" t="str">
        <f>_xlfn.LET(
  _xlpm.result, _xlfn.XLOOKUP($B57, Result_Database!$A$2:$A$500, Result_Database!AH$2:AH$500),
  _xlfn.IFNA(_xlpm.result, "")
)</f>
        <v/>
      </c>
      <c r="AJ57" t="str">
        <f>_xlfn.LET(
  _xlpm.result, _xlfn.XLOOKUP($B57, Result_Database!$A$2:$A$500, Result_Database!AI$2:AI$500),
  _xlfn.IFNA(_xlpm.result, "")
)</f>
        <v/>
      </c>
      <c r="AK57" t="str">
        <f>_xlfn.LET(
  _xlpm.result, _xlfn.XLOOKUP($B57, Result_Database!$A$2:$A$500, Result_Database!AJ$2:AJ$500),
  _xlfn.IFNA(_xlpm.result, "")
)</f>
        <v/>
      </c>
      <c r="AL57" t="str">
        <f>_xlfn.LET(
  _xlpm.result, _xlfn.XLOOKUP($B57, Result_Database!$A$2:$A$500, Result_Database!AK$2:AK$500),
  _xlfn.IFNA(_xlpm.result, "")
)</f>
        <v/>
      </c>
      <c r="AM5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5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5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5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5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5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5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5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5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57" t="str">
        <f>IF(SUM(Table5[[#This Row],[A1]:[C6]])&lt;&gt;0,SUM(Table5[[#This Row],[A1]:[C6]]),"")</f>
        <v/>
      </c>
      <c r="AW57" t="str">
        <f>IF(SUM(Table5[[#This Row],[D7]:[F9]])=0,"",SUM(Table5[[#This Row],[D7]:[F9]]))</f>
        <v/>
      </c>
      <c r="AX5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5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5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5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5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5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57" t="str">
        <f>IF(COUNTIF(Table5[[#This Row],[English Language]:[Electrical/ Electronics]],"WITHHELD")=0,"",COUNTIF(Table5[[#This Row],[English Language]:[Electrical/ Electronics]],"WITHHELD"))</f>
        <v/>
      </c>
      <c r="BE57" t="str">
        <f>IF(SUM(Table5[[#This Row],[NO OF CREDITS]:[BELOW CREDITS]])=0,"",SUM(Table5[[#This Row],[NO OF CREDITS]:[BELOW CREDITS]]))</f>
        <v/>
      </c>
    </row>
    <row r="58" spans="1:57" x14ac:dyDescent="0.3">
      <c r="A58" t="str">
        <f>IF(B58&lt;&gt;"",COUNTA($B$6:B58),"")</f>
        <v/>
      </c>
      <c r="B58" t="str">
        <f>IF(Result_Database!A54="","",Result_Database!A54)</f>
        <v/>
      </c>
      <c r="C58" t="str">
        <f>_xlfn.LET(
_xlpm.result,_xlfn.XLOOKUP($B58,Result_Database!$A$2:$A$500,Result_Database!$B$2:$B$500),
_xlfn.IFNA(_xlpm.result,"")
)</f>
        <v/>
      </c>
      <c r="D58" t="str">
        <f>_xlfn.LET(
  _xlpm.result, _xlfn.XLOOKUP($B58, Result_Database!$A$2:$A$500, Result_Database!C$2:C$500),
  _xlfn.IFNA(_xlpm.result, "")
)</f>
        <v/>
      </c>
      <c r="E58" t="str">
        <f>_xlfn.LET(
  _xlpm.result, _xlfn.XLOOKUP($B58, Result_Database!$A$2:$A$500, Result_Database!D$2:D$500),
  _xlfn.IFNA(_xlpm.result, "")
)</f>
        <v/>
      </c>
      <c r="F58" t="str">
        <f>_xlfn.LET(
  _xlpm.result, _xlfn.XLOOKUP($B58, Result_Database!$A$2:$A$500, Result_Database!E$2:E$500),
  _xlfn.IFNA(_xlpm.result, "")
)</f>
        <v/>
      </c>
      <c r="G58" t="str">
        <f>_xlfn.LET(
  _xlpm.result, _xlfn.XLOOKUP($B58, Result_Database!$A$2:$A$500, Result_Database!F$2:F$500),
  _xlfn.IFNA(_xlpm.result, "")
)</f>
        <v/>
      </c>
      <c r="H58" t="str">
        <f>_xlfn.LET(
  _xlpm.result, _xlfn.XLOOKUP($B58, Result_Database!$A$2:$A$500, Result_Database!G$2:G$500),
  _xlfn.IFNA(_xlpm.result, "")
)</f>
        <v/>
      </c>
      <c r="I58" t="str">
        <f>_xlfn.LET(
  _xlpm.result, _xlfn.XLOOKUP($B58, Result_Database!$A$2:$A$500, Result_Database!H$2:H$500),
  _xlfn.IFNA(_xlpm.result, "")
)</f>
        <v/>
      </c>
      <c r="J58" t="str">
        <f>_xlfn.LET(
  _xlpm.result, _xlfn.XLOOKUP($B58, Result_Database!$A$2:$A$500, Result_Database!I$2:I$500),
  _xlfn.IFNA(_xlpm.result, "")
)</f>
        <v/>
      </c>
      <c r="K58" t="str">
        <f>_xlfn.LET(
  _xlpm.result, _xlfn.XLOOKUP($B58, Result_Database!$A$2:$A$500, Result_Database!J$2:J$500),
  _xlfn.IFNA(_xlpm.result, "")
)</f>
        <v/>
      </c>
      <c r="L58" t="str">
        <f>_xlfn.LET(
  _xlpm.result, _xlfn.XLOOKUP($B58, Result_Database!$A$2:$A$500, Result_Database!K$2:K$500),
  _xlfn.IFNA(_xlpm.result, "")
)</f>
        <v/>
      </c>
      <c r="M58" t="str">
        <f>_xlfn.LET(
  _xlpm.result, _xlfn.XLOOKUP($B58, Result_Database!$A$2:$A$500, Result_Database!L$2:L$500),
  _xlfn.IFNA(_xlpm.result, "")
)</f>
        <v/>
      </c>
      <c r="N58" t="str">
        <f>_xlfn.LET(
  _xlpm.result, _xlfn.XLOOKUP($B58, Result_Database!$A$2:$A$500, Result_Database!M$2:M$500),
  _xlfn.IFNA(_xlpm.result, "")
)</f>
        <v/>
      </c>
      <c r="O58" t="str">
        <f>_xlfn.LET(
  _xlpm.result, _xlfn.XLOOKUP($B58, Result_Database!$A$2:$A$500, Result_Database!N$2:N$500),
  _xlfn.IFNA(_xlpm.result, "")
)</f>
        <v/>
      </c>
      <c r="P58" t="str">
        <f>_xlfn.LET(
  _xlpm.result, _xlfn.XLOOKUP($B58, Result_Database!$A$2:$A$500, Result_Database!O$2:O$500),
  _xlfn.IFNA(_xlpm.result, "")
)</f>
        <v/>
      </c>
      <c r="Q58" t="str">
        <f>_xlfn.LET(
  _xlpm.result, _xlfn.XLOOKUP($B58, Result_Database!$A$2:$A$500, Result_Database!P$2:P$500),
  _xlfn.IFNA(_xlpm.result, "")
)</f>
        <v/>
      </c>
      <c r="R58" t="str">
        <f>_xlfn.LET(
  _xlpm.result, _xlfn.XLOOKUP($B58, Result_Database!$A$2:$A$500, Result_Database!Q$2:Q$500),
  _xlfn.IFNA(_xlpm.result, "")
)</f>
        <v/>
      </c>
      <c r="S58" t="str">
        <f>_xlfn.LET(
  _xlpm.result, _xlfn.XLOOKUP($B58, Result_Database!$A$2:$A$500, Result_Database!R$2:R$500),
  _xlfn.IFNA(_xlpm.result, "")
)</f>
        <v/>
      </c>
      <c r="T58" t="str">
        <f>_xlfn.LET(
  _xlpm.result, _xlfn.XLOOKUP($B58, Result_Database!$A$2:$A$500, Result_Database!S$2:S$500),
  _xlfn.IFNA(_xlpm.result, "")
)</f>
        <v/>
      </c>
      <c r="U58" t="str">
        <f>_xlfn.LET(
  _xlpm.result, _xlfn.XLOOKUP($B58, Result_Database!$A$2:$A$500, Result_Database!T$2:T$500),
  _xlfn.IFNA(_xlpm.result, "")
)</f>
        <v/>
      </c>
      <c r="V58" t="str">
        <f>_xlfn.LET(
  _xlpm.result, _xlfn.XLOOKUP($B58, Result_Database!$A$2:$A$500, Result_Database!U$2:U$500),
  _xlfn.IFNA(_xlpm.result, "")
)</f>
        <v/>
      </c>
      <c r="W58" t="str">
        <f>_xlfn.LET(
  _xlpm.result, _xlfn.XLOOKUP($B58, Result_Database!$A$2:$A$500, Result_Database!V$2:V$500),
  _xlfn.IFNA(_xlpm.result, "")
)</f>
        <v/>
      </c>
      <c r="X58" t="str">
        <f>_xlfn.LET(
  _xlpm.result, _xlfn.XLOOKUP($B58, Result_Database!$A$2:$A$500, Result_Database!W$2:W$500),
  _xlfn.IFNA(_xlpm.result, "")
)</f>
        <v/>
      </c>
      <c r="Y58" t="str">
        <f>_xlfn.LET(
  _xlpm.result, _xlfn.XLOOKUP($B58, Result_Database!$A$2:$A$500, Result_Database!X$2:X$500),
  _xlfn.IFNA(_xlpm.result, "")
)</f>
        <v/>
      </c>
      <c r="Z58" t="str">
        <f>_xlfn.LET(
  _xlpm.result, _xlfn.XLOOKUP($B58, Result_Database!$A$2:$A$500, Result_Database!Y$2:Y$500),
  _xlfn.IFNA(_xlpm.result, "")
)</f>
        <v/>
      </c>
      <c r="AA58" t="str">
        <f>_xlfn.LET(
  _xlpm.result, _xlfn.XLOOKUP($B58, Result_Database!$A$2:$A$500, Result_Database!Z$2:Z$500),
  _xlfn.IFNA(_xlpm.result, "")
)</f>
        <v/>
      </c>
      <c r="AB58" t="str">
        <f>_xlfn.LET(
  _xlpm.result, _xlfn.XLOOKUP($B58, Result_Database!$A$2:$A$500, Result_Database!AA$2:AA$500),
  _xlfn.IFNA(_xlpm.result, "")
)</f>
        <v/>
      </c>
      <c r="AC58" t="str">
        <f>_xlfn.LET(
  _xlpm.result, _xlfn.XLOOKUP($B58, Result_Database!$A$2:$A$500, Result_Database!AB$2:AB$500),
  _xlfn.IFNA(_xlpm.result, "")
)</f>
        <v/>
      </c>
      <c r="AD58" t="str">
        <f>_xlfn.LET(
  _xlpm.result, _xlfn.XLOOKUP($B58, Result_Database!$A$2:$A$500, Result_Database!AC$2:AC$500),
  _xlfn.IFNA(_xlpm.result, "")
)</f>
        <v/>
      </c>
      <c r="AE58" t="str">
        <f>_xlfn.LET(
  _xlpm.result, _xlfn.XLOOKUP($B58, Result_Database!$A$2:$A$500, Result_Database!AD$2:AD$500),
  _xlfn.IFNA(_xlpm.result, "")
)</f>
        <v/>
      </c>
      <c r="AF58" t="str">
        <f>_xlfn.LET(
  _xlpm.result, _xlfn.XLOOKUP($B58, Result_Database!$A$2:$A$500, Result_Database!AE$2:AE$500),
  _xlfn.IFNA(_xlpm.result, "")
)</f>
        <v/>
      </c>
      <c r="AG58" t="str">
        <f>_xlfn.LET(
  _xlpm.result, _xlfn.XLOOKUP($B58, Result_Database!$A$2:$A$500, Result_Database!AF$2:AF$500),
  _xlfn.IFNA(_xlpm.result, "")
)</f>
        <v/>
      </c>
      <c r="AH58" t="str">
        <f>_xlfn.LET(
  _xlpm.result, _xlfn.XLOOKUP($B58, Result_Database!$A$2:$A$500, Result_Database!AG$2:AG$500),
  _xlfn.IFNA(_xlpm.result, "")
)</f>
        <v/>
      </c>
      <c r="AI58" t="str">
        <f>_xlfn.LET(
  _xlpm.result, _xlfn.XLOOKUP($B58, Result_Database!$A$2:$A$500, Result_Database!AH$2:AH$500),
  _xlfn.IFNA(_xlpm.result, "")
)</f>
        <v/>
      </c>
      <c r="AJ58" t="str">
        <f>_xlfn.LET(
  _xlpm.result, _xlfn.XLOOKUP($B58, Result_Database!$A$2:$A$500, Result_Database!AI$2:AI$500),
  _xlfn.IFNA(_xlpm.result, "")
)</f>
        <v/>
      </c>
      <c r="AK58" t="str">
        <f>_xlfn.LET(
  _xlpm.result, _xlfn.XLOOKUP($B58, Result_Database!$A$2:$A$500, Result_Database!AJ$2:AJ$500),
  _xlfn.IFNA(_xlpm.result, "")
)</f>
        <v/>
      </c>
      <c r="AL58" t="str">
        <f>_xlfn.LET(
  _xlpm.result, _xlfn.XLOOKUP($B58, Result_Database!$A$2:$A$500, Result_Database!AK$2:AK$500),
  _xlfn.IFNA(_xlpm.result, "")
)</f>
        <v/>
      </c>
      <c r="AM5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5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5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5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5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5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5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5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5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58" t="str">
        <f>IF(SUM(Table5[[#This Row],[A1]:[C6]])&lt;&gt;0,SUM(Table5[[#This Row],[A1]:[C6]]),"")</f>
        <v/>
      </c>
      <c r="AW58" t="str">
        <f>IF(SUM(Table5[[#This Row],[D7]:[F9]])=0,"",SUM(Table5[[#This Row],[D7]:[F9]]))</f>
        <v/>
      </c>
      <c r="AX5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5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5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5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5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5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58" t="str">
        <f>IF(COUNTIF(Table5[[#This Row],[English Language]:[Electrical/ Electronics]],"WITHHELD")=0,"",COUNTIF(Table5[[#This Row],[English Language]:[Electrical/ Electronics]],"WITHHELD"))</f>
        <v/>
      </c>
      <c r="BE58" t="str">
        <f>IF(SUM(Table5[[#This Row],[NO OF CREDITS]:[BELOW CREDITS]])=0,"",SUM(Table5[[#This Row],[NO OF CREDITS]:[BELOW CREDITS]]))</f>
        <v/>
      </c>
    </row>
    <row r="59" spans="1:57" x14ac:dyDescent="0.3">
      <c r="A59" t="str">
        <f>IF(B59&lt;&gt;"",COUNTA($B$6:B59),"")</f>
        <v/>
      </c>
      <c r="B59" t="str">
        <f>IF(Result_Database!A55="","",Result_Database!A55)</f>
        <v/>
      </c>
      <c r="C59" t="str">
        <f>_xlfn.LET(
_xlpm.result,_xlfn.XLOOKUP($B59,Result_Database!$A$2:$A$500,Result_Database!$B$2:$B$500),
_xlfn.IFNA(_xlpm.result,"")
)</f>
        <v/>
      </c>
      <c r="D59" t="str">
        <f>_xlfn.LET(
  _xlpm.result, _xlfn.XLOOKUP($B59, Result_Database!$A$2:$A$500, Result_Database!C$2:C$500),
  _xlfn.IFNA(_xlpm.result, "")
)</f>
        <v/>
      </c>
      <c r="E59" t="str">
        <f>_xlfn.LET(
  _xlpm.result, _xlfn.XLOOKUP($B59, Result_Database!$A$2:$A$500, Result_Database!D$2:D$500),
  _xlfn.IFNA(_xlpm.result, "")
)</f>
        <v/>
      </c>
      <c r="F59" t="str">
        <f>_xlfn.LET(
  _xlpm.result, _xlfn.XLOOKUP($B59, Result_Database!$A$2:$A$500, Result_Database!E$2:E$500),
  _xlfn.IFNA(_xlpm.result, "")
)</f>
        <v/>
      </c>
      <c r="G59" t="str">
        <f>_xlfn.LET(
  _xlpm.result, _xlfn.XLOOKUP($B59, Result_Database!$A$2:$A$500, Result_Database!F$2:F$500),
  _xlfn.IFNA(_xlpm.result, "")
)</f>
        <v/>
      </c>
      <c r="H59" t="str">
        <f>_xlfn.LET(
  _xlpm.result, _xlfn.XLOOKUP($B59, Result_Database!$A$2:$A$500, Result_Database!G$2:G$500),
  _xlfn.IFNA(_xlpm.result, "")
)</f>
        <v/>
      </c>
      <c r="I59" t="str">
        <f>_xlfn.LET(
  _xlpm.result, _xlfn.XLOOKUP($B59, Result_Database!$A$2:$A$500, Result_Database!H$2:H$500),
  _xlfn.IFNA(_xlpm.result, "")
)</f>
        <v/>
      </c>
      <c r="J59" t="str">
        <f>_xlfn.LET(
  _xlpm.result, _xlfn.XLOOKUP($B59, Result_Database!$A$2:$A$500, Result_Database!I$2:I$500),
  _xlfn.IFNA(_xlpm.result, "")
)</f>
        <v/>
      </c>
      <c r="K59" t="str">
        <f>_xlfn.LET(
  _xlpm.result, _xlfn.XLOOKUP($B59, Result_Database!$A$2:$A$500, Result_Database!J$2:J$500),
  _xlfn.IFNA(_xlpm.result, "")
)</f>
        <v/>
      </c>
      <c r="L59" t="str">
        <f>_xlfn.LET(
  _xlpm.result, _xlfn.XLOOKUP($B59, Result_Database!$A$2:$A$500, Result_Database!K$2:K$500),
  _xlfn.IFNA(_xlpm.result, "")
)</f>
        <v/>
      </c>
      <c r="M59" t="str">
        <f>_xlfn.LET(
  _xlpm.result, _xlfn.XLOOKUP($B59, Result_Database!$A$2:$A$500, Result_Database!L$2:L$500),
  _xlfn.IFNA(_xlpm.result, "")
)</f>
        <v/>
      </c>
      <c r="N59" t="str">
        <f>_xlfn.LET(
  _xlpm.result, _xlfn.XLOOKUP($B59, Result_Database!$A$2:$A$500, Result_Database!M$2:M$500),
  _xlfn.IFNA(_xlpm.result, "")
)</f>
        <v/>
      </c>
      <c r="O59" t="str">
        <f>_xlfn.LET(
  _xlpm.result, _xlfn.XLOOKUP($B59, Result_Database!$A$2:$A$500, Result_Database!N$2:N$500),
  _xlfn.IFNA(_xlpm.result, "")
)</f>
        <v/>
      </c>
      <c r="P59" t="str">
        <f>_xlfn.LET(
  _xlpm.result, _xlfn.XLOOKUP($B59, Result_Database!$A$2:$A$500, Result_Database!O$2:O$500),
  _xlfn.IFNA(_xlpm.result, "")
)</f>
        <v/>
      </c>
      <c r="Q59" t="str">
        <f>_xlfn.LET(
  _xlpm.result, _xlfn.XLOOKUP($B59, Result_Database!$A$2:$A$500, Result_Database!P$2:P$500),
  _xlfn.IFNA(_xlpm.result, "")
)</f>
        <v/>
      </c>
      <c r="R59" t="str">
        <f>_xlfn.LET(
  _xlpm.result, _xlfn.XLOOKUP($B59, Result_Database!$A$2:$A$500, Result_Database!Q$2:Q$500),
  _xlfn.IFNA(_xlpm.result, "")
)</f>
        <v/>
      </c>
      <c r="S59" t="str">
        <f>_xlfn.LET(
  _xlpm.result, _xlfn.XLOOKUP($B59, Result_Database!$A$2:$A$500, Result_Database!R$2:R$500),
  _xlfn.IFNA(_xlpm.result, "")
)</f>
        <v/>
      </c>
      <c r="T59" t="str">
        <f>_xlfn.LET(
  _xlpm.result, _xlfn.XLOOKUP($B59, Result_Database!$A$2:$A$500, Result_Database!S$2:S$500),
  _xlfn.IFNA(_xlpm.result, "")
)</f>
        <v/>
      </c>
      <c r="U59" t="str">
        <f>_xlfn.LET(
  _xlpm.result, _xlfn.XLOOKUP($B59, Result_Database!$A$2:$A$500, Result_Database!T$2:T$500),
  _xlfn.IFNA(_xlpm.result, "")
)</f>
        <v/>
      </c>
      <c r="V59" t="str">
        <f>_xlfn.LET(
  _xlpm.result, _xlfn.XLOOKUP($B59, Result_Database!$A$2:$A$500, Result_Database!U$2:U$500),
  _xlfn.IFNA(_xlpm.result, "")
)</f>
        <v/>
      </c>
      <c r="W59" t="str">
        <f>_xlfn.LET(
  _xlpm.result, _xlfn.XLOOKUP($B59, Result_Database!$A$2:$A$500, Result_Database!V$2:V$500),
  _xlfn.IFNA(_xlpm.result, "")
)</f>
        <v/>
      </c>
      <c r="X59" t="str">
        <f>_xlfn.LET(
  _xlpm.result, _xlfn.XLOOKUP($B59, Result_Database!$A$2:$A$500, Result_Database!W$2:W$500),
  _xlfn.IFNA(_xlpm.result, "")
)</f>
        <v/>
      </c>
      <c r="Y59" t="str">
        <f>_xlfn.LET(
  _xlpm.result, _xlfn.XLOOKUP($B59, Result_Database!$A$2:$A$500, Result_Database!X$2:X$500),
  _xlfn.IFNA(_xlpm.result, "")
)</f>
        <v/>
      </c>
      <c r="Z59" t="str">
        <f>_xlfn.LET(
  _xlpm.result, _xlfn.XLOOKUP($B59, Result_Database!$A$2:$A$500, Result_Database!Y$2:Y$500),
  _xlfn.IFNA(_xlpm.result, "")
)</f>
        <v/>
      </c>
      <c r="AA59" t="str">
        <f>_xlfn.LET(
  _xlpm.result, _xlfn.XLOOKUP($B59, Result_Database!$A$2:$A$500, Result_Database!Z$2:Z$500),
  _xlfn.IFNA(_xlpm.result, "")
)</f>
        <v/>
      </c>
      <c r="AB59" t="str">
        <f>_xlfn.LET(
  _xlpm.result, _xlfn.XLOOKUP($B59, Result_Database!$A$2:$A$500, Result_Database!AA$2:AA$500),
  _xlfn.IFNA(_xlpm.result, "")
)</f>
        <v/>
      </c>
      <c r="AC59" t="str">
        <f>_xlfn.LET(
  _xlpm.result, _xlfn.XLOOKUP($B59, Result_Database!$A$2:$A$500, Result_Database!AB$2:AB$500),
  _xlfn.IFNA(_xlpm.result, "")
)</f>
        <v/>
      </c>
      <c r="AD59" t="str">
        <f>_xlfn.LET(
  _xlpm.result, _xlfn.XLOOKUP($B59, Result_Database!$A$2:$A$500, Result_Database!AC$2:AC$500),
  _xlfn.IFNA(_xlpm.result, "")
)</f>
        <v/>
      </c>
      <c r="AE59" t="str">
        <f>_xlfn.LET(
  _xlpm.result, _xlfn.XLOOKUP($B59, Result_Database!$A$2:$A$500, Result_Database!AD$2:AD$500),
  _xlfn.IFNA(_xlpm.result, "")
)</f>
        <v/>
      </c>
      <c r="AF59" t="str">
        <f>_xlfn.LET(
  _xlpm.result, _xlfn.XLOOKUP($B59, Result_Database!$A$2:$A$500, Result_Database!AE$2:AE$500),
  _xlfn.IFNA(_xlpm.result, "")
)</f>
        <v/>
      </c>
      <c r="AG59" t="str">
        <f>_xlfn.LET(
  _xlpm.result, _xlfn.XLOOKUP($B59, Result_Database!$A$2:$A$500, Result_Database!AF$2:AF$500),
  _xlfn.IFNA(_xlpm.result, "")
)</f>
        <v/>
      </c>
      <c r="AH59" t="str">
        <f>_xlfn.LET(
  _xlpm.result, _xlfn.XLOOKUP($B59, Result_Database!$A$2:$A$500, Result_Database!AG$2:AG$500),
  _xlfn.IFNA(_xlpm.result, "")
)</f>
        <v/>
      </c>
      <c r="AI59" t="str">
        <f>_xlfn.LET(
  _xlpm.result, _xlfn.XLOOKUP($B59, Result_Database!$A$2:$A$500, Result_Database!AH$2:AH$500),
  _xlfn.IFNA(_xlpm.result, "")
)</f>
        <v/>
      </c>
      <c r="AJ59" t="str">
        <f>_xlfn.LET(
  _xlpm.result, _xlfn.XLOOKUP($B59, Result_Database!$A$2:$A$500, Result_Database!AI$2:AI$500),
  _xlfn.IFNA(_xlpm.result, "")
)</f>
        <v/>
      </c>
      <c r="AK59" t="str">
        <f>_xlfn.LET(
  _xlpm.result, _xlfn.XLOOKUP($B59, Result_Database!$A$2:$A$500, Result_Database!AJ$2:AJ$500),
  _xlfn.IFNA(_xlpm.result, "")
)</f>
        <v/>
      </c>
      <c r="AL59" t="str">
        <f>_xlfn.LET(
  _xlpm.result, _xlfn.XLOOKUP($B59, Result_Database!$A$2:$A$500, Result_Database!AK$2:AK$500),
  _xlfn.IFNA(_xlpm.result, "")
)</f>
        <v/>
      </c>
      <c r="AM5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5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5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5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5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5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5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5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5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59" t="str">
        <f>IF(SUM(Table5[[#This Row],[A1]:[C6]])&lt;&gt;0,SUM(Table5[[#This Row],[A1]:[C6]]),"")</f>
        <v/>
      </c>
      <c r="AW59" t="str">
        <f>IF(SUM(Table5[[#This Row],[D7]:[F9]])=0,"",SUM(Table5[[#This Row],[D7]:[F9]]))</f>
        <v/>
      </c>
      <c r="AX5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5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5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5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5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5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59" t="str">
        <f>IF(COUNTIF(Table5[[#This Row],[English Language]:[Electrical/ Electronics]],"WITHHELD")=0,"",COUNTIF(Table5[[#This Row],[English Language]:[Electrical/ Electronics]],"WITHHELD"))</f>
        <v/>
      </c>
      <c r="BE59" t="str">
        <f>IF(SUM(Table5[[#This Row],[NO OF CREDITS]:[BELOW CREDITS]])=0,"",SUM(Table5[[#This Row],[NO OF CREDITS]:[BELOW CREDITS]]))</f>
        <v/>
      </c>
    </row>
    <row r="60" spans="1:57" x14ac:dyDescent="0.3">
      <c r="A60" t="str">
        <f>IF(B60&lt;&gt;"",COUNTA($B$6:B60),"")</f>
        <v/>
      </c>
      <c r="B60" t="str">
        <f>IF(Result_Database!A56="","",Result_Database!A56)</f>
        <v/>
      </c>
      <c r="C60" t="str">
        <f>_xlfn.LET(
_xlpm.result,_xlfn.XLOOKUP($B60,Result_Database!$A$2:$A$500,Result_Database!$B$2:$B$500),
_xlfn.IFNA(_xlpm.result,"")
)</f>
        <v/>
      </c>
      <c r="D60" t="str">
        <f>_xlfn.LET(
  _xlpm.result, _xlfn.XLOOKUP($B60, Result_Database!$A$2:$A$500, Result_Database!C$2:C$500),
  _xlfn.IFNA(_xlpm.result, "")
)</f>
        <v/>
      </c>
      <c r="E60" t="str">
        <f>_xlfn.LET(
  _xlpm.result, _xlfn.XLOOKUP($B60, Result_Database!$A$2:$A$500, Result_Database!D$2:D$500),
  _xlfn.IFNA(_xlpm.result, "")
)</f>
        <v/>
      </c>
      <c r="F60" t="str">
        <f>_xlfn.LET(
  _xlpm.result, _xlfn.XLOOKUP($B60, Result_Database!$A$2:$A$500, Result_Database!E$2:E$500),
  _xlfn.IFNA(_xlpm.result, "")
)</f>
        <v/>
      </c>
      <c r="G60" t="str">
        <f>_xlfn.LET(
  _xlpm.result, _xlfn.XLOOKUP($B60, Result_Database!$A$2:$A$500, Result_Database!F$2:F$500),
  _xlfn.IFNA(_xlpm.result, "")
)</f>
        <v/>
      </c>
      <c r="H60" t="str">
        <f>_xlfn.LET(
  _xlpm.result, _xlfn.XLOOKUP($B60, Result_Database!$A$2:$A$500, Result_Database!G$2:G$500),
  _xlfn.IFNA(_xlpm.result, "")
)</f>
        <v/>
      </c>
      <c r="I60" t="str">
        <f>_xlfn.LET(
  _xlpm.result, _xlfn.XLOOKUP($B60, Result_Database!$A$2:$A$500, Result_Database!H$2:H$500),
  _xlfn.IFNA(_xlpm.result, "")
)</f>
        <v/>
      </c>
      <c r="J60" t="str">
        <f>_xlfn.LET(
  _xlpm.result, _xlfn.XLOOKUP($B60, Result_Database!$A$2:$A$500, Result_Database!I$2:I$500),
  _xlfn.IFNA(_xlpm.result, "")
)</f>
        <v/>
      </c>
      <c r="K60" t="str">
        <f>_xlfn.LET(
  _xlpm.result, _xlfn.XLOOKUP($B60, Result_Database!$A$2:$A$500, Result_Database!J$2:J$500),
  _xlfn.IFNA(_xlpm.result, "")
)</f>
        <v/>
      </c>
      <c r="L60" t="str">
        <f>_xlfn.LET(
  _xlpm.result, _xlfn.XLOOKUP($B60, Result_Database!$A$2:$A$500, Result_Database!K$2:K$500),
  _xlfn.IFNA(_xlpm.result, "")
)</f>
        <v/>
      </c>
      <c r="M60" t="str">
        <f>_xlfn.LET(
  _xlpm.result, _xlfn.XLOOKUP($B60, Result_Database!$A$2:$A$500, Result_Database!L$2:L$500),
  _xlfn.IFNA(_xlpm.result, "")
)</f>
        <v/>
      </c>
      <c r="N60" t="str">
        <f>_xlfn.LET(
  _xlpm.result, _xlfn.XLOOKUP($B60, Result_Database!$A$2:$A$500, Result_Database!M$2:M$500),
  _xlfn.IFNA(_xlpm.result, "")
)</f>
        <v/>
      </c>
      <c r="O60" t="str">
        <f>_xlfn.LET(
  _xlpm.result, _xlfn.XLOOKUP($B60, Result_Database!$A$2:$A$500, Result_Database!N$2:N$500),
  _xlfn.IFNA(_xlpm.result, "")
)</f>
        <v/>
      </c>
      <c r="P60" t="str">
        <f>_xlfn.LET(
  _xlpm.result, _xlfn.XLOOKUP($B60, Result_Database!$A$2:$A$500, Result_Database!O$2:O$500),
  _xlfn.IFNA(_xlpm.result, "")
)</f>
        <v/>
      </c>
      <c r="Q60" t="str">
        <f>_xlfn.LET(
  _xlpm.result, _xlfn.XLOOKUP($B60, Result_Database!$A$2:$A$500, Result_Database!P$2:P$500),
  _xlfn.IFNA(_xlpm.result, "")
)</f>
        <v/>
      </c>
      <c r="R60" t="str">
        <f>_xlfn.LET(
  _xlpm.result, _xlfn.XLOOKUP($B60, Result_Database!$A$2:$A$500, Result_Database!Q$2:Q$500),
  _xlfn.IFNA(_xlpm.result, "")
)</f>
        <v/>
      </c>
      <c r="S60" t="str">
        <f>_xlfn.LET(
  _xlpm.result, _xlfn.XLOOKUP($B60, Result_Database!$A$2:$A$500, Result_Database!R$2:R$500),
  _xlfn.IFNA(_xlpm.result, "")
)</f>
        <v/>
      </c>
      <c r="T60" t="str">
        <f>_xlfn.LET(
  _xlpm.result, _xlfn.XLOOKUP($B60, Result_Database!$A$2:$A$500, Result_Database!S$2:S$500),
  _xlfn.IFNA(_xlpm.result, "")
)</f>
        <v/>
      </c>
      <c r="U60" t="str">
        <f>_xlfn.LET(
  _xlpm.result, _xlfn.XLOOKUP($B60, Result_Database!$A$2:$A$500, Result_Database!T$2:T$500),
  _xlfn.IFNA(_xlpm.result, "")
)</f>
        <v/>
      </c>
      <c r="V60" t="str">
        <f>_xlfn.LET(
  _xlpm.result, _xlfn.XLOOKUP($B60, Result_Database!$A$2:$A$500, Result_Database!U$2:U$500),
  _xlfn.IFNA(_xlpm.result, "")
)</f>
        <v/>
      </c>
      <c r="W60" t="str">
        <f>_xlfn.LET(
  _xlpm.result, _xlfn.XLOOKUP($B60, Result_Database!$A$2:$A$500, Result_Database!V$2:V$500),
  _xlfn.IFNA(_xlpm.result, "")
)</f>
        <v/>
      </c>
      <c r="X60" t="str">
        <f>_xlfn.LET(
  _xlpm.result, _xlfn.XLOOKUP($B60, Result_Database!$A$2:$A$500, Result_Database!W$2:W$500),
  _xlfn.IFNA(_xlpm.result, "")
)</f>
        <v/>
      </c>
      <c r="Y60" t="str">
        <f>_xlfn.LET(
  _xlpm.result, _xlfn.XLOOKUP($B60, Result_Database!$A$2:$A$500, Result_Database!X$2:X$500),
  _xlfn.IFNA(_xlpm.result, "")
)</f>
        <v/>
      </c>
      <c r="Z60" t="str">
        <f>_xlfn.LET(
  _xlpm.result, _xlfn.XLOOKUP($B60, Result_Database!$A$2:$A$500, Result_Database!Y$2:Y$500),
  _xlfn.IFNA(_xlpm.result, "")
)</f>
        <v/>
      </c>
      <c r="AA60" t="str">
        <f>_xlfn.LET(
  _xlpm.result, _xlfn.XLOOKUP($B60, Result_Database!$A$2:$A$500, Result_Database!Z$2:Z$500),
  _xlfn.IFNA(_xlpm.result, "")
)</f>
        <v/>
      </c>
      <c r="AB60" t="str">
        <f>_xlfn.LET(
  _xlpm.result, _xlfn.XLOOKUP($B60, Result_Database!$A$2:$A$500, Result_Database!AA$2:AA$500),
  _xlfn.IFNA(_xlpm.result, "")
)</f>
        <v/>
      </c>
      <c r="AC60" t="str">
        <f>_xlfn.LET(
  _xlpm.result, _xlfn.XLOOKUP($B60, Result_Database!$A$2:$A$500, Result_Database!AB$2:AB$500),
  _xlfn.IFNA(_xlpm.result, "")
)</f>
        <v/>
      </c>
      <c r="AD60" t="str">
        <f>_xlfn.LET(
  _xlpm.result, _xlfn.XLOOKUP($B60, Result_Database!$A$2:$A$500, Result_Database!AC$2:AC$500),
  _xlfn.IFNA(_xlpm.result, "")
)</f>
        <v/>
      </c>
      <c r="AE60" t="str">
        <f>_xlfn.LET(
  _xlpm.result, _xlfn.XLOOKUP($B60, Result_Database!$A$2:$A$500, Result_Database!AD$2:AD$500),
  _xlfn.IFNA(_xlpm.result, "")
)</f>
        <v/>
      </c>
      <c r="AF60" t="str">
        <f>_xlfn.LET(
  _xlpm.result, _xlfn.XLOOKUP($B60, Result_Database!$A$2:$A$500, Result_Database!AE$2:AE$500),
  _xlfn.IFNA(_xlpm.result, "")
)</f>
        <v/>
      </c>
      <c r="AG60" t="str">
        <f>_xlfn.LET(
  _xlpm.result, _xlfn.XLOOKUP($B60, Result_Database!$A$2:$A$500, Result_Database!AF$2:AF$500),
  _xlfn.IFNA(_xlpm.result, "")
)</f>
        <v/>
      </c>
      <c r="AH60" t="str">
        <f>_xlfn.LET(
  _xlpm.result, _xlfn.XLOOKUP($B60, Result_Database!$A$2:$A$500, Result_Database!AG$2:AG$500),
  _xlfn.IFNA(_xlpm.result, "")
)</f>
        <v/>
      </c>
      <c r="AI60" t="str">
        <f>_xlfn.LET(
  _xlpm.result, _xlfn.XLOOKUP($B60, Result_Database!$A$2:$A$500, Result_Database!AH$2:AH$500),
  _xlfn.IFNA(_xlpm.result, "")
)</f>
        <v/>
      </c>
      <c r="AJ60" t="str">
        <f>_xlfn.LET(
  _xlpm.result, _xlfn.XLOOKUP($B60, Result_Database!$A$2:$A$500, Result_Database!AI$2:AI$500),
  _xlfn.IFNA(_xlpm.result, "")
)</f>
        <v/>
      </c>
      <c r="AK60" t="str">
        <f>_xlfn.LET(
  _xlpm.result, _xlfn.XLOOKUP($B60, Result_Database!$A$2:$A$500, Result_Database!AJ$2:AJ$500),
  _xlfn.IFNA(_xlpm.result, "")
)</f>
        <v/>
      </c>
      <c r="AL60" t="str">
        <f>_xlfn.LET(
  _xlpm.result, _xlfn.XLOOKUP($B60, Result_Database!$A$2:$A$500, Result_Database!AK$2:AK$500),
  _xlfn.IFNA(_xlpm.result, "")
)</f>
        <v/>
      </c>
      <c r="AM6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6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6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6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6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6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6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6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6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60" t="str">
        <f>IF(SUM(Table5[[#This Row],[A1]:[C6]])&lt;&gt;0,SUM(Table5[[#This Row],[A1]:[C6]]),"")</f>
        <v/>
      </c>
      <c r="AW60" t="str">
        <f>IF(SUM(Table5[[#This Row],[D7]:[F9]])=0,"",SUM(Table5[[#This Row],[D7]:[F9]]))</f>
        <v/>
      </c>
      <c r="AX6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6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6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6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6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6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60" t="str">
        <f>IF(COUNTIF(Table5[[#This Row],[English Language]:[Electrical/ Electronics]],"WITHHELD")=0,"",COUNTIF(Table5[[#This Row],[English Language]:[Electrical/ Electronics]],"WITHHELD"))</f>
        <v/>
      </c>
      <c r="BE60" t="str">
        <f>IF(SUM(Table5[[#This Row],[NO OF CREDITS]:[BELOW CREDITS]])=0,"",SUM(Table5[[#This Row],[NO OF CREDITS]:[BELOW CREDITS]]))</f>
        <v/>
      </c>
    </row>
    <row r="61" spans="1:57" x14ac:dyDescent="0.3">
      <c r="A61" t="str">
        <f>IF(B61&lt;&gt;"",COUNTA($B$6:B61),"")</f>
        <v/>
      </c>
      <c r="B61" t="str">
        <f>IF(Result_Database!A57="","",Result_Database!A57)</f>
        <v/>
      </c>
      <c r="C61" t="str">
        <f>_xlfn.LET(
_xlpm.result,_xlfn.XLOOKUP($B61,Result_Database!$A$2:$A$500,Result_Database!$B$2:$B$500),
_xlfn.IFNA(_xlpm.result,"")
)</f>
        <v/>
      </c>
      <c r="D61" t="str">
        <f>_xlfn.LET(
  _xlpm.result, _xlfn.XLOOKUP($B61, Result_Database!$A$2:$A$500, Result_Database!C$2:C$500),
  _xlfn.IFNA(_xlpm.result, "")
)</f>
        <v/>
      </c>
      <c r="E61" t="str">
        <f>_xlfn.LET(
  _xlpm.result, _xlfn.XLOOKUP($B61, Result_Database!$A$2:$A$500, Result_Database!D$2:D$500),
  _xlfn.IFNA(_xlpm.result, "")
)</f>
        <v/>
      </c>
      <c r="F61" t="str">
        <f>_xlfn.LET(
  _xlpm.result, _xlfn.XLOOKUP($B61, Result_Database!$A$2:$A$500, Result_Database!E$2:E$500),
  _xlfn.IFNA(_xlpm.result, "")
)</f>
        <v/>
      </c>
      <c r="G61" t="str">
        <f>_xlfn.LET(
  _xlpm.result, _xlfn.XLOOKUP($B61, Result_Database!$A$2:$A$500, Result_Database!F$2:F$500),
  _xlfn.IFNA(_xlpm.result, "")
)</f>
        <v/>
      </c>
      <c r="H61" t="str">
        <f>_xlfn.LET(
  _xlpm.result, _xlfn.XLOOKUP($B61, Result_Database!$A$2:$A$500, Result_Database!G$2:G$500),
  _xlfn.IFNA(_xlpm.result, "")
)</f>
        <v/>
      </c>
      <c r="I61" t="str">
        <f>_xlfn.LET(
  _xlpm.result, _xlfn.XLOOKUP($B61, Result_Database!$A$2:$A$500, Result_Database!H$2:H$500),
  _xlfn.IFNA(_xlpm.result, "")
)</f>
        <v/>
      </c>
      <c r="J61" t="str">
        <f>_xlfn.LET(
  _xlpm.result, _xlfn.XLOOKUP($B61, Result_Database!$A$2:$A$500, Result_Database!I$2:I$500),
  _xlfn.IFNA(_xlpm.result, "")
)</f>
        <v/>
      </c>
      <c r="K61" t="str">
        <f>_xlfn.LET(
  _xlpm.result, _xlfn.XLOOKUP($B61, Result_Database!$A$2:$A$500, Result_Database!J$2:J$500),
  _xlfn.IFNA(_xlpm.result, "")
)</f>
        <v/>
      </c>
      <c r="L61" t="str">
        <f>_xlfn.LET(
  _xlpm.result, _xlfn.XLOOKUP($B61, Result_Database!$A$2:$A$500, Result_Database!K$2:K$500),
  _xlfn.IFNA(_xlpm.result, "")
)</f>
        <v/>
      </c>
      <c r="M61" t="str">
        <f>_xlfn.LET(
  _xlpm.result, _xlfn.XLOOKUP($B61, Result_Database!$A$2:$A$500, Result_Database!L$2:L$500),
  _xlfn.IFNA(_xlpm.result, "")
)</f>
        <v/>
      </c>
      <c r="N61" t="str">
        <f>_xlfn.LET(
  _xlpm.result, _xlfn.XLOOKUP($B61, Result_Database!$A$2:$A$500, Result_Database!M$2:M$500),
  _xlfn.IFNA(_xlpm.result, "")
)</f>
        <v/>
      </c>
      <c r="O61" t="str">
        <f>_xlfn.LET(
  _xlpm.result, _xlfn.XLOOKUP($B61, Result_Database!$A$2:$A$500, Result_Database!N$2:N$500),
  _xlfn.IFNA(_xlpm.result, "")
)</f>
        <v/>
      </c>
      <c r="P61" t="str">
        <f>_xlfn.LET(
  _xlpm.result, _xlfn.XLOOKUP($B61, Result_Database!$A$2:$A$500, Result_Database!O$2:O$500),
  _xlfn.IFNA(_xlpm.result, "")
)</f>
        <v/>
      </c>
      <c r="Q61" t="str">
        <f>_xlfn.LET(
  _xlpm.result, _xlfn.XLOOKUP($B61, Result_Database!$A$2:$A$500, Result_Database!P$2:P$500),
  _xlfn.IFNA(_xlpm.result, "")
)</f>
        <v/>
      </c>
      <c r="R61" t="str">
        <f>_xlfn.LET(
  _xlpm.result, _xlfn.XLOOKUP($B61, Result_Database!$A$2:$A$500, Result_Database!Q$2:Q$500),
  _xlfn.IFNA(_xlpm.result, "")
)</f>
        <v/>
      </c>
      <c r="S61" t="str">
        <f>_xlfn.LET(
  _xlpm.result, _xlfn.XLOOKUP($B61, Result_Database!$A$2:$A$500, Result_Database!R$2:R$500),
  _xlfn.IFNA(_xlpm.result, "")
)</f>
        <v/>
      </c>
      <c r="T61" t="str">
        <f>_xlfn.LET(
  _xlpm.result, _xlfn.XLOOKUP($B61, Result_Database!$A$2:$A$500, Result_Database!S$2:S$500),
  _xlfn.IFNA(_xlpm.result, "")
)</f>
        <v/>
      </c>
      <c r="U61" t="str">
        <f>_xlfn.LET(
  _xlpm.result, _xlfn.XLOOKUP($B61, Result_Database!$A$2:$A$500, Result_Database!T$2:T$500),
  _xlfn.IFNA(_xlpm.result, "")
)</f>
        <v/>
      </c>
      <c r="V61" t="str">
        <f>_xlfn.LET(
  _xlpm.result, _xlfn.XLOOKUP($B61, Result_Database!$A$2:$A$500, Result_Database!U$2:U$500),
  _xlfn.IFNA(_xlpm.result, "")
)</f>
        <v/>
      </c>
      <c r="W61" t="str">
        <f>_xlfn.LET(
  _xlpm.result, _xlfn.XLOOKUP($B61, Result_Database!$A$2:$A$500, Result_Database!V$2:V$500),
  _xlfn.IFNA(_xlpm.result, "")
)</f>
        <v/>
      </c>
      <c r="X61" t="str">
        <f>_xlfn.LET(
  _xlpm.result, _xlfn.XLOOKUP($B61, Result_Database!$A$2:$A$500, Result_Database!W$2:W$500),
  _xlfn.IFNA(_xlpm.result, "")
)</f>
        <v/>
      </c>
      <c r="Y61" t="str">
        <f>_xlfn.LET(
  _xlpm.result, _xlfn.XLOOKUP($B61, Result_Database!$A$2:$A$500, Result_Database!X$2:X$500),
  _xlfn.IFNA(_xlpm.result, "")
)</f>
        <v/>
      </c>
      <c r="Z61" t="str">
        <f>_xlfn.LET(
  _xlpm.result, _xlfn.XLOOKUP($B61, Result_Database!$A$2:$A$500, Result_Database!Y$2:Y$500),
  _xlfn.IFNA(_xlpm.result, "")
)</f>
        <v/>
      </c>
      <c r="AA61" t="str">
        <f>_xlfn.LET(
  _xlpm.result, _xlfn.XLOOKUP($B61, Result_Database!$A$2:$A$500, Result_Database!Z$2:Z$500),
  _xlfn.IFNA(_xlpm.result, "")
)</f>
        <v/>
      </c>
      <c r="AB61" t="str">
        <f>_xlfn.LET(
  _xlpm.result, _xlfn.XLOOKUP($B61, Result_Database!$A$2:$A$500, Result_Database!AA$2:AA$500),
  _xlfn.IFNA(_xlpm.result, "")
)</f>
        <v/>
      </c>
      <c r="AC61" t="str">
        <f>_xlfn.LET(
  _xlpm.result, _xlfn.XLOOKUP($B61, Result_Database!$A$2:$A$500, Result_Database!AB$2:AB$500),
  _xlfn.IFNA(_xlpm.result, "")
)</f>
        <v/>
      </c>
      <c r="AD61" t="str">
        <f>_xlfn.LET(
  _xlpm.result, _xlfn.XLOOKUP($B61, Result_Database!$A$2:$A$500, Result_Database!AC$2:AC$500),
  _xlfn.IFNA(_xlpm.result, "")
)</f>
        <v/>
      </c>
      <c r="AE61" t="str">
        <f>_xlfn.LET(
  _xlpm.result, _xlfn.XLOOKUP($B61, Result_Database!$A$2:$A$500, Result_Database!AD$2:AD$500),
  _xlfn.IFNA(_xlpm.result, "")
)</f>
        <v/>
      </c>
      <c r="AF61" t="str">
        <f>_xlfn.LET(
  _xlpm.result, _xlfn.XLOOKUP($B61, Result_Database!$A$2:$A$500, Result_Database!AE$2:AE$500),
  _xlfn.IFNA(_xlpm.result, "")
)</f>
        <v/>
      </c>
      <c r="AG61" t="str">
        <f>_xlfn.LET(
  _xlpm.result, _xlfn.XLOOKUP($B61, Result_Database!$A$2:$A$500, Result_Database!AF$2:AF$500),
  _xlfn.IFNA(_xlpm.result, "")
)</f>
        <v/>
      </c>
      <c r="AH61" t="str">
        <f>_xlfn.LET(
  _xlpm.result, _xlfn.XLOOKUP($B61, Result_Database!$A$2:$A$500, Result_Database!AG$2:AG$500),
  _xlfn.IFNA(_xlpm.result, "")
)</f>
        <v/>
      </c>
      <c r="AI61" t="str">
        <f>_xlfn.LET(
  _xlpm.result, _xlfn.XLOOKUP($B61, Result_Database!$A$2:$A$500, Result_Database!AH$2:AH$500),
  _xlfn.IFNA(_xlpm.result, "")
)</f>
        <v/>
      </c>
      <c r="AJ61" t="str">
        <f>_xlfn.LET(
  _xlpm.result, _xlfn.XLOOKUP($B61, Result_Database!$A$2:$A$500, Result_Database!AI$2:AI$500),
  _xlfn.IFNA(_xlpm.result, "")
)</f>
        <v/>
      </c>
      <c r="AK61" t="str">
        <f>_xlfn.LET(
  _xlpm.result, _xlfn.XLOOKUP($B61, Result_Database!$A$2:$A$500, Result_Database!AJ$2:AJ$500),
  _xlfn.IFNA(_xlpm.result, "")
)</f>
        <v/>
      </c>
      <c r="AL61" t="str">
        <f>_xlfn.LET(
  _xlpm.result, _xlfn.XLOOKUP($B61, Result_Database!$A$2:$A$500, Result_Database!AK$2:AK$500),
  _xlfn.IFNA(_xlpm.result, "")
)</f>
        <v/>
      </c>
      <c r="AM6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6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6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6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6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6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6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6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6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61" t="str">
        <f>IF(SUM(Table5[[#This Row],[A1]:[C6]])&lt;&gt;0,SUM(Table5[[#This Row],[A1]:[C6]]),"")</f>
        <v/>
      </c>
      <c r="AW61" t="str">
        <f>IF(SUM(Table5[[#This Row],[D7]:[F9]])=0,"",SUM(Table5[[#This Row],[D7]:[F9]]))</f>
        <v/>
      </c>
      <c r="AX6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6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6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6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6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6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61" t="str">
        <f>IF(COUNTIF(Table5[[#This Row],[English Language]:[Electrical/ Electronics]],"WITHHELD")=0,"",COUNTIF(Table5[[#This Row],[English Language]:[Electrical/ Electronics]],"WITHHELD"))</f>
        <v/>
      </c>
      <c r="BE61" t="str">
        <f>IF(SUM(Table5[[#This Row],[NO OF CREDITS]:[BELOW CREDITS]])=0,"",SUM(Table5[[#This Row],[NO OF CREDITS]:[BELOW CREDITS]]))</f>
        <v/>
      </c>
    </row>
    <row r="62" spans="1:57" x14ac:dyDescent="0.3">
      <c r="A62" t="str">
        <f>IF(B62&lt;&gt;"",COUNTA($B$6:B62),"")</f>
        <v/>
      </c>
      <c r="B62" t="str">
        <f>IF(Result_Database!A58="","",Result_Database!A58)</f>
        <v/>
      </c>
      <c r="C62" t="str">
        <f>_xlfn.LET(
_xlpm.result,_xlfn.XLOOKUP($B62,Result_Database!$A$2:$A$500,Result_Database!$B$2:$B$500),
_xlfn.IFNA(_xlpm.result,"")
)</f>
        <v/>
      </c>
      <c r="D62" t="str">
        <f>_xlfn.LET(
  _xlpm.result, _xlfn.XLOOKUP($B62, Result_Database!$A$2:$A$500, Result_Database!C$2:C$500),
  _xlfn.IFNA(_xlpm.result, "")
)</f>
        <v/>
      </c>
      <c r="E62" t="str">
        <f>_xlfn.LET(
  _xlpm.result, _xlfn.XLOOKUP($B62, Result_Database!$A$2:$A$500, Result_Database!D$2:D$500),
  _xlfn.IFNA(_xlpm.result, "")
)</f>
        <v/>
      </c>
      <c r="F62" t="str">
        <f>_xlfn.LET(
  _xlpm.result, _xlfn.XLOOKUP($B62, Result_Database!$A$2:$A$500, Result_Database!E$2:E$500),
  _xlfn.IFNA(_xlpm.result, "")
)</f>
        <v/>
      </c>
      <c r="G62" t="str">
        <f>_xlfn.LET(
  _xlpm.result, _xlfn.XLOOKUP($B62, Result_Database!$A$2:$A$500, Result_Database!F$2:F$500),
  _xlfn.IFNA(_xlpm.result, "")
)</f>
        <v/>
      </c>
      <c r="H62" t="str">
        <f>_xlfn.LET(
  _xlpm.result, _xlfn.XLOOKUP($B62, Result_Database!$A$2:$A$500, Result_Database!G$2:G$500),
  _xlfn.IFNA(_xlpm.result, "")
)</f>
        <v/>
      </c>
      <c r="I62" t="str">
        <f>_xlfn.LET(
  _xlpm.result, _xlfn.XLOOKUP($B62, Result_Database!$A$2:$A$500, Result_Database!H$2:H$500),
  _xlfn.IFNA(_xlpm.result, "")
)</f>
        <v/>
      </c>
      <c r="J62" t="str">
        <f>_xlfn.LET(
  _xlpm.result, _xlfn.XLOOKUP($B62, Result_Database!$A$2:$A$500, Result_Database!I$2:I$500),
  _xlfn.IFNA(_xlpm.result, "")
)</f>
        <v/>
      </c>
      <c r="K62" t="str">
        <f>_xlfn.LET(
  _xlpm.result, _xlfn.XLOOKUP($B62, Result_Database!$A$2:$A$500, Result_Database!J$2:J$500),
  _xlfn.IFNA(_xlpm.result, "")
)</f>
        <v/>
      </c>
      <c r="L62" t="str">
        <f>_xlfn.LET(
  _xlpm.result, _xlfn.XLOOKUP($B62, Result_Database!$A$2:$A$500, Result_Database!K$2:K$500),
  _xlfn.IFNA(_xlpm.result, "")
)</f>
        <v/>
      </c>
      <c r="M62" t="str">
        <f>_xlfn.LET(
  _xlpm.result, _xlfn.XLOOKUP($B62, Result_Database!$A$2:$A$500, Result_Database!L$2:L$500),
  _xlfn.IFNA(_xlpm.result, "")
)</f>
        <v/>
      </c>
      <c r="N62" t="str">
        <f>_xlfn.LET(
  _xlpm.result, _xlfn.XLOOKUP($B62, Result_Database!$A$2:$A$500, Result_Database!M$2:M$500),
  _xlfn.IFNA(_xlpm.result, "")
)</f>
        <v/>
      </c>
      <c r="O62" t="str">
        <f>_xlfn.LET(
  _xlpm.result, _xlfn.XLOOKUP($B62, Result_Database!$A$2:$A$500, Result_Database!N$2:N$500),
  _xlfn.IFNA(_xlpm.result, "")
)</f>
        <v/>
      </c>
      <c r="P62" t="str">
        <f>_xlfn.LET(
  _xlpm.result, _xlfn.XLOOKUP($B62, Result_Database!$A$2:$A$500, Result_Database!O$2:O$500),
  _xlfn.IFNA(_xlpm.result, "")
)</f>
        <v/>
      </c>
      <c r="Q62" t="str">
        <f>_xlfn.LET(
  _xlpm.result, _xlfn.XLOOKUP($B62, Result_Database!$A$2:$A$500, Result_Database!P$2:P$500),
  _xlfn.IFNA(_xlpm.result, "")
)</f>
        <v/>
      </c>
      <c r="R62" t="str">
        <f>_xlfn.LET(
  _xlpm.result, _xlfn.XLOOKUP($B62, Result_Database!$A$2:$A$500, Result_Database!Q$2:Q$500),
  _xlfn.IFNA(_xlpm.result, "")
)</f>
        <v/>
      </c>
      <c r="S62" t="str">
        <f>_xlfn.LET(
  _xlpm.result, _xlfn.XLOOKUP($B62, Result_Database!$A$2:$A$500, Result_Database!R$2:R$500),
  _xlfn.IFNA(_xlpm.result, "")
)</f>
        <v/>
      </c>
      <c r="T62" t="str">
        <f>_xlfn.LET(
  _xlpm.result, _xlfn.XLOOKUP($B62, Result_Database!$A$2:$A$500, Result_Database!S$2:S$500),
  _xlfn.IFNA(_xlpm.result, "")
)</f>
        <v/>
      </c>
      <c r="U62" t="str">
        <f>_xlfn.LET(
  _xlpm.result, _xlfn.XLOOKUP($B62, Result_Database!$A$2:$A$500, Result_Database!T$2:T$500),
  _xlfn.IFNA(_xlpm.result, "")
)</f>
        <v/>
      </c>
      <c r="V62" t="str">
        <f>_xlfn.LET(
  _xlpm.result, _xlfn.XLOOKUP($B62, Result_Database!$A$2:$A$500, Result_Database!U$2:U$500),
  _xlfn.IFNA(_xlpm.result, "")
)</f>
        <v/>
      </c>
      <c r="W62" t="str">
        <f>_xlfn.LET(
  _xlpm.result, _xlfn.XLOOKUP($B62, Result_Database!$A$2:$A$500, Result_Database!V$2:V$500),
  _xlfn.IFNA(_xlpm.result, "")
)</f>
        <v/>
      </c>
      <c r="X62" t="str">
        <f>_xlfn.LET(
  _xlpm.result, _xlfn.XLOOKUP($B62, Result_Database!$A$2:$A$500, Result_Database!W$2:W$500),
  _xlfn.IFNA(_xlpm.result, "")
)</f>
        <v/>
      </c>
      <c r="Y62" t="str">
        <f>_xlfn.LET(
  _xlpm.result, _xlfn.XLOOKUP($B62, Result_Database!$A$2:$A$500, Result_Database!X$2:X$500),
  _xlfn.IFNA(_xlpm.result, "")
)</f>
        <v/>
      </c>
      <c r="Z62" t="str">
        <f>_xlfn.LET(
  _xlpm.result, _xlfn.XLOOKUP($B62, Result_Database!$A$2:$A$500, Result_Database!Y$2:Y$500),
  _xlfn.IFNA(_xlpm.result, "")
)</f>
        <v/>
      </c>
      <c r="AA62" t="str">
        <f>_xlfn.LET(
  _xlpm.result, _xlfn.XLOOKUP($B62, Result_Database!$A$2:$A$500, Result_Database!Z$2:Z$500),
  _xlfn.IFNA(_xlpm.result, "")
)</f>
        <v/>
      </c>
      <c r="AB62" t="str">
        <f>_xlfn.LET(
  _xlpm.result, _xlfn.XLOOKUP($B62, Result_Database!$A$2:$A$500, Result_Database!AA$2:AA$500),
  _xlfn.IFNA(_xlpm.result, "")
)</f>
        <v/>
      </c>
      <c r="AC62" t="str">
        <f>_xlfn.LET(
  _xlpm.result, _xlfn.XLOOKUP($B62, Result_Database!$A$2:$A$500, Result_Database!AB$2:AB$500),
  _xlfn.IFNA(_xlpm.result, "")
)</f>
        <v/>
      </c>
      <c r="AD62" t="str">
        <f>_xlfn.LET(
  _xlpm.result, _xlfn.XLOOKUP($B62, Result_Database!$A$2:$A$500, Result_Database!AC$2:AC$500),
  _xlfn.IFNA(_xlpm.result, "")
)</f>
        <v/>
      </c>
      <c r="AE62" t="str">
        <f>_xlfn.LET(
  _xlpm.result, _xlfn.XLOOKUP($B62, Result_Database!$A$2:$A$500, Result_Database!AD$2:AD$500),
  _xlfn.IFNA(_xlpm.result, "")
)</f>
        <v/>
      </c>
      <c r="AF62" t="str">
        <f>_xlfn.LET(
  _xlpm.result, _xlfn.XLOOKUP($B62, Result_Database!$A$2:$A$500, Result_Database!AE$2:AE$500),
  _xlfn.IFNA(_xlpm.result, "")
)</f>
        <v/>
      </c>
      <c r="AG62" t="str">
        <f>_xlfn.LET(
  _xlpm.result, _xlfn.XLOOKUP($B62, Result_Database!$A$2:$A$500, Result_Database!AF$2:AF$500),
  _xlfn.IFNA(_xlpm.result, "")
)</f>
        <v/>
      </c>
      <c r="AH62" t="str">
        <f>_xlfn.LET(
  _xlpm.result, _xlfn.XLOOKUP($B62, Result_Database!$A$2:$A$500, Result_Database!AG$2:AG$500),
  _xlfn.IFNA(_xlpm.result, "")
)</f>
        <v/>
      </c>
      <c r="AI62" t="str">
        <f>_xlfn.LET(
  _xlpm.result, _xlfn.XLOOKUP($B62, Result_Database!$A$2:$A$500, Result_Database!AH$2:AH$500),
  _xlfn.IFNA(_xlpm.result, "")
)</f>
        <v/>
      </c>
      <c r="AJ62" t="str">
        <f>_xlfn.LET(
  _xlpm.result, _xlfn.XLOOKUP($B62, Result_Database!$A$2:$A$500, Result_Database!AI$2:AI$500),
  _xlfn.IFNA(_xlpm.result, "")
)</f>
        <v/>
      </c>
      <c r="AK62" t="str">
        <f>_xlfn.LET(
  _xlpm.result, _xlfn.XLOOKUP($B62, Result_Database!$A$2:$A$500, Result_Database!AJ$2:AJ$500),
  _xlfn.IFNA(_xlpm.result, "")
)</f>
        <v/>
      </c>
      <c r="AL62" t="str">
        <f>_xlfn.LET(
  _xlpm.result, _xlfn.XLOOKUP($B62, Result_Database!$A$2:$A$500, Result_Database!AK$2:AK$500),
  _xlfn.IFNA(_xlpm.result, "")
)</f>
        <v/>
      </c>
      <c r="AM6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6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6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6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6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6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6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6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6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62" t="str">
        <f>IF(SUM(Table5[[#This Row],[A1]:[C6]])&lt;&gt;0,SUM(Table5[[#This Row],[A1]:[C6]]),"")</f>
        <v/>
      </c>
      <c r="AW62" t="str">
        <f>IF(SUM(Table5[[#This Row],[D7]:[F9]])=0,"",SUM(Table5[[#This Row],[D7]:[F9]]))</f>
        <v/>
      </c>
      <c r="AX6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6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6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6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6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6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62" t="str">
        <f>IF(COUNTIF(Table5[[#This Row],[English Language]:[Electrical/ Electronics]],"WITHHELD")=0,"",COUNTIF(Table5[[#This Row],[English Language]:[Electrical/ Electronics]],"WITHHELD"))</f>
        <v/>
      </c>
      <c r="BE62" t="str">
        <f>IF(SUM(Table5[[#This Row],[NO OF CREDITS]:[BELOW CREDITS]])=0,"",SUM(Table5[[#This Row],[NO OF CREDITS]:[BELOW CREDITS]]))</f>
        <v/>
      </c>
    </row>
    <row r="63" spans="1:57" x14ac:dyDescent="0.3">
      <c r="A63" t="str">
        <f>IF(B63&lt;&gt;"",COUNTA($B$6:B63),"")</f>
        <v/>
      </c>
      <c r="B63" t="str">
        <f>IF(Result_Database!A59="","",Result_Database!A59)</f>
        <v/>
      </c>
      <c r="C63" t="str">
        <f>_xlfn.LET(
_xlpm.result,_xlfn.XLOOKUP($B63,Result_Database!$A$2:$A$500,Result_Database!$B$2:$B$500),
_xlfn.IFNA(_xlpm.result,"")
)</f>
        <v/>
      </c>
      <c r="D63" t="str">
        <f>_xlfn.LET(
  _xlpm.result, _xlfn.XLOOKUP($B63, Result_Database!$A$2:$A$500, Result_Database!C$2:C$500),
  _xlfn.IFNA(_xlpm.result, "")
)</f>
        <v/>
      </c>
      <c r="E63" t="str">
        <f>_xlfn.LET(
  _xlpm.result, _xlfn.XLOOKUP($B63, Result_Database!$A$2:$A$500, Result_Database!D$2:D$500),
  _xlfn.IFNA(_xlpm.result, "")
)</f>
        <v/>
      </c>
      <c r="F63" t="str">
        <f>_xlfn.LET(
  _xlpm.result, _xlfn.XLOOKUP($B63, Result_Database!$A$2:$A$500, Result_Database!E$2:E$500),
  _xlfn.IFNA(_xlpm.result, "")
)</f>
        <v/>
      </c>
      <c r="G63" t="str">
        <f>_xlfn.LET(
  _xlpm.result, _xlfn.XLOOKUP($B63, Result_Database!$A$2:$A$500, Result_Database!F$2:F$500),
  _xlfn.IFNA(_xlpm.result, "")
)</f>
        <v/>
      </c>
      <c r="H63" t="str">
        <f>_xlfn.LET(
  _xlpm.result, _xlfn.XLOOKUP($B63, Result_Database!$A$2:$A$500, Result_Database!G$2:G$500),
  _xlfn.IFNA(_xlpm.result, "")
)</f>
        <v/>
      </c>
      <c r="I63" t="str">
        <f>_xlfn.LET(
  _xlpm.result, _xlfn.XLOOKUP($B63, Result_Database!$A$2:$A$500, Result_Database!H$2:H$500),
  _xlfn.IFNA(_xlpm.result, "")
)</f>
        <v/>
      </c>
      <c r="J63" t="str">
        <f>_xlfn.LET(
  _xlpm.result, _xlfn.XLOOKUP($B63, Result_Database!$A$2:$A$500, Result_Database!I$2:I$500),
  _xlfn.IFNA(_xlpm.result, "")
)</f>
        <v/>
      </c>
      <c r="K63" t="str">
        <f>_xlfn.LET(
  _xlpm.result, _xlfn.XLOOKUP($B63, Result_Database!$A$2:$A$500, Result_Database!J$2:J$500),
  _xlfn.IFNA(_xlpm.result, "")
)</f>
        <v/>
      </c>
      <c r="L63" t="str">
        <f>_xlfn.LET(
  _xlpm.result, _xlfn.XLOOKUP($B63, Result_Database!$A$2:$A$500, Result_Database!K$2:K$500),
  _xlfn.IFNA(_xlpm.result, "")
)</f>
        <v/>
      </c>
      <c r="M63" t="str">
        <f>_xlfn.LET(
  _xlpm.result, _xlfn.XLOOKUP($B63, Result_Database!$A$2:$A$500, Result_Database!L$2:L$500),
  _xlfn.IFNA(_xlpm.result, "")
)</f>
        <v/>
      </c>
      <c r="N63" t="str">
        <f>_xlfn.LET(
  _xlpm.result, _xlfn.XLOOKUP($B63, Result_Database!$A$2:$A$500, Result_Database!M$2:M$500),
  _xlfn.IFNA(_xlpm.result, "")
)</f>
        <v/>
      </c>
      <c r="O63" t="str">
        <f>_xlfn.LET(
  _xlpm.result, _xlfn.XLOOKUP($B63, Result_Database!$A$2:$A$500, Result_Database!N$2:N$500),
  _xlfn.IFNA(_xlpm.result, "")
)</f>
        <v/>
      </c>
      <c r="P63" t="str">
        <f>_xlfn.LET(
  _xlpm.result, _xlfn.XLOOKUP($B63, Result_Database!$A$2:$A$500, Result_Database!O$2:O$500),
  _xlfn.IFNA(_xlpm.result, "")
)</f>
        <v/>
      </c>
      <c r="Q63" t="str">
        <f>_xlfn.LET(
  _xlpm.result, _xlfn.XLOOKUP($B63, Result_Database!$A$2:$A$500, Result_Database!P$2:P$500),
  _xlfn.IFNA(_xlpm.result, "")
)</f>
        <v/>
      </c>
      <c r="R63" t="str">
        <f>_xlfn.LET(
  _xlpm.result, _xlfn.XLOOKUP($B63, Result_Database!$A$2:$A$500, Result_Database!Q$2:Q$500),
  _xlfn.IFNA(_xlpm.result, "")
)</f>
        <v/>
      </c>
      <c r="S63" t="str">
        <f>_xlfn.LET(
  _xlpm.result, _xlfn.XLOOKUP($B63, Result_Database!$A$2:$A$500, Result_Database!R$2:R$500),
  _xlfn.IFNA(_xlpm.result, "")
)</f>
        <v/>
      </c>
      <c r="T63" t="str">
        <f>_xlfn.LET(
  _xlpm.result, _xlfn.XLOOKUP($B63, Result_Database!$A$2:$A$500, Result_Database!S$2:S$500),
  _xlfn.IFNA(_xlpm.result, "")
)</f>
        <v/>
      </c>
      <c r="U63" t="str">
        <f>_xlfn.LET(
  _xlpm.result, _xlfn.XLOOKUP($B63, Result_Database!$A$2:$A$500, Result_Database!T$2:T$500),
  _xlfn.IFNA(_xlpm.result, "")
)</f>
        <v/>
      </c>
      <c r="V63" t="str">
        <f>_xlfn.LET(
  _xlpm.result, _xlfn.XLOOKUP($B63, Result_Database!$A$2:$A$500, Result_Database!U$2:U$500),
  _xlfn.IFNA(_xlpm.result, "")
)</f>
        <v/>
      </c>
      <c r="W63" t="str">
        <f>_xlfn.LET(
  _xlpm.result, _xlfn.XLOOKUP($B63, Result_Database!$A$2:$A$500, Result_Database!V$2:V$500),
  _xlfn.IFNA(_xlpm.result, "")
)</f>
        <v/>
      </c>
      <c r="X63" t="str">
        <f>_xlfn.LET(
  _xlpm.result, _xlfn.XLOOKUP($B63, Result_Database!$A$2:$A$500, Result_Database!W$2:W$500),
  _xlfn.IFNA(_xlpm.result, "")
)</f>
        <v/>
      </c>
      <c r="Y63" t="str">
        <f>_xlfn.LET(
  _xlpm.result, _xlfn.XLOOKUP($B63, Result_Database!$A$2:$A$500, Result_Database!X$2:X$500),
  _xlfn.IFNA(_xlpm.result, "")
)</f>
        <v/>
      </c>
      <c r="Z63" t="str">
        <f>_xlfn.LET(
  _xlpm.result, _xlfn.XLOOKUP($B63, Result_Database!$A$2:$A$500, Result_Database!Y$2:Y$500),
  _xlfn.IFNA(_xlpm.result, "")
)</f>
        <v/>
      </c>
      <c r="AA63" t="str">
        <f>_xlfn.LET(
  _xlpm.result, _xlfn.XLOOKUP($B63, Result_Database!$A$2:$A$500, Result_Database!Z$2:Z$500),
  _xlfn.IFNA(_xlpm.result, "")
)</f>
        <v/>
      </c>
      <c r="AB63" t="str">
        <f>_xlfn.LET(
  _xlpm.result, _xlfn.XLOOKUP($B63, Result_Database!$A$2:$A$500, Result_Database!AA$2:AA$500),
  _xlfn.IFNA(_xlpm.result, "")
)</f>
        <v/>
      </c>
      <c r="AC63" t="str">
        <f>_xlfn.LET(
  _xlpm.result, _xlfn.XLOOKUP($B63, Result_Database!$A$2:$A$500, Result_Database!AB$2:AB$500),
  _xlfn.IFNA(_xlpm.result, "")
)</f>
        <v/>
      </c>
      <c r="AD63" t="str">
        <f>_xlfn.LET(
  _xlpm.result, _xlfn.XLOOKUP($B63, Result_Database!$A$2:$A$500, Result_Database!AC$2:AC$500),
  _xlfn.IFNA(_xlpm.result, "")
)</f>
        <v/>
      </c>
      <c r="AE63" t="str">
        <f>_xlfn.LET(
  _xlpm.result, _xlfn.XLOOKUP($B63, Result_Database!$A$2:$A$500, Result_Database!AD$2:AD$500),
  _xlfn.IFNA(_xlpm.result, "")
)</f>
        <v/>
      </c>
      <c r="AF63" t="str">
        <f>_xlfn.LET(
  _xlpm.result, _xlfn.XLOOKUP($B63, Result_Database!$A$2:$A$500, Result_Database!AE$2:AE$500),
  _xlfn.IFNA(_xlpm.result, "")
)</f>
        <v/>
      </c>
      <c r="AG63" t="str">
        <f>_xlfn.LET(
  _xlpm.result, _xlfn.XLOOKUP($B63, Result_Database!$A$2:$A$500, Result_Database!AF$2:AF$500),
  _xlfn.IFNA(_xlpm.result, "")
)</f>
        <v/>
      </c>
      <c r="AH63" t="str">
        <f>_xlfn.LET(
  _xlpm.result, _xlfn.XLOOKUP($B63, Result_Database!$A$2:$A$500, Result_Database!AG$2:AG$500),
  _xlfn.IFNA(_xlpm.result, "")
)</f>
        <v/>
      </c>
      <c r="AI63" t="str">
        <f>_xlfn.LET(
  _xlpm.result, _xlfn.XLOOKUP($B63, Result_Database!$A$2:$A$500, Result_Database!AH$2:AH$500),
  _xlfn.IFNA(_xlpm.result, "")
)</f>
        <v/>
      </c>
      <c r="AJ63" t="str">
        <f>_xlfn.LET(
  _xlpm.result, _xlfn.XLOOKUP($B63, Result_Database!$A$2:$A$500, Result_Database!AI$2:AI$500),
  _xlfn.IFNA(_xlpm.result, "")
)</f>
        <v/>
      </c>
      <c r="AK63" t="str">
        <f>_xlfn.LET(
  _xlpm.result, _xlfn.XLOOKUP($B63, Result_Database!$A$2:$A$500, Result_Database!AJ$2:AJ$500),
  _xlfn.IFNA(_xlpm.result, "")
)</f>
        <v/>
      </c>
      <c r="AL63" t="str">
        <f>_xlfn.LET(
  _xlpm.result, _xlfn.XLOOKUP($B63, Result_Database!$A$2:$A$500, Result_Database!AK$2:AK$500),
  _xlfn.IFNA(_xlpm.result, "")
)</f>
        <v/>
      </c>
      <c r="AM6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6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6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6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6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6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6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6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6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63" t="str">
        <f>IF(SUM(Table5[[#This Row],[A1]:[C6]])&lt;&gt;0,SUM(Table5[[#This Row],[A1]:[C6]]),"")</f>
        <v/>
      </c>
      <c r="AW63" t="str">
        <f>IF(SUM(Table5[[#This Row],[D7]:[F9]])=0,"",SUM(Table5[[#This Row],[D7]:[F9]]))</f>
        <v/>
      </c>
      <c r="AX6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6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6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6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6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6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63" t="str">
        <f>IF(COUNTIF(Table5[[#This Row],[English Language]:[Electrical/ Electronics]],"WITHHELD")=0,"",COUNTIF(Table5[[#This Row],[English Language]:[Electrical/ Electronics]],"WITHHELD"))</f>
        <v/>
      </c>
      <c r="BE63" t="str">
        <f>IF(SUM(Table5[[#This Row],[NO OF CREDITS]:[BELOW CREDITS]])=0,"",SUM(Table5[[#This Row],[NO OF CREDITS]:[BELOW CREDITS]]))</f>
        <v/>
      </c>
    </row>
    <row r="64" spans="1:57" x14ac:dyDescent="0.3">
      <c r="A64" t="str">
        <f>IF(B64&lt;&gt;"",COUNTA($B$6:B64),"")</f>
        <v/>
      </c>
      <c r="B64" t="str">
        <f>IF(Result_Database!A60="","",Result_Database!A60)</f>
        <v/>
      </c>
      <c r="C64" t="str">
        <f>_xlfn.LET(
_xlpm.result,_xlfn.XLOOKUP($B64,Result_Database!$A$2:$A$500,Result_Database!$B$2:$B$500),
_xlfn.IFNA(_xlpm.result,"")
)</f>
        <v/>
      </c>
      <c r="D64" t="str">
        <f>_xlfn.LET(
  _xlpm.result, _xlfn.XLOOKUP($B64, Result_Database!$A$2:$A$500, Result_Database!C$2:C$500),
  _xlfn.IFNA(_xlpm.result, "")
)</f>
        <v/>
      </c>
      <c r="E64" t="str">
        <f>_xlfn.LET(
  _xlpm.result, _xlfn.XLOOKUP($B64, Result_Database!$A$2:$A$500, Result_Database!D$2:D$500),
  _xlfn.IFNA(_xlpm.result, "")
)</f>
        <v/>
      </c>
      <c r="F64" t="str">
        <f>_xlfn.LET(
  _xlpm.result, _xlfn.XLOOKUP($B64, Result_Database!$A$2:$A$500, Result_Database!E$2:E$500),
  _xlfn.IFNA(_xlpm.result, "")
)</f>
        <v/>
      </c>
      <c r="G64" t="str">
        <f>_xlfn.LET(
  _xlpm.result, _xlfn.XLOOKUP($B64, Result_Database!$A$2:$A$500, Result_Database!F$2:F$500),
  _xlfn.IFNA(_xlpm.result, "")
)</f>
        <v/>
      </c>
      <c r="H64" t="str">
        <f>_xlfn.LET(
  _xlpm.result, _xlfn.XLOOKUP($B64, Result_Database!$A$2:$A$500, Result_Database!G$2:G$500),
  _xlfn.IFNA(_xlpm.result, "")
)</f>
        <v/>
      </c>
      <c r="I64" t="str">
        <f>_xlfn.LET(
  _xlpm.result, _xlfn.XLOOKUP($B64, Result_Database!$A$2:$A$500, Result_Database!H$2:H$500),
  _xlfn.IFNA(_xlpm.result, "")
)</f>
        <v/>
      </c>
      <c r="J64" t="str">
        <f>_xlfn.LET(
  _xlpm.result, _xlfn.XLOOKUP($B64, Result_Database!$A$2:$A$500, Result_Database!I$2:I$500),
  _xlfn.IFNA(_xlpm.result, "")
)</f>
        <v/>
      </c>
      <c r="K64" t="str">
        <f>_xlfn.LET(
  _xlpm.result, _xlfn.XLOOKUP($B64, Result_Database!$A$2:$A$500, Result_Database!J$2:J$500),
  _xlfn.IFNA(_xlpm.result, "")
)</f>
        <v/>
      </c>
      <c r="L64" t="str">
        <f>_xlfn.LET(
  _xlpm.result, _xlfn.XLOOKUP($B64, Result_Database!$A$2:$A$500, Result_Database!K$2:K$500),
  _xlfn.IFNA(_xlpm.result, "")
)</f>
        <v/>
      </c>
      <c r="M64" t="str">
        <f>_xlfn.LET(
  _xlpm.result, _xlfn.XLOOKUP($B64, Result_Database!$A$2:$A$500, Result_Database!L$2:L$500),
  _xlfn.IFNA(_xlpm.result, "")
)</f>
        <v/>
      </c>
      <c r="N64" t="str">
        <f>_xlfn.LET(
  _xlpm.result, _xlfn.XLOOKUP($B64, Result_Database!$A$2:$A$500, Result_Database!M$2:M$500),
  _xlfn.IFNA(_xlpm.result, "")
)</f>
        <v/>
      </c>
      <c r="O64" t="str">
        <f>_xlfn.LET(
  _xlpm.result, _xlfn.XLOOKUP($B64, Result_Database!$A$2:$A$500, Result_Database!N$2:N$500),
  _xlfn.IFNA(_xlpm.result, "")
)</f>
        <v/>
      </c>
      <c r="P64" t="str">
        <f>_xlfn.LET(
  _xlpm.result, _xlfn.XLOOKUP($B64, Result_Database!$A$2:$A$500, Result_Database!O$2:O$500),
  _xlfn.IFNA(_xlpm.result, "")
)</f>
        <v/>
      </c>
      <c r="Q64" t="str">
        <f>_xlfn.LET(
  _xlpm.result, _xlfn.XLOOKUP($B64, Result_Database!$A$2:$A$500, Result_Database!P$2:P$500),
  _xlfn.IFNA(_xlpm.result, "")
)</f>
        <v/>
      </c>
      <c r="R64" t="str">
        <f>_xlfn.LET(
  _xlpm.result, _xlfn.XLOOKUP($B64, Result_Database!$A$2:$A$500, Result_Database!Q$2:Q$500),
  _xlfn.IFNA(_xlpm.result, "")
)</f>
        <v/>
      </c>
      <c r="S64" t="str">
        <f>_xlfn.LET(
  _xlpm.result, _xlfn.XLOOKUP($B64, Result_Database!$A$2:$A$500, Result_Database!R$2:R$500),
  _xlfn.IFNA(_xlpm.result, "")
)</f>
        <v/>
      </c>
      <c r="T64" t="str">
        <f>_xlfn.LET(
  _xlpm.result, _xlfn.XLOOKUP($B64, Result_Database!$A$2:$A$500, Result_Database!S$2:S$500),
  _xlfn.IFNA(_xlpm.result, "")
)</f>
        <v/>
      </c>
      <c r="U64" t="str">
        <f>_xlfn.LET(
  _xlpm.result, _xlfn.XLOOKUP($B64, Result_Database!$A$2:$A$500, Result_Database!T$2:T$500),
  _xlfn.IFNA(_xlpm.result, "")
)</f>
        <v/>
      </c>
      <c r="V64" t="str">
        <f>_xlfn.LET(
  _xlpm.result, _xlfn.XLOOKUP($B64, Result_Database!$A$2:$A$500, Result_Database!U$2:U$500),
  _xlfn.IFNA(_xlpm.result, "")
)</f>
        <v/>
      </c>
      <c r="W64" t="str">
        <f>_xlfn.LET(
  _xlpm.result, _xlfn.XLOOKUP($B64, Result_Database!$A$2:$A$500, Result_Database!V$2:V$500),
  _xlfn.IFNA(_xlpm.result, "")
)</f>
        <v/>
      </c>
      <c r="X64" t="str">
        <f>_xlfn.LET(
  _xlpm.result, _xlfn.XLOOKUP($B64, Result_Database!$A$2:$A$500, Result_Database!W$2:W$500),
  _xlfn.IFNA(_xlpm.result, "")
)</f>
        <v/>
      </c>
      <c r="Y64" t="str">
        <f>_xlfn.LET(
  _xlpm.result, _xlfn.XLOOKUP($B64, Result_Database!$A$2:$A$500, Result_Database!X$2:X$500),
  _xlfn.IFNA(_xlpm.result, "")
)</f>
        <v/>
      </c>
      <c r="Z64" t="str">
        <f>_xlfn.LET(
  _xlpm.result, _xlfn.XLOOKUP($B64, Result_Database!$A$2:$A$500, Result_Database!Y$2:Y$500),
  _xlfn.IFNA(_xlpm.result, "")
)</f>
        <v/>
      </c>
      <c r="AA64" t="str">
        <f>_xlfn.LET(
  _xlpm.result, _xlfn.XLOOKUP($B64, Result_Database!$A$2:$A$500, Result_Database!Z$2:Z$500),
  _xlfn.IFNA(_xlpm.result, "")
)</f>
        <v/>
      </c>
      <c r="AB64" t="str">
        <f>_xlfn.LET(
  _xlpm.result, _xlfn.XLOOKUP($B64, Result_Database!$A$2:$A$500, Result_Database!AA$2:AA$500),
  _xlfn.IFNA(_xlpm.result, "")
)</f>
        <v/>
      </c>
      <c r="AC64" t="str">
        <f>_xlfn.LET(
  _xlpm.result, _xlfn.XLOOKUP($B64, Result_Database!$A$2:$A$500, Result_Database!AB$2:AB$500),
  _xlfn.IFNA(_xlpm.result, "")
)</f>
        <v/>
      </c>
      <c r="AD64" t="str">
        <f>_xlfn.LET(
  _xlpm.result, _xlfn.XLOOKUP($B64, Result_Database!$A$2:$A$500, Result_Database!AC$2:AC$500),
  _xlfn.IFNA(_xlpm.result, "")
)</f>
        <v/>
      </c>
      <c r="AE64" t="str">
        <f>_xlfn.LET(
  _xlpm.result, _xlfn.XLOOKUP($B64, Result_Database!$A$2:$A$500, Result_Database!AD$2:AD$500),
  _xlfn.IFNA(_xlpm.result, "")
)</f>
        <v/>
      </c>
      <c r="AF64" t="str">
        <f>_xlfn.LET(
  _xlpm.result, _xlfn.XLOOKUP($B64, Result_Database!$A$2:$A$500, Result_Database!AE$2:AE$500),
  _xlfn.IFNA(_xlpm.result, "")
)</f>
        <v/>
      </c>
      <c r="AG64" t="str">
        <f>_xlfn.LET(
  _xlpm.result, _xlfn.XLOOKUP($B64, Result_Database!$A$2:$A$500, Result_Database!AF$2:AF$500),
  _xlfn.IFNA(_xlpm.result, "")
)</f>
        <v/>
      </c>
      <c r="AH64" t="str">
        <f>_xlfn.LET(
  _xlpm.result, _xlfn.XLOOKUP($B64, Result_Database!$A$2:$A$500, Result_Database!AG$2:AG$500),
  _xlfn.IFNA(_xlpm.result, "")
)</f>
        <v/>
      </c>
      <c r="AI64" t="str">
        <f>_xlfn.LET(
  _xlpm.result, _xlfn.XLOOKUP($B64, Result_Database!$A$2:$A$500, Result_Database!AH$2:AH$500),
  _xlfn.IFNA(_xlpm.result, "")
)</f>
        <v/>
      </c>
      <c r="AJ64" t="str">
        <f>_xlfn.LET(
  _xlpm.result, _xlfn.XLOOKUP($B64, Result_Database!$A$2:$A$500, Result_Database!AI$2:AI$500),
  _xlfn.IFNA(_xlpm.result, "")
)</f>
        <v/>
      </c>
      <c r="AK64" t="str">
        <f>_xlfn.LET(
  _xlpm.result, _xlfn.XLOOKUP($B64, Result_Database!$A$2:$A$500, Result_Database!AJ$2:AJ$500),
  _xlfn.IFNA(_xlpm.result, "")
)</f>
        <v/>
      </c>
      <c r="AL64" t="str">
        <f>_xlfn.LET(
  _xlpm.result, _xlfn.XLOOKUP($B64, Result_Database!$A$2:$A$500, Result_Database!AK$2:AK$500),
  _xlfn.IFNA(_xlpm.result, "")
)</f>
        <v/>
      </c>
      <c r="AM6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6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6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6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6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6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6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6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6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64" t="str">
        <f>IF(SUM(Table5[[#This Row],[A1]:[C6]])&lt;&gt;0,SUM(Table5[[#This Row],[A1]:[C6]]),"")</f>
        <v/>
      </c>
      <c r="AW64" t="str">
        <f>IF(SUM(Table5[[#This Row],[D7]:[F9]])=0,"",SUM(Table5[[#This Row],[D7]:[F9]]))</f>
        <v/>
      </c>
      <c r="AX6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6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6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6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6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6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64" t="str">
        <f>IF(COUNTIF(Table5[[#This Row],[English Language]:[Electrical/ Electronics]],"WITHHELD")=0,"",COUNTIF(Table5[[#This Row],[English Language]:[Electrical/ Electronics]],"WITHHELD"))</f>
        <v/>
      </c>
      <c r="BE64" t="str">
        <f>IF(SUM(Table5[[#This Row],[NO OF CREDITS]:[BELOW CREDITS]])=0,"",SUM(Table5[[#This Row],[NO OF CREDITS]:[BELOW CREDITS]]))</f>
        <v/>
      </c>
    </row>
    <row r="65" spans="1:57" x14ac:dyDescent="0.3">
      <c r="A65" t="str">
        <f>IF(B65&lt;&gt;"",COUNTA($B$6:B65),"")</f>
        <v/>
      </c>
      <c r="B65" t="str">
        <f>IF(Result_Database!A61="","",Result_Database!A61)</f>
        <v/>
      </c>
      <c r="C65" t="str">
        <f>_xlfn.LET(
_xlpm.result,_xlfn.XLOOKUP($B65,Result_Database!$A$2:$A$500,Result_Database!$B$2:$B$500),
_xlfn.IFNA(_xlpm.result,"")
)</f>
        <v/>
      </c>
      <c r="D65" t="str">
        <f>_xlfn.LET(
  _xlpm.result, _xlfn.XLOOKUP($B65, Result_Database!$A$2:$A$500, Result_Database!C$2:C$500),
  _xlfn.IFNA(_xlpm.result, "")
)</f>
        <v/>
      </c>
      <c r="E65" t="str">
        <f>_xlfn.LET(
  _xlpm.result, _xlfn.XLOOKUP($B65, Result_Database!$A$2:$A$500, Result_Database!D$2:D$500),
  _xlfn.IFNA(_xlpm.result, "")
)</f>
        <v/>
      </c>
      <c r="F65" t="str">
        <f>_xlfn.LET(
  _xlpm.result, _xlfn.XLOOKUP($B65, Result_Database!$A$2:$A$500, Result_Database!E$2:E$500),
  _xlfn.IFNA(_xlpm.result, "")
)</f>
        <v/>
      </c>
      <c r="G65" t="str">
        <f>_xlfn.LET(
  _xlpm.result, _xlfn.XLOOKUP($B65, Result_Database!$A$2:$A$500, Result_Database!F$2:F$500),
  _xlfn.IFNA(_xlpm.result, "")
)</f>
        <v/>
      </c>
      <c r="H65" t="str">
        <f>_xlfn.LET(
  _xlpm.result, _xlfn.XLOOKUP($B65, Result_Database!$A$2:$A$500, Result_Database!G$2:G$500),
  _xlfn.IFNA(_xlpm.result, "")
)</f>
        <v/>
      </c>
      <c r="I65" t="str">
        <f>_xlfn.LET(
  _xlpm.result, _xlfn.XLOOKUP($B65, Result_Database!$A$2:$A$500, Result_Database!H$2:H$500),
  _xlfn.IFNA(_xlpm.result, "")
)</f>
        <v/>
      </c>
      <c r="J65" t="str">
        <f>_xlfn.LET(
  _xlpm.result, _xlfn.XLOOKUP($B65, Result_Database!$A$2:$A$500, Result_Database!I$2:I$500),
  _xlfn.IFNA(_xlpm.result, "")
)</f>
        <v/>
      </c>
      <c r="K65" t="str">
        <f>_xlfn.LET(
  _xlpm.result, _xlfn.XLOOKUP($B65, Result_Database!$A$2:$A$500, Result_Database!J$2:J$500),
  _xlfn.IFNA(_xlpm.result, "")
)</f>
        <v/>
      </c>
      <c r="L65" t="str">
        <f>_xlfn.LET(
  _xlpm.result, _xlfn.XLOOKUP($B65, Result_Database!$A$2:$A$500, Result_Database!K$2:K$500),
  _xlfn.IFNA(_xlpm.result, "")
)</f>
        <v/>
      </c>
      <c r="M65" t="str">
        <f>_xlfn.LET(
  _xlpm.result, _xlfn.XLOOKUP($B65, Result_Database!$A$2:$A$500, Result_Database!L$2:L$500),
  _xlfn.IFNA(_xlpm.result, "")
)</f>
        <v/>
      </c>
      <c r="N65" t="str">
        <f>_xlfn.LET(
  _xlpm.result, _xlfn.XLOOKUP($B65, Result_Database!$A$2:$A$500, Result_Database!M$2:M$500),
  _xlfn.IFNA(_xlpm.result, "")
)</f>
        <v/>
      </c>
      <c r="O65" t="str">
        <f>_xlfn.LET(
  _xlpm.result, _xlfn.XLOOKUP($B65, Result_Database!$A$2:$A$500, Result_Database!N$2:N$500),
  _xlfn.IFNA(_xlpm.result, "")
)</f>
        <v/>
      </c>
      <c r="P65" t="str">
        <f>_xlfn.LET(
  _xlpm.result, _xlfn.XLOOKUP($B65, Result_Database!$A$2:$A$500, Result_Database!O$2:O$500),
  _xlfn.IFNA(_xlpm.result, "")
)</f>
        <v/>
      </c>
      <c r="Q65" t="str">
        <f>_xlfn.LET(
  _xlpm.result, _xlfn.XLOOKUP($B65, Result_Database!$A$2:$A$500, Result_Database!P$2:P$500),
  _xlfn.IFNA(_xlpm.result, "")
)</f>
        <v/>
      </c>
      <c r="R65" t="str">
        <f>_xlfn.LET(
  _xlpm.result, _xlfn.XLOOKUP($B65, Result_Database!$A$2:$A$500, Result_Database!Q$2:Q$500),
  _xlfn.IFNA(_xlpm.result, "")
)</f>
        <v/>
      </c>
      <c r="S65" t="str">
        <f>_xlfn.LET(
  _xlpm.result, _xlfn.XLOOKUP($B65, Result_Database!$A$2:$A$500, Result_Database!R$2:R$500),
  _xlfn.IFNA(_xlpm.result, "")
)</f>
        <v/>
      </c>
      <c r="T65" t="str">
        <f>_xlfn.LET(
  _xlpm.result, _xlfn.XLOOKUP($B65, Result_Database!$A$2:$A$500, Result_Database!S$2:S$500),
  _xlfn.IFNA(_xlpm.result, "")
)</f>
        <v/>
      </c>
      <c r="U65" t="str">
        <f>_xlfn.LET(
  _xlpm.result, _xlfn.XLOOKUP($B65, Result_Database!$A$2:$A$500, Result_Database!T$2:T$500),
  _xlfn.IFNA(_xlpm.result, "")
)</f>
        <v/>
      </c>
      <c r="V65" t="str">
        <f>_xlfn.LET(
  _xlpm.result, _xlfn.XLOOKUP($B65, Result_Database!$A$2:$A$500, Result_Database!U$2:U$500),
  _xlfn.IFNA(_xlpm.result, "")
)</f>
        <v/>
      </c>
      <c r="W65" t="str">
        <f>_xlfn.LET(
  _xlpm.result, _xlfn.XLOOKUP($B65, Result_Database!$A$2:$A$500, Result_Database!V$2:V$500),
  _xlfn.IFNA(_xlpm.result, "")
)</f>
        <v/>
      </c>
      <c r="X65" t="str">
        <f>_xlfn.LET(
  _xlpm.result, _xlfn.XLOOKUP($B65, Result_Database!$A$2:$A$500, Result_Database!W$2:W$500),
  _xlfn.IFNA(_xlpm.result, "")
)</f>
        <v/>
      </c>
      <c r="Y65" t="str">
        <f>_xlfn.LET(
  _xlpm.result, _xlfn.XLOOKUP($B65, Result_Database!$A$2:$A$500, Result_Database!X$2:X$500),
  _xlfn.IFNA(_xlpm.result, "")
)</f>
        <v/>
      </c>
      <c r="Z65" t="str">
        <f>_xlfn.LET(
  _xlpm.result, _xlfn.XLOOKUP($B65, Result_Database!$A$2:$A$500, Result_Database!Y$2:Y$500),
  _xlfn.IFNA(_xlpm.result, "")
)</f>
        <v/>
      </c>
      <c r="AA65" t="str">
        <f>_xlfn.LET(
  _xlpm.result, _xlfn.XLOOKUP($B65, Result_Database!$A$2:$A$500, Result_Database!Z$2:Z$500),
  _xlfn.IFNA(_xlpm.result, "")
)</f>
        <v/>
      </c>
      <c r="AB65" t="str">
        <f>_xlfn.LET(
  _xlpm.result, _xlfn.XLOOKUP($B65, Result_Database!$A$2:$A$500, Result_Database!AA$2:AA$500),
  _xlfn.IFNA(_xlpm.result, "")
)</f>
        <v/>
      </c>
      <c r="AC65" t="str">
        <f>_xlfn.LET(
  _xlpm.result, _xlfn.XLOOKUP($B65, Result_Database!$A$2:$A$500, Result_Database!AB$2:AB$500),
  _xlfn.IFNA(_xlpm.result, "")
)</f>
        <v/>
      </c>
      <c r="AD65" t="str">
        <f>_xlfn.LET(
  _xlpm.result, _xlfn.XLOOKUP($B65, Result_Database!$A$2:$A$500, Result_Database!AC$2:AC$500),
  _xlfn.IFNA(_xlpm.result, "")
)</f>
        <v/>
      </c>
      <c r="AE65" t="str">
        <f>_xlfn.LET(
  _xlpm.result, _xlfn.XLOOKUP($B65, Result_Database!$A$2:$A$500, Result_Database!AD$2:AD$500),
  _xlfn.IFNA(_xlpm.result, "")
)</f>
        <v/>
      </c>
      <c r="AF65" t="str">
        <f>_xlfn.LET(
  _xlpm.result, _xlfn.XLOOKUP($B65, Result_Database!$A$2:$A$500, Result_Database!AE$2:AE$500),
  _xlfn.IFNA(_xlpm.result, "")
)</f>
        <v/>
      </c>
      <c r="AG65" t="str">
        <f>_xlfn.LET(
  _xlpm.result, _xlfn.XLOOKUP($B65, Result_Database!$A$2:$A$500, Result_Database!AF$2:AF$500),
  _xlfn.IFNA(_xlpm.result, "")
)</f>
        <v/>
      </c>
      <c r="AH65" t="str">
        <f>_xlfn.LET(
  _xlpm.result, _xlfn.XLOOKUP($B65, Result_Database!$A$2:$A$500, Result_Database!AG$2:AG$500),
  _xlfn.IFNA(_xlpm.result, "")
)</f>
        <v/>
      </c>
      <c r="AI65" t="str">
        <f>_xlfn.LET(
  _xlpm.result, _xlfn.XLOOKUP($B65, Result_Database!$A$2:$A$500, Result_Database!AH$2:AH$500),
  _xlfn.IFNA(_xlpm.result, "")
)</f>
        <v/>
      </c>
      <c r="AJ65" t="str">
        <f>_xlfn.LET(
  _xlpm.result, _xlfn.XLOOKUP($B65, Result_Database!$A$2:$A$500, Result_Database!AI$2:AI$500),
  _xlfn.IFNA(_xlpm.result, "")
)</f>
        <v/>
      </c>
      <c r="AK65" t="str">
        <f>_xlfn.LET(
  _xlpm.result, _xlfn.XLOOKUP($B65, Result_Database!$A$2:$A$500, Result_Database!AJ$2:AJ$500),
  _xlfn.IFNA(_xlpm.result, "")
)</f>
        <v/>
      </c>
      <c r="AL65" t="str">
        <f>_xlfn.LET(
  _xlpm.result, _xlfn.XLOOKUP($B65, Result_Database!$A$2:$A$500, Result_Database!AK$2:AK$500),
  _xlfn.IFNA(_xlpm.result, "")
)</f>
        <v/>
      </c>
      <c r="AM6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6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6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6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6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6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6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6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6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65" t="str">
        <f>IF(SUM(Table5[[#This Row],[A1]:[C6]])&lt;&gt;0,SUM(Table5[[#This Row],[A1]:[C6]]),"")</f>
        <v/>
      </c>
      <c r="AW65" t="str">
        <f>IF(SUM(Table5[[#This Row],[D7]:[F9]])=0,"",SUM(Table5[[#This Row],[D7]:[F9]]))</f>
        <v/>
      </c>
      <c r="AX6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6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6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6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6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6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65" t="str">
        <f>IF(COUNTIF(Table5[[#This Row],[English Language]:[Electrical/ Electronics]],"WITHHELD")=0,"",COUNTIF(Table5[[#This Row],[English Language]:[Electrical/ Electronics]],"WITHHELD"))</f>
        <v/>
      </c>
      <c r="BE65" t="str">
        <f>IF(SUM(Table5[[#This Row],[NO OF CREDITS]:[BELOW CREDITS]])=0,"",SUM(Table5[[#This Row],[NO OF CREDITS]:[BELOW CREDITS]]))</f>
        <v/>
      </c>
    </row>
    <row r="66" spans="1:57" x14ac:dyDescent="0.3">
      <c r="A66" t="str">
        <f>IF(B66&lt;&gt;"",COUNTA($B$6:B66),"")</f>
        <v/>
      </c>
      <c r="B66" t="str">
        <f>IF(Result_Database!A62="","",Result_Database!A62)</f>
        <v/>
      </c>
      <c r="C66" t="str">
        <f>_xlfn.LET(
_xlpm.result,_xlfn.XLOOKUP($B66,Result_Database!$A$2:$A$500,Result_Database!$B$2:$B$500),
_xlfn.IFNA(_xlpm.result,"")
)</f>
        <v/>
      </c>
      <c r="D66" t="str">
        <f>_xlfn.LET(
  _xlpm.result, _xlfn.XLOOKUP($B66, Result_Database!$A$2:$A$500, Result_Database!C$2:C$500),
  _xlfn.IFNA(_xlpm.result, "")
)</f>
        <v/>
      </c>
      <c r="E66" t="str">
        <f>_xlfn.LET(
  _xlpm.result, _xlfn.XLOOKUP($B66, Result_Database!$A$2:$A$500, Result_Database!D$2:D$500),
  _xlfn.IFNA(_xlpm.result, "")
)</f>
        <v/>
      </c>
      <c r="F66" t="str">
        <f>_xlfn.LET(
  _xlpm.result, _xlfn.XLOOKUP($B66, Result_Database!$A$2:$A$500, Result_Database!E$2:E$500),
  _xlfn.IFNA(_xlpm.result, "")
)</f>
        <v/>
      </c>
      <c r="G66" t="str">
        <f>_xlfn.LET(
  _xlpm.result, _xlfn.XLOOKUP($B66, Result_Database!$A$2:$A$500, Result_Database!F$2:F$500),
  _xlfn.IFNA(_xlpm.result, "")
)</f>
        <v/>
      </c>
      <c r="H66" t="str">
        <f>_xlfn.LET(
  _xlpm.result, _xlfn.XLOOKUP($B66, Result_Database!$A$2:$A$500, Result_Database!G$2:G$500),
  _xlfn.IFNA(_xlpm.result, "")
)</f>
        <v/>
      </c>
      <c r="I66" t="str">
        <f>_xlfn.LET(
  _xlpm.result, _xlfn.XLOOKUP($B66, Result_Database!$A$2:$A$500, Result_Database!H$2:H$500),
  _xlfn.IFNA(_xlpm.result, "")
)</f>
        <v/>
      </c>
      <c r="J66" t="str">
        <f>_xlfn.LET(
  _xlpm.result, _xlfn.XLOOKUP($B66, Result_Database!$A$2:$A$500, Result_Database!I$2:I$500),
  _xlfn.IFNA(_xlpm.result, "")
)</f>
        <v/>
      </c>
      <c r="K66" t="str">
        <f>_xlfn.LET(
  _xlpm.result, _xlfn.XLOOKUP($B66, Result_Database!$A$2:$A$500, Result_Database!J$2:J$500),
  _xlfn.IFNA(_xlpm.result, "")
)</f>
        <v/>
      </c>
      <c r="L66" t="str">
        <f>_xlfn.LET(
  _xlpm.result, _xlfn.XLOOKUP($B66, Result_Database!$A$2:$A$500, Result_Database!K$2:K$500),
  _xlfn.IFNA(_xlpm.result, "")
)</f>
        <v/>
      </c>
      <c r="M66" t="str">
        <f>_xlfn.LET(
  _xlpm.result, _xlfn.XLOOKUP($B66, Result_Database!$A$2:$A$500, Result_Database!L$2:L$500),
  _xlfn.IFNA(_xlpm.result, "")
)</f>
        <v/>
      </c>
      <c r="N66" t="str">
        <f>_xlfn.LET(
  _xlpm.result, _xlfn.XLOOKUP($B66, Result_Database!$A$2:$A$500, Result_Database!M$2:M$500),
  _xlfn.IFNA(_xlpm.result, "")
)</f>
        <v/>
      </c>
      <c r="O66" t="str">
        <f>_xlfn.LET(
  _xlpm.result, _xlfn.XLOOKUP($B66, Result_Database!$A$2:$A$500, Result_Database!N$2:N$500),
  _xlfn.IFNA(_xlpm.result, "")
)</f>
        <v/>
      </c>
      <c r="P66" t="str">
        <f>_xlfn.LET(
  _xlpm.result, _xlfn.XLOOKUP($B66, Result_Database!$A$2:$A$500, Result_Database!O$2:O$500),
  _xlfn.IFNA(_xlpm.result, "")
)</f>
        <v/>
      </c>
      <c r="Q66" t="str">
        <f>_xlfn.LET(
  _xlpm.result, _xlfn.XLOOKUP($B66, Result_Database!$A$2:$A$500, Result_Database!P$2:P$500),
  _xlfn.IFNA(_xlpm.result, "")
)</f>
        <v/>
      </c>
      <c r="R66" t="str">
        <f>_xlfn.LET(
  _xlpm.result, _xlfn.XLOOKUP($B66, Result_Database!$A$2:$A$500, Result_Database!Q$2:Q$500),
  _xlfn.IFNA(_xlpm.result, "")
)</f>
        <v/>
      </c>
      <c r="S66" t="str">
        <f>_xlfn.LET(
  _xlpm.result, _xlfn.XLOOKUP($B66, Result_Database!$A$2:$A$500, Result_Database!R$2:R$500),
  _xlfn.IFNA(_xlpm.result, "")
)</f>
        <v/>
      </c>
      <c r="T66" t="str">
        <f>_xlfn.LET(
  _xlpm.result, _xlfn.XLOOKUP($B66, Result_Database!$A$2:$A$500, Result_Database!S$2:S$500),
  _xlfn.IFNA(_xlpm.result, "")
)</f>
        <v/>
      </c>
      <c r="U66" t="str">
        <f>_xlfn.LET(
  _xlpm.result, _xlfn.XLOOKUP($B66, Result_Database!$A$2:$A$500, Result_Database!T$2:T$500),
  _xlfn.IFNA(_xlpm.result, "")
)</f>
        <v/>
      </c>
      <c r="V66" t="str">
        <f>_xlfn.LET(
  _xlpm.result, _xlfn.XLOOKUP($B66, Result_Database!$A$2:$A$500, Result_Database!U$2:U$500),
  _xlfn.IFNA(_xlpm.result, "")
)</f>
        <v/>
      </c>
      <c r="W66" t="str">
        <f>_xlfn.LET(
  _xlpm.result, _xlfn.XLOOKUP($B66, Result_Database!$A$2:$A$500, Result_Database!V$2:V$500),
  _xlfn.IFNA(_xlpm.result, "")
)</f>
        <v/>
      </c>
      <c r="X66" t="str">
        <f>_xlfn.LET(
  _xlpm.result, _xlfn.XLOOKUP($B66, Result_Database!$A$2:$A$500, Result_Database!W$2:W$500),
  _xlfn.IFNA(_xlpm.result, "")
)</f>
        <v/>
      </c>
      <c r="Y66" t="str">
        <f>_xlfn.LET(
  _xlpm.result, _xlfn.XLOOKUP($B66, Result_Database!$A$2:$A$500, Result_Database!X$2:X$500),
  _xlfn.IFNA(_xlpm.result, "")
)</f>
        <v/>
      </c>
      <c r="Z66" t="str">
        <f>_xlfn.LET(
  _xlpm.result, _xlfn.XLOOKUP($B66, Result_Database!$A$2:$A$500, Result_Database!Y$2:Y$500),
  _xlfn.IFNA(_xlpm.result, "")
)</f>
        <v/>
      </c>
      <c r="AA66" t="str">
        <f>_xlfn.LET(
  _xlpm.result, _xlfn.XLOOKUP($B66, Result_Database!$A$2:$A$500, Result_Database!Z$2:Z$500),
  _xlfn.IFNA(_xlpm.result, "")
)</f>
        <v/>
      </c>
      <c r="AB66" t="str">
        <f>_xlfn.LET(
  _xlpm.result, _xlfn.XLOOKUP($B66, Result_Database!$A$2:$A$500, Result_Database!AA$2:AA$500),
  _xlfn.IFNA(_xlpm.result, "")
)</f>
        <v/>
      </c>
      <c r="AC66" t="str">
        <f>_xlfn.LET(
  _xlpm.result, _xlfn.XLOOKUP($B66, Result_Database!$A$2:$A$500, Result_Database!AB$2:AB$500),
  _xlfn.IFNA(_xlpm.result, "")
)</f>
        <v/>
      </c>
      <c r="AD66" t="str">
        <f>_xlfn.LET(
  _xlpm.result, _xlfn.XLOOKUP($B66, Result_Database!$A$2:$A$500, Result_Database!AC$2:AC$500),
  _xlfn.IFNA(_xlpm.result, "")
)</f>
        <v/>
      </c>
      <c r="AE66" t="str">
        <f>_xlfn.LET(
  _xlpm.result, _xlfn.XLOOKUP($B66, Result_Database!$A$2:$A$500, Result_Database!AD$2:AD$500),
  _xlfn.IFNA(_xlpm.result, "")
)</f>
        <v/>
      </c>
      <c r="AF66" t="str">
        <f>_xlfn.LET(
  _xlpm.result, _xlfn.XLOOKUP($B66, Result_Database!$A$2:$A$500, Result_Database!AE$2:AE$500),
  _xlfn.IFNA(_xlpm.result, "")
)</f>
        <v/>
      </c>
      <c r="AG66" t="str">
        <f>_xlfn.LET(
  _xlpm.result, _xlfn.XLOOKUP($B66, Result_Database!$A$2:$A$500, Result_Database!AF$2:AF$500),
  _xlfn.IFNA(_xlpm.result, "")
)</f>
        <v/>
      </c>
      <c r="AH66" t="str">
        <f>_xlfn.LET(
  _xlpm.result, _xlfn.XLOOKUP($B66, Result_Database!$A$2:$A$500, Result_Database!AG$2:AG$500),
  _xlfn.IFNA(_xlpm.result, "")
)</f>
        <v/>
      </c>
      <c r="AI66" t="str">
        <f>_xlfn.LET(
  _xlpm.result, _xlfn.XLOOKUP($B66, Result_Database!$A$2:$A$500, Result_Database!AH$2:AH$500),
  _xlfn.IFNA(_xlpm.result, "")
)</f>
        <v/>
      </c>
      <c r="AJ66" t="str">
        <f>_xlfn.LET(
  _xlpm.result, _xlfn.XLOOKUP($B66, Result_Database!$A$2:$A$500, Result_Database!AI$2:AI$500),
  _xlfn.IFNA(_xlpm.result, "")
)</f>
        <v/>
      </c>
      <c r="AK66" t="str">
        <f>_xlfn.LET(
  _xlpm.result, _xlfn.XLOOKUP($B66, Result_Database!$A$2:$A$500, Result_Database!AJ$2:AJ$500),
  _xlfn.IFNA(_xlpm.result, "")
)</f>
        <v/>
      </c>
      <c r="AL66" t="str">
        <f>_xlfn.LET(
  _xlpm.result, _xlfn.XLOOKUP($B66, Result_Database!$A$2:$A$500, Result_Database!AK$2:AK$500),
  _xlfn.IFNA(_xlpm.result, "")
)</f>
        <v/>
      </c>
      <c r="AM6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6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6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6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6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6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6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6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6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66" t="str">
        <f>IF(SUM(Table5[[#This Row],[A1]:[C6]])&lt;&gt;0,SUM(Table5[[#This Row],[A1]:[C6]]),"")</f>
        <v/>
      </c>
      <c r="AW66" t="str">
        <f>IF(SUM(Table5[[#This Row],[D7]:[F9]])=0,"",SUM(Table5[[#This Row],[D7]:[F9]]))</f>
        <v/>
      </c>
      <c r="AX6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6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6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6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6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6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66" t="str">
        <f>IF(COUNTIF(Table5[[#This Row],[English Language]:[Electrical/ Electronics]],"WITHHELD")=0,"",COUNTIF(Table5[[#This Row],[English Language]:[Electrical/ Electronics]],"WITHHELD"))</f>
        <v/>
      </c>
      <c r="BE66" t="str">
        <f>IF(SUM(Table5[[#This Row],[NO OF CREDITS]:[BELOW CREDITS]])=0,"",SUM(Table5[[#This Row],[NO OF CREDITS]:[BELOW CREDITS]]))</f>
        <v/>
      </c>
    </row>
    <row r="67" spans="1:57" x14ac:dyDescent="0.3">
      <c r="A67" t="str">
        <f>IF(B67&lt;&gt;"",COUNTA($B$6:B67),"")</f>
        <v/>
      </c>
      <c r="B67" t="str">
        <f>IF(Result_Database!A63="","",Result_Database!A63)</f>
        <v/>
      </c>
      <c r="C67" t="str">
        <f>_xlfn.LET(
_xlpm.result,_xlfn.XLOOKUP($B67,Result_Database!$A$2:$A$500,Result_Database!$B$2:$B$500),
_xlfn.IFNA(_xlpm.result,"")
)</f>
        <v/>
      </c>
      <c r="D67" t="str">
        <f>_xlfn.LET(
  _xlpm.result, _xlfn.XLOOKUP($B67, Result_Database!$A$2:$A$500, Result_Database!C$2:C$500),
  _xlfn.IFNA(_xlpm.result, "")
)</f>
        <v/>
      </c>
      <c r="E67" t="str">
        <f>_xlfn.LET(
  _xlpm.result, _xlfn.XLOOKUP($B67, Result_Database!$A$2:$A$500, Result_Database!D$2:D$500),
  _xlfn.IFNA(_xlpm.result, "")
)</f>
        <v/>
      </c>
      <c r="F67" t="str">
        <f>_xlfn.LET(
  _xlpm.result, _xlfn.XLOOKUP($B67, Result_Database!$A$2:$A$500, Result_Database!E$2:E$500),
  _xlfn.IFNA(_xlpm.result, "")
)</f>
        <v/>
      </c>
      <c r="G67" t="str">
        <f>_xlfn.LET(
  _xlpm.result, _xlfn.XLOOKUP($B67, Result_Database!$A$2:$A$500, Result_Database!F$2:F$500),
  _xlfn.IFNA(_xlpm.result, "")
)</f>
        <v/>
      </c>
      <c r="H67" t="str">
        <f>_xlfn.LET(
  _xlpm.result, _xlfn.XLOOKUP($B67, Result_Database!$A$2:$A$500, Result_Database!G$2:G$500),
  _xlfn.IFNA(_xlpm.result, "")
)</f>
        <v/>
      </c>
      <c r="I67" t="str">
        <f>_xlfn.LET(
  _xlpm.result, _xlfn.XLOOKUP($B67, Result_Database!$A$2:$A$500, Result_Database!H$2:H$500),
  _xlfn.IFNA(_xlpm.result, "")
)</f>
        <v/>
      </c>
      <c r="J67" t="str">
        <f>_xlfn.LET(
  _xlpm.result, _xlfn.XLOOKUP($B67, Result_Database!$A$2:$A$500, Result_Database!I$2:I$500),
  _xlfn.IFNA(_xlpm.result, "")
)</f>
        <v/>
      </c>
      <c r="K67" t="str">
        <f>_xlfn.LET(
  _xlpm.result, _xlfn.XLOOKUP($B67, Result_Database!$A$2:$A$500, Result_Database!J$2:J$500),
  _xlfn.IFNA(_xlpm.result, "")
)</f>
        <v/>
      </c>
      <c r="L67" t="str">
        <f>_xlfn.LET(
  _xlpm.result, _xlfn.XLOOKUP($B67, Result_Database!$A$2:$A$500, Result_Database!K$2:K$500),
  _xlfn.IFNA(_xlpm.result, "")
)</f>
        <v/>
      </c>
      <c r="M67" t="str">
        <f>_xlfn.LET(
  _xlpm.result, _xlfn.XLOOKUP($B67, Result_Database!$A$2:$A$500, Result_Database!L$2:L$500),
  _xlfn.IFNA(_xlpm.result, "")
)</f>
        <v/>
      </c>
      <c r="N67" t="str">
        <f>_xlfn.LET(
  _xlpm.result, _xlfn.XLOOKUP($B67, Result_Database!$A$2:$A$500, Result_Database!M$2:M$500),
  _xlfn.IFNA(_xlpm.result, "")
)</f>
        <v/>
      </c>
      <c r="O67" t="str">
        <f>_xlfn.LET(
  _xlpm.result, _xlfn.XLOOKUP($B67, Result_Database!$A$2:$A$500, Result_Database!N$2:N$500),
  _xlfn.IFNA(_xlpm.result, "")
)</f>
        <v/>
      </c>
      <c r="P67" t="str">
        <f>_xlfn.LET(
  _xlpm.result, _xlfn.XLOOKUP($B67, Result_Database!$A$2:$A$500, Result_Database!O$2:O$500),
  _xlfn.IFNA(_xlpm.result, "")
)</f>
        <v/>
      </c>
      <c r="Q67" t="str">
        <f>_xlfn.LET(
  _xlpm.result, _xlfn.XLOOKUP($B67, Result_Database!$A$2:$A$500, Result_Database!P$2:P$500),
  _xlfn.IFNA(_xlpm.result, "")
)</f>
        <v/>
      </c>
      <c r="R67" t="str">
        <f>_xlfn.LET(
  _xlpm.result, _xlfn.XLOOKUP($B67, Result_Database!$A$2:$A$500, Result_Database!Q$2:Q$500),
  _xlfn.IFNA(_xlpm.result, "")
)</f>
        <v/>
      </c>
      <c r="S67" t="str">
        <f>_xlfn.LET(
  _xlpm.result, _xlfn.XLOOKUP($B67, Result_Database!$A$2:$A$500, Result_Database!R$2:R$500),
  _xlfn.IFNA(_xlpm.result, "")
)</f>
        <v/>
      </c>
      <c r="T67" t="str">
        <f>_xlfn.LET(
  _xlpm.result, _xlfn.XLOOKUP($B67, Result_Database!$A$2:$A$500, Result_Database!S$2:S$500),
  _xlfn.IFNA(_xlpm.result, "")
)</f>
        <v/>
      </c>
      <c r="U67" t="str">
        <f>_xlfn.LET(
  _xlpm.result, _xlfn.XLOOKUP($B67, Result_Database!$A$2:$A$500, Result_Database!T$2:T$500),
  _xlfn.IFNA(_xlpm.result, "")
)</f>
        <v/>
      </c>
      <c r="V67" t="str">
        <f>_xlfn.LET(
  _xlpm.result, _xlfn.XLOOKUP($B67, Result_Database!$A$2:$A$500, Result_Database!U$2:U$500),
  _xlfn.IFNA(_xlpm.result, "")
)</f>
        <v/>
      </c>
      <c r="W67" t="str">
        <f>_xlfn.LET(
  _xlpm.result, _xlfn.XLOOKUP($B67, Result_Database!$A$2:$A$500, Result_Database!V$2:V$500),
  _xlfn.IFNA(_xlpm.result, "")
)</f>
        <v/>
      </c>
      <c r="X67" t="str">
        <f>_xlfn.LET(
  _xlpm.result, _xlfn.XLOOKUP($B67, Result_Database!$A$2:$A$500, Result_Database!W$2:W$500),
  _xlfn.IFNA(_xlpm.result, "")
)</f>
        <v/>
      </c>
      <c r="Y67" t="str">
        <f>_xlfn.LET(
  _xlpm.result, _xlfn.XLOOKUP($B67, Result_Database!$A$2:$A$500, Result_Database!X$2:X$500),
  _xlfn.IFNA(_xlpm.result, "")
)</f>
        <v/>
      </c>
      <c r="Z67" t="str">
        <f>_xlfn.LET(
  _xlpm.result, _xlfn.XLOOKUP($B67, Result_Database!$A$2:$A$500, Result_Database!Y$2:Y$500),
  _xlfn.IFNA(_xlpm.result, "")
)</f>
        <v/>
      </c>
      <c r="AA67" t="str">
        <f>_xlfn.LET(
  _xlpm.result, _xlfn.XLOOKUP($B67, Result_Database!$A$2:$A$500, Result_Database!Z$2:Z$500),
  _xlfn.IFNA(_xlpm.result, "")
)</f>
        <v/>
      </c>
      <c r="AB67" t="str">
        <f>_xlfn.LET(
  _xlpm.result, _xlfn.XLOOKUP($B67, Result_Database!$A$2:$A$500, Result_Database!AA$2:AA$500),
  _xlfn.IFNA(_xlpm.result, "")
)</f>
        <v/>
      </c>
      <c r="AC67" t="str">
        <f>_xlfn.LET(
  _xlpm.result, _xlfn.XLOOKUP($B67, Result_Database!$A$2:$A$500, Result_Database!AB$2:AB$500),
  _xlfn.IFNA(_xlpm.result, "")
)</f>
        <v/>
      </c>
      <c r="AD67" t="str">
        <f>_xlfn.LET(
  _xlpm.result, _xlfn.XLOOKUP($B67, Result_Database!$A$2:$A$500, Result_Database!AC$2:AC$500),
  _xlfn.IFNA(_xlpm.result, "")
)</f>
        <v/>
      </c>
      <c r="AE67" t="str">
        <f>_xlfn.LET(
  _xlpm.result, _xlfn.XLOOKUP($B67, Result_Database!$A$2:$A$500, Result_Database!AD$2:AD$500),
  _xlfn.IFNA(_xlpm.result, "")
)</f>
        <v/>
      </c>
      <c r="AF67" t="str">
        <f>_xlfn.LET(
  _xlpm.result, _xlfn.XLOOKUP($B67, Result_Database!$A$2:$A$500, Result_Database!AE$2:AE$500),
  _xlfn.IFNA(_xlpm.result, "")
)</f>
        <v/>
      </c>
      <c r="AG67" t="str">
        <f>_xlfn.LET(
  _xlpm.result, _xlfn.XLOOKUP($B67, Result_Database!$A$2:$A$500, Result_Database!AF$2:AF$500),
  _xlfn.IFNA(_xlpm.result, "")
)</f>
        <v/>
      </c>
      <c r="AH67" t="str">
        <f>_xlfn.LET(
  _xlpm.result, _xlfn.XLOOKUP($B67, Result_Database!$A$2:$A$500, Result_Database!AG$2:AG$500),
  _xlfn.IFNA(_xlpm.result, "")
)</f>
        <v/>
      </c>
      <c r="AI67" t="str">
        <f>_xlfn.LET(
  _xlpm.result, _xlfn.XLOOKUP($B67, Result_Database!$A$2:$A$500, Result_Database!AH$2:AH$500),
  _xlfn.IFNA(_xlpm.result, "")
)</f>
        <v/>
      </c>
      <c r="AJ67" t="str">
        <f>_xlfn.LET(
  _xlpm.result, _xlfn.XLOOKUP($B67, Result_Database!$A$2:$A$500, Result_Database!AI$2:AI$500),
  _xlfn.IFNA(_xlpm.result, "")
)</f>
        <v/>
      </c>
      <c r="AK67" t="str">
        <f>_xlfn.LET(
  _xlpm.result, _xlfn.XLOOKUP($B67, Result_Database!$A$2:$A$500, Result_Database!AJ$2:AJ$500),
  _xlfn.IFNA(_xlpm.result, "")
)</f>
        <v/>
      </c>
      <c r="AL67" t="str">
        <f>_xlfn.LET(
  _xlpm.result, _xlfn.XLOOKUP($B67, Result_Database!$A$2:$A$500, Result_Database!AK$2:AK$500),
  _xlfn.IFNA(_xlpm.result, "")
)</f>
        <v/>
      </c>
      <c r="AM6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6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6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6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6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6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6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6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6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67" t="str">
        <f>IF(SUM(Table5[[#This Row],[A1]:[C6]])&lt;&gt;0,SUM(Table5[[#This Row],[A1]:[C6]]),"")</f>
        <v/>
      </c>
      <c r="AW67" t="str">
        <f>IF(SUM(Table5[[#This Row],[D7]:[F9]])=0,"",SUM(Table5[[#This Row],[D7]:[F9]]))</f>
        <v/>
      </c>
      <c r="AX6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6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6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6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6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6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67" t="str">
        <f>IF(COUNTIF(Table5[[#This Row],[English Language]:[Electrical/ Electronics]],"WITHHELD")=0,"",COUNTIF(Table5[[#This Row],[English Language]:[Electrical/ Electronics]],"WITHHELD"))</f>
        <v/>
      </c>
      <c r="BE67" t="str">
        <f>IF(SUM(Table5[[#This Row],[NO OF CREDITS]:[BELOW CREDITS]])=0,"",SUM(Table5[[#This Row],[NO OF CREDITS]:[BELOW CREDITS]]))</f>
        <v/>
      </c>
    </row>
    <row r="68" spans="1:57" x14ac:dyDescent="0.3">
      <c r="A68" t="str">
        <f>IF(B68&lt;&gt;"",COUNTA($B$6:B68),"")</f>
        <v/>
      </c>
      <c r="B68" t="str">
        <f>IF(Result_Database!A64="","",Result_Database!A64)</f>
        <v/>
      </c>
      <c r="C68" t="str">
        <f>_xlfn.LET(
_xlpm.result,_xlfn.XLOOKUP($B68,Result_Database!$A$2:$A$500,Result_Database!$B$2:$B$500),
_xlfn.IFNA(_xlpm.result,"")
)</f>
        <v/>
      </c>
      <c r="D68" t="str">
        <f>_xlfn.LET(
  _xlpm.result, _xlfn.XLOOKUP($B68, Result_Database!$A$2:$A$500, Result_Database!C$2:C$500),
  _xlfn.IFNA(_xlpm.result, "")
)</f>
        <v/>
      </c>
      <c r="E68" t="str">
        <f>_xlfn.LET(
  _xlpm.result, _xlfn.XLOOKUP($B68, Result_Database!$A$2:$A$500, Result_Database!D$2:D$500),
  _xlfn.IFNA(_xlpm.result, "")
)</f>
        <v/>
      </c>
      <c r="F68" t="str">
        <f>_xlfn.LET(
  _xlpm.result, _xlfn.XLOOKUP($B68, Result_Database!$A$2:$A$500, Result_Database!E$2:E$500),
  _xlfn.IFNA(_xlpm.result, "")
)</f>
        <v/>
      </c>
      <c r="G68" t="str">
        <f>_xlfn.LET(
  _xlpm.result, _xlfn.XLOOKUP($B68, Result_Database!$A$2:$A$500, Result_Database!F$2:F$500),
  _xlfn.IFNA(_xlpm.result, "")
)</f>
        <v/>
      </c>
      <c r="H68" t="str">
        <f>_xlfn.LET(
  _xlpm.result, _xlfn.XLOOKUP($B68, Result_Database!$A$2:$A$500, Result_Database!G$2:G$500),
  _xlfn.IFNA(_xlpm.result, "")
)</f>
        <v/>
      </c>
      <c r="I68" t="str">
        <f>_xlfn.LET(
  _xlpm.result, _xlfn.XLOOKUP($B68, Result_Database!$A$2:$A$500, Result_Database!H$2:H$500),
  _xlfn.IFNA(_xlpm.result, "")
)</f>
        <v/>
      </c>
      <c r="J68" t="str">
        <f>_xlfn.LET(
  _xlpm.result, _xlfn.XLOOKUP($B68, Result_Database!$A$2:$A$500, Result_Database!I$2:I$500),
  _xlfn.IFNA(_xlpm.result, "")
)</f>
        <v/>
      </c>
      <c r="K68" t="str">
        <f>_xlfn.LET(
  _xlpm.result, _xlfn.XLOOKUP($B68, Result_Database!$A$2:$A$500, Result_Database!J$2:J$500),
  _xlfn.IFNA(_xlpm.result, "")
)</f>
        <v/>
      </c>
      <c r="L68" t="str">
        <f>_xlfn.LET(
  _xlpm.result, _xlfn.XLOOKUP($B68, Result_Database!$A$2:$A$500, Result_Database!K$2:K$500),
  _xlfn.IFNA(_xlpm.result, "")
)</f>
        <v/>
      </c>
      <c r="M68" t="str">
        <f>_xlfn.LET(
  _xlpm.result, _xlfn.XLOOKUP($B68, Result_Database!$A$2:$A$500, Result_Database!L$2:L$500),
  _xlfn.IFNA(_xlpm.result, "")
)</f>
        <v/>
      </c>
      <c r="N68" t="str">
        <f>_xlfn.LET(
  _xlpm.result, _xlfn.XLOOKUP($B68, Result_Database!$A$2:$A$500, Result_Database!M$2:M$500),
  _xlfn.IFNA(_xlpm.result, "")
)</f>
        <v/>
      </c>
      <c r="O68" t="str">
        <f>_xlfn.LET(
  _xlpm.result, _xlfn.XLOOKUP($B68, Result_Database!$A$2:$A$500, Result_Database!N$2:N$500),
  _xlfn.IFNA(_xlpm.result, "")
)</f>
        <v/>
      </c>
      <c r="P68" t="str">
        <f>_xlfn.LET(
  _xlpm.result, _xlfn.XLOOKUP($B68, Result_Database!$A$2:$A$500, Result_Database!O$2:O$500),
  _xlfn.IFNA(_xlpm.result, "")
)</f>
        <v/>
      </c>
      <c r="Q68" t="str">
        <f>_xlfn.LET(
  _xlpm.result, _xlfn.XLOOKUP($B68, Result_Database!$A$2:$A$500, Result_Database!P$2:P$500),
  _xlfn.IFNA(_xlpm.result, "")
)</f>
        <v/>
      </c>
      <c r="R68" t="str">
        <f>_xlfn.LET(
  _xlpm.result, _xlfn.XLOOKUP($B68, Result_Database!$A$2:$A$500, Result_Database!Q$2:Q$500),
  _xlfn.IFNA(_xlpm.result, "")
)</f>
        <v/>
      </c>
      <c r="S68" t="str">
        <f>_xlfn.LET(
  _xlpm.result, _xlfn.XLOOKUP($B68, Result_Database!$A$2:$A$500, Result_Database!R$2:R$500),
  _xlfn.IFNA(_xlpm.result, "")
)</f>
        <v/>
      </c>
      <c r="T68" t="str">
        <f>_xlfn.LET(
  _xlpm.result, _xlfn.XLOOKUP($B68, Result_Database!$A$2:$A$500, Result_Database!S$2:S$500),
  _xlfn.IFNA(_xlpm.result, "")
)</f>
        <v/>
      </c>
      <c r="U68" t="str">
        <f>_xlfn.LET(
  _xlpm.result, _xlfn.XLOOKUP($B68, Result_Database!$A$2:$A$500, Result_Database!T$2:T$500),
  _xlfn.IFNA(_xlpm.result, "")
)</f>
        <v/>
      </c>
      <c r="V68" t="str">
        <f>_xlfn.LET(
  _xlpm.result, _xlfn.XLOOKUP($B68, Result_Database!$A$2:$A$500, Result_Database!U$2:U$500),
  _xlfn.IFNA(_xlpm.result, "")
)</f>
        <v/>
      </c>
      <c r="W68" t="str">
        <f>_xlfn.LET(
  _xlpm.result, _xlfn.XLOOKUP($B68, Result_Database!$A$2:$A$500, Result_Database!V$2:V$500),
  _xlfn.IFNA(_xlpm.result, "")
)</f>
        <v/>
      </c>
      <c r="X68" t="str">
        <f>_xlfn.LET(
  _xlpm.result, _xlfn.XLOOKUP($B68, Result_Database!$A$2:$A$500, Result_Database!W$2:W$500),
  _xlfn.IFNA(_xlpm.result, "")
)</f>
        <v/>
      </c>
      <c r="Y68" t="str">
        <f>_xlfn.LET(
  _xlpm.result, _xlfn.XLOOKUP($B68, Result_Database!$A$2:$A$500, Result_Database!X$2:X$500),
  _xlfn.IFNA(_xlpm.result, "")
)</f>
        <v/>
      </c>
      <c r="Z68" t="str">
        <f>_xlfn.LET(
  _xlpm.result, _xlfn.XLOOKUP($B68, Result_Database!$A$2:$A$500, Result_Database!Y$2:Y$500),
  _xlfn.IFNA(_xlpm.result, "")
)</f>
        <v/>
      </c>
      <c r="AA68" t="str">
        <f>_xlfn.LET(
  _xlpm.result, _xlfn.XLOOKUP($B68, Result_Database!$A$2:$A$500, Result_Database!Z$2:Z$500),
  _xlfn.IFNA(_xlpm.result, "")
)</f>
        <v/>
      </c>
      <c r="AB68" t="str">
        <f>_xlfn.LET(
  _xlpm.result, _xlfn.XLOOKUP($B68, Result_Database!$A$2:$A$500, Result_Database!AA$2:AA$500),
  _xlfn.IFNA(_xlpm.result, "")
)</f>
        <v/>
      </c>
      <c r="AC68" t="str">
        <f>_xlfn.LET(
  _xlpm.result, _xlfn.XLOOKUP($B68, Result_Database!$A$2:$A$500, Result_Database!AB$2:AB$500),
  _xlfn.IFNA(_xlpm.result, "")
)</f>
        <v/>
      </c>
      <c r="AD68" t="str">
        <f>_xlfn.LET(
  _xlpm.result, _xlfn.XLOOKUP($B68, Result_Database!$A$2:$A$500, Result_Database!AC$2:AC$500),
  _xlfn.IFNA(_xlpm.result, "")
)</f>
        <v/>
      </c>
      <c r="AE68" t="str">
        <f>_xlfn.LET(
  _xlpm.result, _xlfn.XLOOKUP($B68, Result_Database!$A$2:$A$500, Result_Database!AD$2:AD$500),
  _xlfn.IFNA(_xlpm.result, "")
)</f>
        <v/>
      </c>
      <c r="AF68" t="str">
        <f>_xlfn.LET(
  _xlpm.result, _xlfn.XLOOKUP($B68, Result_Database!$A$2:$A$500, Result_Database!AE$2:AE$500),
  _xlfn.IFNA(_xlpm.result, "")
)</f>
        <v/>
      </c>
      <c r="AG68" t="str">
        <f>_xlfn.LET(
  _xlpm.result, _xlfn.XLOOKUP($B68, Result_Database!$A$2:$A$500, Result_Database!AF$2:AF$500),
  _xlfn.IFNA(_xlpm.result, "")
)</f>
        <v/>
      </c>
      <c r="AH68" t="str">
        <f>_xlfn.LET(
  _xlpm.result, _xlfn.XLOOKUP($B68, Result_Database!$A$2:$A$500, Result_Database!AG$2:AG$500),
  _xlfn.IFNA(_xlpm.result, "")
)</f>
        <v/>
      </c>
      <c r="AI68" t="str">
        <f>_xlfn.LET(
  _xlpm.result, _xlfn.XLOOKUP($B68, Result_Database!$A$2:$A$500, Result_Database!AH$2:AH$500),
  _xlfn.IFNA(_xlpm.result, "")
)</f>
        <v/>
      </c>
      <c r="AJ68" t="str">
        <f>_xlfn.LET(
  _xlpm.result, _xlfn.XLOOKUP($B68, Result_Database!$A$2:$A$500, Result_Database!AI$2:AI$500),
  _xlfn.IFNA(_xlpm.result, "")
)</f>
        <v/>
      </c>
      <c r="AK68" t="str">
        <f>_xlfn.LET(
  _xlpm.result, _xlfn.XLOOKUP($B68, Result_Database!$A$2:$A$500, Result_Database!AJ$2:AJ$500),
  _xlfn.IFNA(_xlpm.result, "")
)</f>
        <v/>
      </c>
      <c r="AL68" t="str">
        <f>_xlfn.LET(
  _xlpm.result, _xlfn.XLOOKUP($B68, Result_Database!$A$2:$A$500, Result_Database!AK$2:AK$500),
  _xlfn.IFNA(_xlpm.result, "")
)</f>
        <v/>
      </c>
      <c r="AM6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6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6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6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6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6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6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6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6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68" t="str">
        <f>IF(SUM(Table5[[#This Row],[A1]:[C6]])&lt;&gt;0,SUM(Table5[[#This Row],[A1]:[C6]]),"")</f>
        <v/>
      </c>
      <c r="AW68" t="str">
        <f>IF(SUM(Table5[[#This Row],[D7]:[F9]])=0,"",SUM(Table5[[#This Row],[D7]:[F9]]))</f>
        <v/>
      </c>
      <c r="AX6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6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6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6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6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6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68" t="str">
        <f>IF(COUNTIF(Table5[[#This Row],[English Language]:[Electrical/ Electronics]],"WITHHELD")=0,"",COUNTIF(Table5[[#This Row],[English Language]:[Electrical/ Electronics]],"WITHHELD"))</f>
        <v/>
      </c>
      <c r="BE68" t="str">
        <f>IF(SUM(Table5[[#This Row],[NO OF CREDITS]:[BELOW CREDITS]])=0,"",SUM(Table5[[#This Row],[NO OF CREDITS]:[BELOW CREDITS]]))</f>
        <v/>
      </c>
    </row>
    <row r="69" spans="1:57" x14ac:dyDescent="0.3">
      <c r="A69" t="str">
        <f>IF(B69&lt;&gt;"",COUNTA($B$6:B69),"")</f>
        <v/>
      </c>
      <c r="B69" t="str">
        <f>IF(Result_Database!A65="","",Result_Database!A65)</f>
        <v/>
      </c>
      <c r="C69" t="str">
        <f>_xlfn.LET(
_xlpm.result,_xlfn.XLOOKUP($B69,Result_Database!$A$2:$A$500,Result_Database!$B$2:$B$500),
_xlfn.IFNA(_xlpm.result,"")
)</f>
        <v/>
      </c>
      <c r="D69" t="str">
        <f>_xlfn.LET(
  _xlpm.result, _xlfn.XLOOKUP($B69, Result_Database!$A$2:$A$500, Result_Database!C$2:C$500),
  _xlfn.IFNA(_xlpm.result, "")
)</f>
        <v/>
      </c>
      <c r="E69" t="str">
        <f>_xlfn.LET(
  _xlpm.result, _xlfn.XLOOKUP($B69, Result_Database!$A$2:$A$500, Result_Database!D$2:D$500),
  _xlfn.IFNA(_xlpm.result, "")
)</f>
        <v/>
      </c>
      <c r="F69" t="str">
        <f>_xlfn.LET(
  _xlpm.result, _xlfn.XLOOKUP($B69, Result_Database!$A$2:$A$500, Result_Database!E$2:E$500),
  _xlfn.IFNA(_xlpm.result, "")
)</f>
        <v/>
      </c>
      <c r="G69" t="str">
        <f>_xlfn.LET(
  _xlpm.result, _xlfn.XLOOKUP($B69, Result_Database!$A$2:$A$500, Result_Database!F$2:F$500),
  _xlfn.IFNA(_xlpm.result, "")
)</f>
        <v/>
      </c>
      <c r="H69" t="str">
        <f>_xlfn.LET(
  _xlpm.result, _xlfn.XLOOKUP($B69, Result_Database!$A$2:$A$500, Result_Database!G$2:G$500),
  _xlfn.IFNA(_xlpm.result, "")
)</f>
        <v/>
      </c>
      <c r="I69" t="str">
        <f>_xlfn.LET(
  _xlpm.result, _xlfn.XLOOKUP($B69, Result_Database!$A$2:$A$500, Result_Database!H$2:H$500),
  _xlfn.IFNA(_xlpm.result, "")
)</f>
        <v/>
      </c>
      <c r="J69" t="str">
        <f>_xlfn.LET(
  _xlpm.result, _xlfn.XLOOKUP($B69, Result_Database!$A$2:$A$500, Result_Database!I$2:I$500),
  _xlfn.IFNA(_xlpm.result, "")
)</f>
        <v/>
      </c>
      <c r="K69" t="str">
        <f>_xlfn.LET(
  _xlpm.result, _xlfn.XLOOKUP($B69, Result_Database!$A$2:$A$500, Result_Database!J$2:J$500),
  _xlfn.IFNA(_xlpm.result, "")
)</f>
        <v/>
      </c>
      <c r="L69" t="str">
        <f>_xlfn.LET(
  _xlpm.result, _xlfn.XLOOKUP($B69, Result_Database!$A$2:$A$500, Result_Database!K$2:K$500),
  _xlfn.IFNA(_xlpm.result, "")
)</f>
        <v/>
      </c>
      <c r="M69" t="str">
        <f>_xlfn.LET(
  _xlpm.result, _xlfn.XLOOKUP($B69, Result_Database!$A$2:$A$500, Result_Database!L$2:L$500),
  _xlfn.IFNA(_xlpm.result, "")
)</f>
        <v/>
      </c>
      <c r="N69" t="str">
        <f>_xlfn.LET(
  _xlpm.result, _xlfn.XLOOKUP($B69, Result_Database!$A$2:$A$500, Result_Database!M$2:M$500),
  _xlfn.IFNA(_xlpm.result, "")
)</f>
        <v/>
      </c>
      <c r="O69" t="str">
        <f>_xlfn.LET(
  _xlpm.result, _xlfn.XLOOKUP($B69, Result_Database!$A$2:$A$500, Result_Database!N$2:N$500),
  _xlfn.IFNA(_xlpm.result, "")
)</f>
        <v/>
      </c>
      <c r="P69" t="str">
        <f>_xlfn.LET(
  _xlpm.result, _xlfn.XLOOKUP($B69, Result_Database!$A$2:$A$500, Result_Database!O$2:O$500),
  _xlfn.IFNA(_xlpm.result, "")
)</f>
        <v/>
      </c>
      <c r="Q69" t="str">
        <f>_xlfn.LET(
  _xlpm.result, _xlfn.XLOOKUP($B69, Result_Database!$A$2:$A$500, Result_Database!P$2:P$500),
  _xlfn.IFNA(_xlpm.result, "")
)</f>
        <v/>
      </c>
      <c r="R69" t="str">
        <f>_xlfn.LET(
  _xlpm.result, _xlfn.XLOOKUP($B69, Result_Database!$A$2:$A$500, Result_Database!Q$2:Q$500),
  _xlfn.IFNA(_xlpm.result, "")
)</f>
        <v/>
      </c>
      <c r="S69" t="str">
        <f>_xlfn.LET(
  _xlpm.result, _xlfn.XLOOKUP($B69, Result_Database!$A$2:$A$500, Result_Database!R$2:R$500),
  _xlfn.IFNA(_xlpm.result, "")
)</f>
        <v/>
      </c>
      <c r="T69" t="str">
        <f>_xlfn.LET(
  _xlpm.result, _xlfn.XLOOKUP($B69, Result_Database!$A$2:$A$500, Result_Database!S$2:S$500),
  _xlfn.IFNA(_xlpm.result, "")
)</f>
        <v/>
      </c>
      <c r="U69" t="str">
        <f>_xlfn.LET(
  _xlpm.result, _xlfn.XLOOKUP($B69, Result_Database!$A$2:$A$500, Result_Database!T$2:T$500),
  _xlfn.IFNA(_xlpm.result, "")
)</f>
        <v/>
      </c>
      <c r="V69" t="str">
        <f>_xlfn.LET(
  _xlpm.result, _xlfn.XLOOKUP($B69, Result_Database!$A$2:$A$500, Result_Database!U$2:U$500),
  _xlfn.IFNA(_xlpm.result, "")
)</f>
        <v/>
      </c>
      <c r="W69" t="str">
        <f>_xlfn.LET(
  _xlpm.result, _xlfn.XLOOKUP($B69, Result_Database!$A$2:$A$500, Result_Database!V$2:V$500),
  _xlfn.IFNA(_xlpm.result, "")
)</f>
        <v/>
      </c>
      <c r="X69" t="str">
        <f>_xlfn.LET(
  _xlpm.result, _xlfn.XLOOKUP($B69, Result_Database!$A$2:$A$500, Result_Database!W$2:W$500),
  _xlfn.IFNA(_xlpm.result, "")
)</f>
        <v/>
      </c>
      <c r="Y69" t="str">
        <f>_xlfn.LET(
  _xlpm.result, _xlfn.XLOOKUP($B69, Result_Database!$A$2:$A$500, Result_Database!X$2:X$500),
  _xlfn.IFNA(_xlpm.result, "")
)</f>
        <v/>
      </c>
      <c r="Z69" t="str">
        <f>_xlfn.LET(
  _xlpm.result, _xlfn.XLOOKUP($B69, Result_Database!$A$2:$A$500, Result_Database!Y$2:Y$500),
  _xlfn.IFNA(_xlpm.result, "")
)</f>
        <v/>
      </c>
      <c r="AA69" t="str">
        <f>_xlfn.LET(
  _xlpm.result, _xlfn.XLOOKUP($B69, Result_Database!$A$2:$A$500, Result_Database!Z$2:Z$500),
  _xlfn.IFNA(_xlpm.result, "")
)</f>
        <v/>
      </c>
      <c r="AB69" t="str">
        <f>_xlfn.LET(
  _xlpm.result, _xlfn.XLOOKUP($B69, Result_Database!$A$2:$A$500, Result_Database!AA$2:AA$500),
  _xlfn.IFNA(_xlpm.result, "")
)</f>
        <v/>
      </c>
      <c r="AC69" t="str">
        <f>_xlfn.LET(
  _xlpm.result, _xlfn.XLOOKUP($B69, Result_Database!$A$2:$A$500, Result_Database!AB$2:AB$500),
  _xlfn.IFNA(_xlpm.result, "")
)</f>
        <v/>
      </c>
      <c r="AD69" t="str">
        <f>_xlfn.LET(
  _xlpm.result, _xlfn.XLOOKUP($B69, Result_Database!$A$2:$A$500, Result_Database!AC$2:AC$500),
  _xlfn.IFNA(_xlpm.result, "")
)</f>
        <v/>
      </c>
      <c r="AE69" t="str">
        <f>_xlfn.LET(
  _xlpm.result, _xlfn.XLOOKUP($B69, Result_Database!$A$2:$A$500, Result_Database!AD$2:AD$500),
  _xlfn.IFNA(_xlpm.result, "")
)</f>
        <v/>
      </c>
      <c r="AF69" t="str">
        <f>_xlfn.LET(
  _xlpm.result, _xlfn.XLOOKUP($B69, Result_Database!$A$2:$A$500, Result_Database!AE$2:AE$500),
  _xlfn.IFNA(_xlpm.result, "")
)</f>
        <v/>
      </c>
      <c r="AG69" t="str">
        <f>_xlfn.LET(
  _xlpm.result, _xlfn.XLOOKUP($B69, Result_Database!$A$2:$A$500, Result_Database!AF$2:AF$500),
  _xlfn.IFNA(_xlpm.result, "")
)</f>
        <v/>
      </c>
      <c r="AH69" t="str">
        <f>_xlfn.LET(
  _xlpm.result, _xlfn.XLOOKUP($B69, Result_Database!$A$2:$A$500, Result_Database!AG$2:AG$500),
  _xlfn.IFNA(_xlpm.result, "")
)</f>
        <v/>
      </c>
      <c r="AI69" t="str">
        <f>_xlfn.LET(
  _xlpm.result, _xlfn.XLOOKUP($B69, Result_Database!$A$2:$A$500, Result_Database!AH$2:AH$500),
  _xlfn.IFNA(_xlpm.result, "")
)</f>
        <v/>
      </c>
      <c r="AJ69" t="str">
        <f>_xlfn.LET(
  _xlpm.result, _xlfn.XLOOKUP($B69, Result_Database!$A$2:$A$500, Result_Database!AI$2:AI$500),
  _xlfn.IFNA(_xlpm.result, "")
)</f>
        <v/>
      </c>
      <c r="AK69" t="str">
        <f>_xlfn.LET(
  _xlpm.result, _xlfn.XLOOKUP($B69, Result_Database!$A$2:$A$500, Result_Database!AJ$2:AJ$500),
  _xlfn.IFNA(_xlpm.result, "")
)</f>
        <v/>
      </c>
      <c r="AL69" t="str">
        <f>_xlfn.LET(
  _xlpm.result, _xlfn.XLOOKUP($B69, Result_Database!$A$2:$A$500, Result_Database!AK$2:AK$500),
  _xlfn.IFNA(_xlpm.result, "")
)</f>
        <v/>
      </c>
      <c r="AM6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6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6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6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6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6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6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6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6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69" t="str">
        <f>IF(SUM(Table5[[#This Row],[A1]:[C6]])&lt;&gt;0,SUM(Table5[[#This Row],[A1]:[C6]]),"")</f>
        <v/>
      </c>
      <c r="AW69" t="str">
        <f>IF(SUM(Table5[[#This Row],[D7]:[F9]])=0,"",SUM(Table5[[#This Row],[D7]:[F9]]))</f>
        <v/>
      </c>
      <c r="AX6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6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6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6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6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6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69" t="str">
        <f>IF(COUNTIF(Table5[[#This Row],[English Language]:[Electrical/ Electronics]],"WITHHELD")=0,"",COUNTIF(Table5[[#This Row],[English Language]:[Electrical/ Electronics]],"WITHHELD"))</f>
        <v/>
      </c>
      <c r="BE69" t="str">
        <f>IF(SUM(Table5[[#This Row],[NO OF CREDITS]:[BELOW CREDITS]])=0,"",SUM(Table5[[#This Row],[NO OF CREDITS]:[BELOW CREDITS]]))</f>
        <v/>
      </c>
    </row>
    <row r="70" spans="1:57" x14ac:dyDescent="0.3">
      <c r="A70" t="str">
        <f>IF(B70&lt;&gt;"",COUNTA($B$6:B70),"")</f>
        <v/>
      </c>
      <c r="B70" t="str">
        <f>IF(Result_Database!A66="","",Result_Database!A66)</f>
        <v/>
      </c>
      <c r="C70" t="str">
        <f>_xlfn.LET(
_xlpm.result,_xlfn.XLOOKUP($B70,Result_Database!$A$2:$A$500,Result_Database!$B$2:$B$500),
_xlfn.IFNA(_xlpm.result,"")
)</f>
        <v/>
      </c>
      <c r="D70" t="str">
        <f>_xlfn.LET(
  _xlpm.result, _xlfn.XLOOKUP($B70, Result_Database!$A$2:$A$500, Result_Database!C$2:C$500),
  _xlfn.IFNA(_xlpm.result, "")
)</f>
        <v/>
      </c>
      <c r="E70" t="str">
        <f>_xlfn.LET(
  _xlpm.result, _xlfn.XLOOKUP($B70, Result_Database!$A$2:$A$500, Result_Database!D$2:D$500),
  _xlfn.IFNA(_xlpm.result, "")
)</f>
        <v/>
      </c>
      <c r="F70" t="str">
        <f>_xlfn.LET(
  _xlpm.result, _xlfn.XLOOKUP($B70, Result_Database!$A$2:$A$500, Result_Database!E$2:E$500),
  _xlfn.IFNA(_xlpm.result, "")
)</f>
        <v/>
      </c>
      <c r="G70" t="str">
        <f>_xlfn.LET(
  _xlpm.result, _xlfn.XLOOKUP($B70, Result_Database!$A$2:$A$500, Result_Database!F$2:F$500),
  _xlfn.IFNA(_xlpm.result, "")
)</f>
        <v/>
      </c>
      <c r="H70" t="str">
        <f>_xlfn.LET(
  _xlpm.result, _xlfn.XLOOKUP($B70, Result_Database!$A$2:$A$500, Result_Database!G$2:G$500),
  _xlfn.IFNA(_xlpm.result, "")
)</f>
        <v/>
      </c>
      <c r="I70" t="str">
        <f>_xlfn.LET(
  _xlpm.result, _xlfn.XLOOKUP($B70, Result_Database!$A$2:$A$500, Result_Database!H$2:H$500),
  _xlfn.IFNA(_xlpm.result, "")
)</f>
        <v/>
      </c>
      <c r="J70" t="str">
        <f>_xlfn.LET(
  _xlpm.result, _xlfn.XLOOKUP($B70, Result_Database!$A$2:$A$500, Result_Database!I$2:I$500),
  _xlfn.IFNA(_xlpm.result, "")
)</f>
        <v/>
      </c>
      <c r="K70" t="str">
        <f>_xlfn.LET(
  _xlpm.result, _xlfn.XLOOKUP($B70, Result_Database!$A$2:$A$500, Result_Database!J$2:J$500),
  _xlfn.IFNA(_xlpm.result, "")
)</f>
        <v/>
      </c>
      <c r="L70" t="str">
        <f>_xlfn.LET(
  _xlpm.result, _xlfn.XLOOKUP($B70, Result_Database!$A$2:$A$500, Result_Database!K$2:K$500),
  _xlfn.IFNA(_xlpm.result, "")
)</f>
        <v/>
      </c>
      <c r="M70" t="str">
        <f>_xlfn.LET(
  _xlpm.result, _xlfn.XLOOKUP($B70, Result_Database!$A$2:$A$500, Result_Database!L$2:L$500),
  _xlfn.IFNA(_xlpm.result, "")
)</f>
        <v/>
      </c>
      <c r="N70" t="str">
        <f>_xlfn.LET(
  _xlpm.result, _xlfn.XLOOKUP($B70, Result_Database!$A$2:$A$500, Result_Database!M$2:M$500),
  _xlfn.IFNA(_xlpm.result, "")
)</f>
        <v/>
      </c>
      <c r="O70" t="str">
        <f>_xlfn.LET(
  _xlpm.result, _xlfn.XLOOKUP($B70, Result_Database!$A$2:$A$500, Result_Database!N$2:N$500),
  _xlfn.IFNA(_xlpm.result, "")
)</f>
        <v/>
      </c>
      <c r="P70" t="str">
        <f>_xlfn.LET(
  _xlpm.result, _xlfn.XLOOKUP($B70, Result_Database!$A$2:$A$500, Result_Database!O$2:O$500),
  _xlfn.IFNA(_xlpm.result, "")
)</f>
        <v/>
      </c>
      <c r="Q70" t="str">
        <f>_xlfn.LET(
  _xlpm.result, _xlfn.XLOOKUP($B70, Result_Database!$A$2:$A$500, Result_Database!P$2:P$500),
  _xlfn.IFNA(_xlpm.result, "")
)</f>
        <v/>
      </c>
      <c r="R70" t="str">
        <f>_xlfn.LET(
  _xlpm.result, _xlfn.XLOOKUP($B70, Result_Database!$A$2:$A$500, Result_Database!Q$2:Q$500),
  _xlfn.IFNA(_xlpm.result, "")
)</f>
        <v/>
      </c>
      <c r="S70" t="str">
        <f>_xlfn.LET(
  _xlpm.result, _xlfn.XLOOKUP($B70, Result_Database!$A$2:$A$500, Result_Database!R$2:R$500),
  _xlfn.IFNA(_xlpm.result, "")
)</f>
        <v/>
      </c>
      <c r="T70" t="str">
        <f>_xlfn.LET(
  _xlpm.result, _xlfn.XLOOKUP($B70, Result_Database!$A$2:$A$500, Result_Database!S$2:S$500),
  _xlfn.IFNA(_xlpm.result, "")
)</f>
        <v/>
      </c>
      <c r="U70" t="str">
        <f>_xlfn.LET(
  _xlpm.result, _xlfn.XLOOKUP($B70, Result_Database!$A$2:$A$500, Result_Database!T$2:T$500),
  _xlfn.IFNA(_xlpm.result, "")
)</f>
        <v/>
      </c>
      <c r="V70" t="str">
        <f>_xlfn.LET(
  _xlpm.result, _xlfn.XLOOKUP($B70, Result_Database!$A$2:$A$500, Result_Database!U$2:U$500),
  _xlfn.IFNA(_xlpm.result, "")
)</f>
        <v/>
      </c>
      <c r="W70" t="str">
        <f>_xlfn.LET(
  _xlpm.result, _xlfn.XLOOKUP($B70, Result_Database!$A$2:$A$500, Result_Database!V$2:V$500),
  _xlfn.IFNA(_xlpm.result, "")
)</f>
        <v/>
      </c>
      <c r="X70" t="str">
        <f>_xlfn.LET(
  _xlpm.result, _xlfn.XLOOKUP($B70, Result_Database!$A$2:$A$500, Result_Database!W$2:W$500),
  _xlfn.IFNA(_xlpm.result, "")
)</f>
        <v/>
      </c>
      <c r="Y70" t="str">
        <f>_xlfn.LET(
  _xlpm.result, _xlfn.XLOOKUP($B70, Result_Database!$A$2:$A$500, Result_Database!X$2:X$500),
  _xlfn.IFNA(_xlpm.result, "")
)</f>
        <v/>
      </c>
      <c r="Z70" t="str">
        <f>_xlfn.LET(
  _xlpm.result, _xlfn.XLOOKUP($B70, Result_Database!$A$2:$A$500, Result_Database!Y$2:Y$500),
  _xlfn.IFNA(_xlpm.result, "")
)</f>
        <v/>
      </c>
      <c r="AA70" t="str">
        <f>_xlfn.LET(
  _xlpm.result, _xlfn.XLOOKUP($B70, Result_Database!$A$2:$A$500, Result_Database!Z$2:Z$500),
  _xlfn.IFNA(_xlpm.result, "")
)</f>
        <v/>
      </c>
      <c r="AB70" t="str">
        <f>_xlfn.LET(
  _xlpm.result, _xlfn.XLOOKUP($B70, Result_Database!$A$2:$A$500, Result_Database!AA$2:AA$500),
  _xlfn.IFNA(_xlpm.result, "")
)</f>
        <v/>
      </c>
      <c r="AC70" t="str">
        <f>_xlfn.LET(
  _xlpm.result, _xlfn.XLOOKUP($B70, Result_Database!$A$2:$A$500, Result_Database!AB$2:AB$500),
  _xlfn.IFNA(_xlpm.result, "")
)</f>
        <v/>
      </c>
      <c r="AD70" t="str">
        <f>_xlfn.LET(
  _xlpm.result, _xlfn.XLOOKUP($B70, Result_Database!$A$2:$A$500, Result_Database!AC$2:AC$500),
  _xlfn.IFNA(_xlpm.result, "")
)</f>
        <v/>
      </c>
      <c r="AE70" t="str">
        <f>_xlfn.LET(
  _xlpm.result, _xlfn.XLOOKUP($B70, Result_Database!$A$2:$A$500, Result_Database!AD$2:AD$500),
  _xlfn.IFNA(_xlpm.result, "")
)</f>
        <v/>
      </c>
      <c r="AF70" t="str">
        <f>_xlfn.LET(
  _xlpm.result, _xlfn.XLOOKUP($B70, Result_Database!$A$2:$A$500, Result_Database!AE$2:AE$500),
  _xlfn.IFNA(_xlpm.result, "")
)</f>
        <v/>
      </c>
      <c r="AG70" t="str">
        <f>_xlfn.LET(
  _xlpm.result, _xlfn.XLOOKUP($B70, Result_Database!$A$2:$A$500, Result_Database!AF$2:AF$500),
  _xlfn.IFNA(_xlpm.result, "")
)</f>
        <v/>
      </c>
      <c r="AH70" t="str">
        <f>_xlfn.LET(
  _xlpm.result, _xlfn.XLOOKUP($B70, Result_Database!$A$2:$A$500, Result_Database!AG$2:AG$500),
  _xlfn.IFNA(_xlpm.result, "")
)</f>
        <v/>
      </c>
      <c r="AI70" t="str">
        <f>_xlfn.LET(
  _xlpm.result, _xlfn.XLOOKUP($B70, Result_Database!$A$2:$A$500, Result_Database!AH$2:AH$500),
  _xlfn.IFNA(_xlpm.result, "")
)</f>
        <v/>
      </c>
      <c r="AJ70" t="str">
        <f>_xlfn.LET(
  _xlpm.result, _xlfn.XLOOKUP($B70, Result_Database!$A$2:$A$500, Result_Database!AI$2:AI$500),
  _xlfn.IFNA(_xlpm.result, "")
)</f>
        <v/>
      </c>
      <c r="AK70" t="str">
        <f>_xlfn.LET(
  _xlpm.result, _xlfn.XLOOKUP($B70, Result_Database!$A$2:$A$500, Result_Database!AJ$2:AJ$500),
  _xlfn.IFNA(_xlpm.result, "")
)</f>
        <v/>
      </c>
      <c r="AL70" t="str">
        <f>_xlfn.LET(
  _xlpm.result, _xlfn.XLOOKUP($B70, Result_Database!$A$2:$A$500, Result_Database!AK$2:AK$500),
  _xlfn.IFNA(_xlpm.result, "")
)</f>
        <v/>
      </c>
      <c r="AM7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7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7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7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7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7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7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7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7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70" t="str">
        <f>IF(SUM(Table5[[#This Row],[A1]:[C6]])&lt;&gt;0,SUM(Table5[[#This Row],[A1]:[C6]]),"")</f>
        <v/>
      </c>
      <c r="AW70" t="str">
        <f>IF(SUM(Table5[[#This Row],[D7]:[F9]])=0,"",SUM(Table5[[#This Row],[D7]:[F9]]))</f>
        <v/>
      </c>
      <c r="AX7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7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7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7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7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7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70" t="str">
        <f>IF(COUNTIF(Table5[[#This Row],[English Language]:[Electrical/ Electronics]],"WITHHELD")=0,"",COUNTIF(Table5[[#This Row],[English Language]:[Electrical/ Electronics]],"WITHHELD"))</f>
        <v/>
      </c>
      <c r="BE70" t="str">
        <f>IF(SUM(Table5[[#This Row],[NO OF CREDITS]:[BELOW CREDITS]])=0,"",SUM(Table5[[#This Row],[NO OF CREDITS]:[BELOW CREDITS]]))</f>
        <v/>
      </c>
    </row>
    <row r="71" spans="1:57" x14ac:dyDescent="0.3">
      <c r="A71" t="str">
        <f>IF(B71&lt;&gt;"",COUNTA($B$6:B71),"")</f>
        <v/>
      </c>
      <c r="B71" t="str">
        <f>IF(Result_Database!A67="","",Result_Database!A67)</f>
        <v/>
      </c>
      <c r="C71" t="str">
        <f>_xlfn.LET(
_xlpm.result,_xlfn.XLOOKUP($B71,Result_Database!$A$2:$A$500,Result_Database!$B$2:$B$500),
_xlfn.IFNA(_xlpm.result,"")
)</f>
        <v/>
      </c>
      <c r="D71" t="str">
        <f>_xlfn.LET(
  _xlpm.result, _xlfn.XLOOKUP($B71, Result_Database!$A$2:$A$500, Result_Database!C$2:C$500),
  _xlfn.IFNA(_xlpm.result, "")
)</f>
        <v/>
      </c>
      <c r="E71" t="str">
        <f>_xlfn.LET(
  _xlpm.result, _xlfn.XLOOKUP($B71, Result_Database!$A$2:$A$500, Result_Database!D$2:D$500),
  _xlfn.IFNA(_xlpm.result, "")
)</f>
        <v/>
      </c>
      <c r="F71" t="str">
        <f>_xlfn.LET(
  _xlpm.result, _xlfn.XLOOKUP($B71, Result_Database!$A$2:$A$500, Result_Database!E$2:E$500),
  _xlfn.IFNA(_xlpm.result, "")
)</f>
        <v/>
      </c>
      <c r="G71" t="str">
        <f>_xlfn.LET(
  _xlpm.result, _xlfn.XLOOKUP($B71, Result_Database!$A$2:$A$500, Result_Database!F$2:F$500),
  _xlfn.IFNA(_xlpm.result, "")
)</f>
        <v/>
      </c>
      <c r="H71" t="str">
        <f>_xlfn.LET(
  _xlpm.result, _xlfn.XLOOKUP($B71, Result_Database!$A$2:$A$500, Result_Database!G$2:G$500),
  _xlfn.IFNA(_xlpm.result, "")
)</f>
        <v/>
      </c>
      <c r="I71" t="str">
        <f>_xlfn.LET(
  _xlpm.result, _xlfn.XLOOKUP($B71, Result_Database!$A$2:$A$500, Result_Database!H$2:H$500),
  _xlfn.IFNA(_xlpm.result, "")
)</f>
        <v/>
      </c>
      <c r="J71" t="str">
        <f>_xlfn.LET(
  _xlpm.result, _xlfn.XLOOKUP($B71, Result_Database!$A$2:$A$500, Result_Database!I$2:I$500),
  _xlfn.IFNA(_xlpm.result, "")
)</f>
        <v/>
      </c>
      <c r="K71" t="str">
        <f>_xlfn.LET(
  _xlpm.result, _xlfn.XLOOKUP($B71, Result_Database!$A$2:$A$500, Result_Database!J$2:J$500),
  _xlfn.IFNA(_xlpm.result, "")
)</f>
        <v/>
      </c>
      <c r="L71" t="str">
        <f>_xlfn.LET(
  _xlpm.result, _xlfn.XLOOKUP($B71, Result_Database!$A$2:$A$500, Result_Database!K$2:K$500),
  _xlfn.IFNA(_xlpm.result, "")
)</f>
        <v/>
      </c>
      <c r="M71" t="str">
        <f>_xlfn.LET(
  _xlpm.result, _xlfn.XLOOKUP($B71, Result_Database!$A$2:$A$500, Result_Database!L$2:L$500),
  _xlfn.IFNA(_xlpm.result, "")
)</f>
        <v/>
      </c>
      <c r="N71" t="str">
        <f>_xlfn.LET(
  _xlpm.result, _xlfn.XLOOKUP($B71, Result_Database!$A$2:$A$500, Result_Database!M$2:M$500),
  _xlfn.IFNA(_xlpm.result, "")
)</f>
        <v/>
      </c>
      <c r="O71" t="str">
        <f>_xlfn.LET(
  _xlpm.result, _xlfn.XLOOKUP($B71, Result_Database!$A$2:$A$500, Result_Database!N$2:N$500),
  _xlfn.IFNA(_xlpm.result, "")
)</f>
        <v/>
      </c>
      <c r="P71" t="str">
        <f>_xlfn.LET(
  _xlpm.result, _xlfn.XLOOKUP($B71, Result_Database!$A$2:$A$500, Result_Database!O$2:O$500),
  _xlfn.IFNA(_xlpm.result, "")
)</f>
        <v/>
      </c>
      <c r="Q71" t="str">
        <f>_xlfn.LET(
  _xlpm.result, _xlfn.XLOOKUP($B71, Result_Database!$A$2:$A$500, Result_Database!P$2:P$500),
  _xlfn.IFNA(_xlpm.result, "")
)</f>
        <v/>
      </c>
      <c r="R71" t="str">
        <f>_xlfn.LET(
  _xlpm.result, _xlfn.XLOOKUP($B71, Result_Database!$A$2:$A$500, Result_Database!Q$2:Q$500),
  _xlfn.IFNA(_xlpm.result, "")
)</f>
        <v/>
      </c>
      <c r="S71" t="str">
        <f>_xlfn.LET(
  _xlpm.result, _xlfn.XLOOKUP($B71, Result_Database!$A$2:$A$500, Result_Database!R$2:R$500),
  _xlfn.IFNA(_xlpm.result, "")
)</f>
        <v/>
      </c>
      <c r="T71" t="str">
        <f>_xlfn.LET(
  _xlpm.result, _xlfn.XLOOKUP($B71, Result_Database!$A$2:$A$500, Result_Database!S$2:S$500),
  _xlfn.IFNA(_xlpm.result, "")
)</f>
        <v/>
      </c>
      <c r="U71" t="str">
        <f>_xlfn.LET(
  _xlpm.result, _xlfn.XLOOKUP($B71, Result_Database!$A$2:$A$500, Result_Database!T$2:T$500),
  _xlfn.IFNA(_xlpm.result, "")
)</f>
        <v/>
      </c>
      <c r="V71" t="str">
        <f>_xlfn.LET(
  _xlpm.result, _xlfn.XLOOKUP($B71, Result_Database!$A$2:$A$500, Result_Database!U$2:U$500),
  _xlfn.IFNA(_xlpm.result, "")
)</f>
        <v/>
      </c>
      <c r="W71" t="str">
        <f>_xlfn.LET(
  _xlpm.result, _xlfn.XLOOKUP($B71, Result_Database!$A$2:$A$500, Result_Database!V$2:V$500),
  _xlfn.IFNA(_xlpm.result, "")
)</f>
        <v/>
      </c>
      <c r="X71" t="str">
        <f>_xlfn.LET(
  _xlpm.result, _xlfn.XLOOKUP($B71, Result_Database!$A$2:$A$500, Result_Database!W$2:W$500),
  _xlfn.IFNA(_xlpm.result, "")
)</f>
        <v/>
      </c>
      <c r="Y71" t="str">
        <f>_xlfn.LET(
  _xlpm.result, _xlfn.XLOOKUP($B71, Result_Database!$A$2:$A$500, Result_Database!X$2:X$500),
  _xlfn.IFNA(_xlpm.result, "")
)</f>
        <v/>
      </c>
      <c r="Z71" t="str">
        <f>_xlfn.LET(
  _xlpm.result, _xlfn.XLOOKUP($B71, Result_Database!$A$2:$A$500, Result_Database!Y$2:Y$500),
  _xlfn.IFNA(_xlpm.result, "")
)</f>
        <v/>
      </c>
      <c r="AA71" t="str">
        <f>_xlfn.LET(
  _xlpm.result, _xlfn.XLOOKUP($B71, Result_Database!$A$2:$A$500, Result_Database!Z$2:Z$500),
  _xlfn.IFNA(_xlpm.result, "")
)</f>
        <v/>
      </c>
      <c r="AB71" t="str">
        <f>_xlfn.LET(
  _xlpm.result, _xlfn.XLOOKUP($B71, Result_Database!$A$2:$A$500, Result_Database!AA$2:AA$500),
  _xlfn.IFNA(_xlpm.result, "")
)</f>
        <v/>
      </c>
      <c r="AC71" t="str">
        <f>_xlfn.LET(
  _xlpm.result, _xlfn.XLOOKUP($B71, Result_Database!$A$2:$A$500, Result_Database!AB$2:AB$500),
  _xlfn.IFNA(_xlpm.result, "")
)</f>
        <v/>
      </c>
      <c r="AD71" t="str">
        <f>_xlfn.LET(
  _xlpm.result, _xlfn.XLOOKUP($B71, Result_Database!$A$2:$A$500, Result_Database!AC$2:AC$500),
  _xlfn.IFNA(_xlpm.result, "")
)</f>
        <v/>
      </c>
      <c r="AE71" t="str">
        <f>_xlfn.LET(
  _xlpm.result, _xlfn.XLOOKUP($B71, Result_Database!$A$2:$A$500, Result_Database!AD$2:AD$500),
  _xlfn.IFNA(_xlpm.result, "")
)</f>
        <v/>
      </c>
      <c r="AF71" t="str">
        <f>_xlfn.LET(
  _xlpm.result, _xlfn.XLOOKUP($B71, Result_Database!$A$2:$A$500, Result_Database!AE$2:AE$500),
  _xlfn.IFNA(_xlpm.result, "")
)</f>
        <v/>
      </c>
      <c r="AG71" t="str">
        <f>_xlfn.LET(
  _xlpm.result, _xlfn.XLOOKUP($B71, Result_Database!$A$2:$A$500, Result_Database!AF$2:AF$500),
  _xlfn.IFNA(_xlpm.result, "")
)</f>
        <v/>
      </c>
      <c r="AH71" t="str">
        <f>_xlfn.LET(
  _xlpm.result, _xlfn.XLOOKUP($B71, Result_Database!$A$2:$A$500, Result_Database!AG$2:AG$500),
  _xlfn.IFNA(_xlpm.result, "")
)</f>
        <v/>
      </c>
      <c r="AI71" t="str">
        <f>_xlfn.LET(
  _xlpm.result, _xlfn.XLOOKUP($B71, Result_Database!$A$2:$A$500, Result_Database!AH$2:AH$500),
  _xlfn.IFNA(_xlpm.result, "")
)</f>
        <v/>
      </c>
      <c r="AJ71" t="str">
        <f>_xlfn.LET(
  _xlpm.result, _xlfn.XLOOKUP($B71, Result_Database!$A$2:$A$500, Result_Database!AI$2:AI$500),
  _xlfn.IFNA(_xlpm.result, "")
)</f>
        <v/>
      </c>
      <c r="AK71" t="str">
        <f>_xlfn.LET(
  _xlpm.result, _xlfn.XLOOKUP($B71, Result_Database!$A$2:$A$500, Result_Database!AJ$2:AJ$500),
  _xlfn.IFNA(_xlpm.result, "")
)</f>
        <v/>
      </c>
      <c r="AL71" t="str">
        <f>_xlfn.LET(
  _xlpm.result, _xlfn.XLOOKUP($B71, Result_Database!$A$2:$A$500, Result_Database!AK$2:AK$500),
  _xlfn.IFNA(_xlpm.result, "")
)</f>
        <v/>
      </c>
      <c r="AM7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7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7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7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7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7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7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7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7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71" t="str">
        <f>IF(SUM(Table5[[#This Row],[A1]:[C6]])&lt;&gt;0,SUM(Table5[[#This Row],[A1]:[C6]]),"")</f>
        <v/>
      </c>
      <c r="AW71" t="str">
        <f>IF(SUM(Table5[[#This Row],[D7]:[F9]])=0,"",SUM(Table5[[#This Row],[D7]:[F9]]))</f>
        <v/>
      </c>
      <c r="AX7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7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7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7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7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7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71" t="str">
        <f>IF(COUNTIF(Table5[[#This Row],[English Language]:[Electrical/ Electronics]],"WITHHELD")=0,"",COUNTIF(Table5[[#This Row],[English Language]:[Electrical/ Electronics]],"WITHHELD"))</f>
        <v/>
      </c>
      <c r="BE71" t="str">
        <f>IF(SUM(Table5[[#This Row],[NO OF CREDITS]:[BELOW CREDITS]])=0,"",SUM(Table5[[#This Row],[NO OF CREDITS]:[BELOW CREDITS]]))</f>
        <v/>
      </c>
    </row>
    <row r="72" spans="1:57" x14ac:dyDescent="0.3">
      <c r="A72" t="str">
        <f>IF(B72&lt;&gt;"",COUNTA($B$6:B72),"")</f>
        <v/>
      </c>
      <c r="B72" t="str">
        <f>IF(Result_Database!A68="","",Result_Database!A68)</f>
        <v/>
      </c>
      <c r="C72" t="str">
        <f>_xlfn.LET(
_xlpm.result,_xlfn.XLOOKUP($B72,Result_Database!$A$2:$A$500,Result_Database!$B$2:$B$500),
_xlfn.IFNA(_xlpm.result,"")
)</f>
        <v/>
      </c>
      <c r="D72" t="str">
        <f>_xlfn.LET(
  _xlpm.result, _xlfn.XLOOKUP($B72, Result_Database!$A$2:$A$500, Result_Database!C$2:C$500),
  _xlfn.IFNA(_xlpm.result, "")
)</f>
        <v/>
      </c>
      <c r="E72" t="str">
        <f>_xlfn.LET(
  _xlpm.result, _xlfn.XLOOKUP($B72, Result_Database!$A$2:$A$500, Result_Database!D$2:D$500),
  _xlfn.IFNA(_xlpm.result, "")
)</f>
        <v/>
      </c>
      <c r="F72" t="str">
        <f>_xlfn.LET(
  _xlpm.result, _xlfn.XLOOKUP($B72, Result_Database!$A$2:$A$500, Result_Database!E$2:E$500),
  _xlfn.IFNA(_xlpm.result, "")
)</f>
        <v/>
      </c>
      <c r="G72" t="str">
        <f>_xlfn.LET(
  _xlpm.result, _xlfn.XLOOKUP($B72, Result_Database!$A$2:$A$500, Result_Database!F$2:F$500),
  _xlfn.IFNA(_xlpm.result, "")
)</f>
        <v/>
      </c>
      <c r="H72" t="str">
        <f>_xlfn.LET(
  _xlpm.result, _xlfn.XLOOKUP($B72, Result_Database!$A$2:$A$500, Result_Database!G$2:G$500),
  _xlfn.IFNA(_xlpm.result, "")
)</f>
        <v/>
      </c>
      <c r="I72" t="str">
        <f>_xlfn.LET(
  _xlpm.result, _xlfn.XLOOKUP($B72, Result_Database!$A$2:$A$500, Result_Database!H$2:H$500),
  _xlfn.IFNA(_xlpm.result, "")
)</f>
        <v/>
      </c>
      <c r="J72" t="str">
        <f>_xlfn.LET(
  _xlpm.result, _xlfn.XLOOKUP($B72, Result_Database!$A$2:$A$500, Result_Database!I$2:I$500),
  _xlfn.IFNA(_xlpm.result, "")
)</f>
        <v/>
      </c>
      <c r="K72" t="str">
        <f>_xlfn.LET(
  _xlpm.result, _xlfn.XLOOKUP($B72, Result_Database!$A$2:$A$500, Result_Database!J$2:J$500),
  _xlfn.IFNA(_xlpm.result, "")
)</f>
        <v/>
      </c>
      <c r="L72" t="str">
        <f>_xlfn.LET(
  _xlpm.result, _xlfn.XLOOKUP($B72, Result_Database!$A$2:$A$500, Result_Database!K$2:K$500),
  _xlfn.IFNA(_xlpm.result, "")
)</f>
        <v/>
      </c>
      <c r="M72" t="str">
        <f>_xlfn.LET(
  _xlpm.result, _xlfn.XLOOKUP($B72, Result_Database!$A$2:$A$500, Result_Database!L$2:L$500),
  _xlfn.IFNA(_xlpm.result, "")
)</f>
        <v/>
      </c>
      <c r="N72" t="str">
        <f>_xlfn.LET(
  _xlpm.result, _xlfn.XLOOKUP($B72, Result_Database!$A$2:$A$500, Result_Database!M$2:M$500),
  _xlfn.IFNA(_xlpm.result, "")
)</f>
        <v/>
      </c>
      <c r="O72" t="str">
        <f>_xlfn.LET(
  _xlpm.result, _xlfn.XLOOKUP($B72, Result_Database!$A$2:$A$500, Result_Database!N$2:N$500),
  _xlfn.IFNA(_xlpm.result, "")
)</f>
        <v/>
      </c>
      <c r="P72" t="str">
        <f>_xlfn.LET(
  _xlpm.result, _xlfn.XLOOKUP($B72, Result_Database!$A$2:$A$500, Result_Database!O$2:O$500),
  _xlfn.IFNA(_xlpm.result, "")
)</f>
        <v/>
      </c>
      <c r="Q72" t="str">
        <f>_xlfn.LET(
  _xlpm.result, _xlfn.XLOOKUP($B72, Result_Database!$A$2:$A$500, Result_Database!P$2:P$500),
  _xlfn.IFNA(_xlpm.result, "")
)</f>
        <v/>
      </c>
      <c r="R72" t="str">
        <f>_xlfn.LET(
  _xlpm.result, _xlfn.XLOOKUP($B72, Result_Database!$A$2:$A$500, Result_Database!Q$2:Q$500),
  _xlfn.IFNA(_xlpm.result, "")
)</f>
        <v/>
      </c>
      <c r="S72" t="str">
        <f>_xlfn.LET(
  _xlpm.result, _xlfn.XLOOKUP($B72, Result_Database!$A$2:$A$500, Result_Database!R$2:R$500),
  _xlfn.IFNA(_xlpm.result, "")
)</f>
        <v/>
      </c>
      <c r="T72" t="str">
        <f>_xlfn.LET(
  _xlpm.result, _xlfn.XLOOKUP($B72, Result_Database!$A$2:$A$500, Result_Database!S$2:S$500),
  _xlfn.IFNA(_xlpm.result, "")
)</f>
        <v/>
      </c>
      <c r="U72" t="str">
        <f>_xlfn.LET(
  _xlpm.result, _xlfn.XLOOKUP($B72, Result_Database!$A$2:$A$500, Result_Database!T$2:T$500),
  _xlfn.IFNA(_xlpm.result, "")
)</f>
        <v/>
      </c>
      <c r="V72" t="str">
        <f>_xlfn.LET(
  _xlpm.result, _xlfn.XLOOKUP($B72, Result_Database!$A$2:$A$500, Result_Database!U$2:U$500),
  _xlfn.IFNA(_xlpm.result, "")
)</f>
        <v/>
      </c>
      <c r="W72" t="str">
        <f>_xlfn.LET(
  _xlpm.result, _xlfn.XLOOKUP($B72, Result_Database!$A$2:$A$500, Result_Database!V$2:V$500),
  _xlfn.IFNA(_xlpm.result, "")
)</f>
        <v/>
      </c>
      <c r="X72" t="str">
        <f>_xlfn.LET(
  _xlpm.result, _xlfn.XLOOKUP($B72, Result_Database!$A$2:$A$500, Result_Database!W$2:W$500),
  _xlfn.IFNA(_xlpm.result, "")
)</f>
        <v/>
      </c>
      <c r="Y72" t="str">
        <f>_xlfn.LET(
  _xlpm.result, _xlfn.XLOOKUP($B72, Result_Database!$A$2:$A$500, Result_Database!X$2:X$500),
  _xlfn.IFNA(_xlpm.result, "")
)</f>
        <v/>
      </c>
      <c r="Z72" t="str">
        <f>_xlfn.LET(
  _xlpm.result, _xlfn.XLOOKUP($B72, Result_Database!$A$2:$A$500, Result_Database!Y$2:Y$500),
  _xlfn.IFNA(_xlpm.result, "")
)</f>
        <v/>
      </c>
      <c r="AA72" t="str">
        <f>_xlfn.LET(
  _xlpm.result, _xlfn.XLOOKUP($B72, Result_Database!$A$2:$A$500, Result_Database!Z$2:Z$500),
  _xlfn.IFNA(_xlpm.result, "")
)</f>
        <v/>
      </c>
      <c r="AB72" t="str">
        <f>_xlfn.LET(
  _xlpm.result, _xlfn.XLOOKUP($B72, Result_Database!$A$2:$A$500, Result_Database!AA$2:AA$500),
  _xlfn.IFNA(_xlpm.result, "")
)</f>
        <v/>
      </c>
      <c r="AC72" t="str">
        <f>_xlfn.LET(
  _xlpm.result, _xlfn.XLOOKUP($B72, Result_Database!$A$2:$A$500, Result_Database!AB$2:AB$500),
  _xlfn.IFNA(_xlpm.result, "")
)</f>
        <v/>
      </c>
      <c r="AD72" t="str">
        <f>_xlfn.LET(
  _xlpm.result, _xlfn.XLOOKUP($B72, Result_Database!$A$2:$A$500, Result_Database!AC$2:AC$500),
  _xlfn.IFNA(_xlpm.result, "")
)</f>
        <v/>
      </c>
      <c r="AE72" t="str">
        <f>_xlfn.LET(
  _xlpm.result, _xlfn.XLOOKUP($B72, Result_Database!$A$2:$A$500, Result_Database!AD$2:AD$500),
  _xlfn.IFNA(_xlpm.result, "")
)</f>
        <v/>
      </c>
      <c r="AF72" t="str">
        <f>_xlfn.LET(
  _xlpm.result, _xlfn.XLOOKUP($B72, Result_Database!$A$2:$A$500, Result_Database!AE$2:AE$500),
  _xlfn.IFNA(_xlpm.result, "")
)</f>
        <v/>
      </c>
      <c r="AG72" t="str">
        <f>_xlfn.LET(
  _xlpm.result, _xlfn.XLOOKUP($B72, Result_Database!$A$2:$A$500, Result_Database!AF$2:AF$500),
  _xlfn.IFNA(_xlpm.result, "")
)</f>
        <v/>
      </c>
      <c r="AH72" t="str">
        <f>_xlfn.LET(
  _xlpm.result, _xlfn.XLOOKUP($B72, Result_Database!$A$2:$A$500, Result_Database!AG$2:AG$500),
  _xlfn.IFNA(_xlpm.result, "")
)</f>
        <v/>
      </c>
      <c r="AI72" t="str">
        <f>_xlfn.LET(
  _xlpm.result, _xlfn.XLOOKUP($B72, Result_Database!$A$2:$A$500, Result_Database!AH$2:AH$500),
  _xlfn.IFNA(_xlpm.result, "")
)</f>
        <v/>
      </c>
      <c r="AJ72" t="str">
        <f>_xlfn.LET(
  _xlpm.result, _xlfn.XLOOKUP($B72, Result_Database!$A$2:$A$500, Result_Database!AI$2:AI$500),
  _xlfn.IFNA(_xlpm.result, "")
)</f>
        <v/>
      </c>
      <c r="AK72" t="str">
        <f>_xlfn.LET(
  _xlpm.result, _xlfn.XLOOKUP($B72, Result_Database!$A$2:$A$500, Result_Database!AJ$2:AJ$500),
  _xlfn.IFNA(_xlpm.result, "")
)</f>
        <v/>
      </c>
      <c r="AL72" t="str">
        <f>_xlfn.LET(
  _xlpm.result, _xlfn.XLOOKUP($B72, Result_Database!$A$2:$A$500, Result_Database!AK$2:AK$500),
  _xlfn.IFNA(_xlpm.result, "")
)</f>
        <v/>
      </c>
      <c r="AM7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7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7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7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7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7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7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7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7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72" t="str">
        <f>IF(SUM(Table5[[#This Row],[A1]:[C6]])&lt;&gt;0,SUM(Table5[[#This Row],[A1]:[C6]]),"")</f>
        <v/>
      </c>
      <c r="AW72" t="str">
        <f>IF(SUM(Table5[[#This Row],[D7]:[F9]])=0,"",SUM(Table5[[#This Row],[D7]:[F9]]))</f>
        <v/>
      </c>
      <c r="AX7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7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7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7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7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7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72" t="str">
        <f>IF(COUNTIF(Table5[[#This Row],[English Language]:[Electrical/ Electronics]],"WITHHELD")=0,"",COUNTIF(Table5[[#This Row],[English Language]:[Electrical/ Electronics]],"WITHHELD"))</f>
        <v/>
      </c>
      <c r="BE72" t="str">
        <f>IF(SUM(Table5[[#This Row],[NO OF CREDITS]:[BELOW CREDITS]])=0,"",SUM(Table5[[#This Row],[NO OF CREDITS]:[BELOW CREDITS]]))</f>
        <v/>
      </c>
    </row>
    <row r="73" spans="1:57" x14ac:dyDescent="0.3">
      <c r="A73" t="str">
        <f>IF(B73&lt;&gt;"",COUNTA($B$6:B73),"")</f>
        <v/>
      </c>
      <c r="B73" t="str">
        <f>IF(Result_Database!A69="","",Result_Database!A69)</f>
        <v/>
      </c>
      <c r="C73" t="str">
        <f>_xlfn.LET(
_xlpm.result,_xlfn.XLOOKUP($B73,Result_Database!$A$2:$A$500,Result_Database!$B$2:$B$500),
_xlfn.IFNA(_xlpm.result,"")
)</f>
        <v/>
      </c>
      <c r="D73" t="str">
        <f>_xlfn.LET(
  _xlpm.result, _xlfn.XLOOKUP($B73, Result_Database!$A$2:$A$500, Result_Database!C$2:C$500),
  _xlfn.IFNA(_xlpm.result, "")
)</f>
        <v/>
      </c>
      <c r="E73" t="str">
        <f>_xlfn.LET(
  _xlpm.result, _xlfn.XLOOKUP($B73, Result_Database!$A$2:$A$500, Result_Database!D$2:D$500),
  _xlfn.IFNA(_xlpm.result, "")
)</f>
        <v/>
      </c>
      <c r="F73" t="str">
        <f>_xlfn.LET(
  _xlpm.result, _xlfn.XLOOKUP($B73, Result_Database!$A$2:$A$500, Result_Database!E$2:E$500),
  _xlfn.IFNA(_xlpm.result, "")
)</f>
        <v/>
      </c>
      <c r="G73" t="str">
        <f>_xlfn.LET(
  _xlpm.result, _xlfn.XLOOKUP($B73, Result_Database!$A$2:$A$500, Result_Database!F$2:F$500),
  _xlfn.IFNA(_xlpm.result, "")
)</f>
        <v/>
      </c>
      <c r="H73" t="str">
        <f>_xlfn.LET(
  _xlpm.result, _xlfn.XLOOKUP($B73, Result_Database!$A$2:$A$500, Result_Database!G$2:G$500),
  _xlfn.IFNA(_xlpm.result, "")
)</f>
        <v/>
      </c>
      <c r="I73" t="str">
        <f>_xlfn.LET(
  _xlpm.result, _xlfn.XLOOKUP($B73, Result_Database!$A$2:$A$500, Result_Database!H$2:H$500),
  _xlfn.IFNA(_xlpm.result, "")
)</f>
        <v/>
      </c>
      <c r="J73" t="str">
        <f>_xlfn.LET(
  _xlpm.result, _xlfn.XLOOKUP($B73, Result_Database!$A$2:$A$500, Result_Database!I$2:I$500),
  _xlfn.IFNA(_xlpm.result, "")
)</f>
        <v/>
      </c>
      <c r="K73" t="str">
        <f>_xlfn.LET(
  _xlpm.result, _xlfn.XLOOKUP($B73, Result_Database!$A$2:$A$500, Result_Database!J$2:J$500),
  _xlfn.IFNA(_xlpm.result, "")
)</f>
        <v/>
      </c>
      <c r="L73" t="str">
        <f>_xlfn.LET(
  _xlpm.result, _xlfn.XLOOKUP($B73, Result_Database!$A$2:$A$500, Result_Database!K$2:K$500),
  _xlfn.IFNA(_xlpm.result, "")
)</f>
        <v/>
      </c>
      <c r="M73" t="str">
        <f>_xlfn.LET(
  _xlpm.result, _xlfn.XLOOKUP($B73, Result_Database!$A$2:$A$500, Result_Database!L$2:L$500),
  _xlfn.IFNA(_xlpm.result, "")
)</f>
        <v/>
      </c>
      <c r="N73" t="str">
        <f>_xlfn.LET(
  _xlpm.result, _xlfn.XLOOKUP($B73, Result_Database!$A$2:$A$500, Result_Database!M$2:M$500),
  _xlfn.IFNA(_xlpm.result, "")
)</f>
        <v/>
      </c>
      <c r="O73" t="str">
        <f>_xlfn.LET(
  _xlpm.result, _xlfn.XLOOKUP($B73, Result_Database!$A$2:$A$500, Result_Database!N$2:N$500),
  _xlfn.IFNA(_xlpm.result, "")
)</f>
        <v/>
      </c>
      <c r="P73" t="str">
        <f>_xlfn.LET(
  _xlpm.result, _xlfn.XLOOKUP($B73, Result_Database!$A$2:$A$500, Result_Database!O$2:O$500),
  _xlfn.IFNA(_xlpm.result, "")
)</f>
        <v/>
      </c>
      <c r="Q73" t="str">
        <f>_xlfn.LET(
  _xlpm.result, _xlfn.XLOOKUP($B73, Result_Database!$A$2:$A$500, Result_Database!P$2:P$500),
  _xlfn.IFNA(_xlpm.result, "")
)</f>
        <v/>
      </c>
      <c r="R73" t="str">
        <f>_xlfn.LET(
  _xlpm.result, _xlfn.XLOOKUP($B73, Result_Database!$A$2:$A$500, Result_Database!Q$2:Q$500),
  _xlfn.IFNA(_xlpm.result, "")
)</f>
        <v/>
      </c>
      <c r="S73" t="str">
        <f>_xlfn.LET(
  _xlpm.result, _xlfn.XLOOKUP($B73, Result_Database!$A$2:$A$500, Result_Database!R$2:R$500),
  _xlfn.IFNA(_xlpm.result, "")
)</f>
        <v/>
      </c>
      <c r="T73" t="str">
        <f>_xlfn.LET(
  _xlpm.result, _xlfn.XLOOKUP($B73, Result_Database!$A$2:$A$500, Result_Database!S$2:S$500),
  _xlfn.IFNA(_xlpm.result, "")
)</f>
        <v/>
      </c>
      <c r="U73" t="str">
        <f>_xlfn.LET(
  _xlpm.result, _xlfn.XLOOKUP($B73, Result_Database!$A$2:$A$500, Result_Database!T$2:T$500),
  _xlfn.IFNA(_xlpm.result, "")
)</f>
        <v/>
      </c>
      <c r="V73" t="str">
        <f>_xlfn.LET(
  _xlpm.result, _xlfn.XLOOKUP($B73, Result_Database!$A$2:$A$500, Result_Database!U$2:U$500),
  _xlfn.IFNA(_xlpm.result, "")
)</f>
        <v/>
      </c>
      <c r="W73" t="str">
        <f>_xlfn.LET(
  _xlpm.result, _xlfn.XLOOKUP($B73, Result_Database!$A$2:$A$500, Result_Database!V$2:V$500),
  _xlfn.IFNA(_xlpm.result, "")
)</f>
        <v/>
      </c>
      <c r="X73" t="str">
        <f>_xlfn.LET(
  _xlpm.result, _xlfn.XLOOKUP($B73, Result_Database!$A$2:$A$500, Result_Database!W$2:W$500),
  _xlfn.IFNA(_xlpm.result, "")
)</f>
        <v/>
      </c>
      <c r="Y73" t="str">
        <f>_xlfn.LET(
  _xlpm.result, _xlfn.XLOOKUP($B73, Result_Database!$A$2:$A$500, Result_Database!X$2:X$500),
  _xlfn.IFNA(_xlpm.result, "")
)</f>
        <v/>
      </c>
      <c r="Z73" t="str">
        <f>_xlfn.LET(
  _xlpm.result, _xlfn.XLOOKUP($B73, Result_Database!$A$2:$A$500, Result_Database!Y$2:Y$500),
  _xlfn.IFNA(_xlpm.result, "")
)</f>
        <v/>
      </c>
      <c r="AA73" t="str">
        <f>_xlfn.LET(
  _xlpm.result, _xlfn.XLOOKUP($B73, Result_Database!$A$2:$A$500, Result_Database!Z$2:Z$500),
  _xlfn.IFNA(_xlpm.result, "")
)</f>
        <v/>
      </c>
      <c r="AB73" t="str">
        <f>_xlfn.LET(
  _xlpm.result, _xlfn.XLOOKUP($B73, Result_Database!$A$2:$A$500, Result_Database!AA$2:AA$500),
  _xlfn.IFNA(_xlpm.result, "")
)</f>
        <v/>
      </c>
      <c r="AC73" t="str">
        <f>_xlfn.LET(
  _xlpm.result, _xlfn.XLOOKUP($B73, Result_Database!$A$2:$A$500, Result_Database!AB$2:AB$500),
  _xlfn.IFNA(_xlpm.result, "")
)</f>
        <v/>
      </c>
      <c r="AD73" t="str">
        <f>_xlfn.LET(
  _xlpm.result, _xlfn.XLOOKUP($B73, Result_Database!$A$2:$A$500, Result_Database!AC$2:AC$500),
  _xlfn.IFNA(_xlpm.result, "")
)</f>
        <v/>
      </c>
      <c r="AE73" t="str">
        <f>_xlfn.LET(
  _xlpm.result, _xlfn.XLOOKUP($B73, Result_Database!$A$2:$A$500, Result_Database!AD$2:AD$500),
  _xlfn.IFNA(_xlpm.result, "")
)</f>
        <v/>
      </c>
      <c r="AF73" t="str">
        <f>_xlfn.LET(
  _xlpm.result, _xlfn.XLOOKUP($B73, Result_Database!$A$2:$A$500, Result_Database!AE$2:AE$500),
  _xlfn.IFNA(_xlpm.result, "")
)</f>
        <v/>
      </c>
      <c r="AG73" t="str">
        <f>_xlfn.LET(
  _xlpm.result, _xlfn.XLOOKUP($B73, Result_Database!$A$2:$A$500, Result_Database!AF$2:AF$500),
  _xlfn.IFNA(_xlpm.result, "")
)</f>
        <v/>
      </c>
      <c r="AH73" t="str">
        <f>_xlfn.LET(
  _xlpm.result, _xlfn.XLOOKUP($B73, Result_Database!$A$2:$A$500, Result_Database!AG$2:AG$500),
  _xlfn.IFNA(_xlpm.result, "")
)</f>
        <v/>
      </c>
      <c r="AI73" t="str">
        <f>_xlfn.LET(
  _xlpm.result, _xlfn.XLOOKUP($B73, Result_Database!$A$2:$A$500, Result_Database!AH$2:AH$500),
  _xlfn.IFNA(_xlpm.result, "")
)</f>
        <v/>
      </c>
      <c r="AJ73" t="str">
        <f>_xlfn.LET(
  _xlpm.result, _xlfn.XLOOKUP($B73, Result_Database!$A$2:$A$500, Result_Database!AI$2:AI$500),
  _xlfn.IFNA(_xlpm.result, "")
)</f>
        <v/>
      </c>
      <c r="AK73" t="str">
        <f>_xlfn.LET(
  _xlpm.result, _xlfn.XLOOKUP($B73, Result_Database!$A$2:$A$500, Result_Database!AJ$2:AJ$500),
  _xlfn.IFNA(_xlpm.result, "")
)</f>
        <v/>
      </c>
      <c r="AL73" t="str">
        <f>_xlfn.LET(
  _xlpm.result, _xlfn.XLOOKUP($B73, Result_Database!$A$2:$A$500, Result_Database!AK$2:AK$500),
  _xlfn.IFNA(_xlpm.result, "")
)</f>
        <v/>
      </c>
      <c r="AM7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7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7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7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7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7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7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7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7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73" t="str">
        <f>IF(SUM(Table5[[#This Row],[A1]:[C6]])&lt;&gt;0,SUM(Table5[[#This Row],[A1]:[C6]]),"")</f>
        <v/>
      </c>
      <c r="AW73" t="str">
        <f>IF(SUM(Table5[[#This Row],[D7]:[F9]])=0,"",SUM(Table5[[#This Row],[D7]:[F9]]))</f>
        <v/>
      </c>
      <c r="AX7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7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7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7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7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7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73" t="str">
        <f>IF(COUNTIF(Table5[[#This Row],[English Language]:[Electrical/ Electronics]],"WITHHELD")=0,"",COUNTIF(Table5[[#This Row],[English Language]:[Electrical/ Electronics]],"WITHHELD"))</f>
        <v/>
      </c>
      <c r="BE73" t="str">
        <f>IF(SUM(Table5[[#This Row],[NO OF CREDITS]:[BELOW CREDITS]])=0,"",SUM(Table5[[#This Row],[NO OF CREDITS]:[BELOW CREDITS]]))</f>
        <v/>
      </c>
    </row>
    <row r="74" spans="1:57" x14ac:dyDescent="0.3">
      <c r="A74" t="str">
        <f>IF(B74&lt;&gt;"",COUNTA($B$6:B74),"")</f>
        <v/>
      </c>
      <c r="B74" t="str">
        <f>IF(Result_Database!A70="","",Result_Database!A70)</f>
        <v/>
      </c>
      <c r="C74" t="str">
        <f>_xlfn.LET(
_xlpm.result,_xlfn.XLOOKUP($B74,Result_Database!$A$2:$A$500,Result_Database!$B$2:$B$500),
_xlfn.IFNA(_xlpm.result,"")
)</f>
        <v/>
      </c>
      <c r="D74" t="str">
        <f>_xlfn.LET(
  _xlpm.result, _xlfn.XLOOKUP($B74, Result_Database!$A$2:$A$500, Result_Database!C$2:C$500),
  _xlfn.IFNA(_xlpm.result, "")
)</f>
        <v/>
      </c>
      <c r="E74" t="str">
        <f>_xlfn.LET(
  _xlpm.result, _xlfn.XLOOKUP($B74, Result_Database!$A$2:$A$500, Result_Database!D$2:D$500),
  _xlfn.IFNA(_xlpm.result, "")
)</f>
        <v/>
      </c>
      <c r="F74" t="str">
        <f>_xlfn.LET(
  _xlpm.result, _xlfn.XLOOKUP($B74, Result_Database!$A$2:$A$500, Result_Database!E$2:E$500),
  _xlfn.IFNA(_xlpm.result, "")
)</f>
        <v/>
      </c>
      <c r="G74" t="str">
        <f>_xlfn.LET(
  _xlpm.result, _xlfn.XLOOKUP($B74, Result_Database!$A$2:$A$500, Result_Database!F$2:F$500),
  _xlfn.IFNA(_xlpm.result, "")
)</f>
        <v/>
      </c>
      <c r="H74" t="str">
        <f>_xlfn.LET(
  _xlpm.result, _xlfn.XLOOKUP($B74, Result_Database!$A$2:$A$500, Result_Database!G$2:G$500),
  _xlfn.IFNA(_xlpm.result, "")
)</f>
        <v/>
      </c>
      <c r="I74" t="str">
        <f>_xlfn.LET(
  _xlpm.result, _xlfn.XLOOKUP($B74, Result_Database!$A$2:$A$500, Result_Database!H$2:H$500),
  _xlfn.IFNA(_xlpm.result, "")
)</f>
        <v/>
      </c>
      <c r="J74" t="str">
        <f>_xlfn.LET(
  _xlpm.result, _xlfn.XLOOKUP($B74, Result_Database!$A$2:$A$500, Result_Database!I$2:I$500),
  _xlfn.IFNA(_xlpm.result, "")
)</f>
        <v/>
      </c>
      <c r="K74" t="str">
        <f>_xlfn.LET(
  _xlpm.result, _xlfn.XLOOKUP($B74, Result_Database!$A$2:$A$500, Result_Database!J$2:J$500),
  _xlfn.IFNA(_xlpm.result, "")
)</f>
        <v/>
      </c>
      <c r="L74" t="str">
        <f>_xlfn.LET(
  _xlpm.result, _xlfn.XLOOKUP($B74, Result_Database!$A$2:$A$500, Result_Database!K$2:K$500),
  _xlfn.IFNA(_xlpm.result, "")
)</f>
        <v/>
      </c>
      <c r="M74" t="str">
        <f>_xlfn.LET(
  _xlpm.result, _xlfn.XLOOKUP($B74, Result_Database!$A$2:$A$500, Result_Database!L$2:L$500),
  _xlfn.IFNA(_xlpm.result, "")
)</f>
        <v/>
      </c>
      <c r="N74" t="str">
        <f>_xlfn.LET(
  _xlpm.result, _xlfn.XLOOKUP($B74, Result_Database!$A$2:$A$500, Result_Database!M$2:M$500),
  _xlfn.IFNA(_xlpm.result, "")
)</f>
        <v/>
      </c>
      <c r="O74" t="str">
        <f>_xlfn.LET(
  _xlpm.result, _xlfn.XLOOKUP($B74, Result_Database!$A$2:$A$500, Result_Database!N$2:N$500),
  _xlfn.IFNA(_xlpm.result, "")
)</f>
        <v/>
      </c>
      <c r="P74" t="str">
        <f>_xlfn.LET(
  _xlpm.result, _xlfn.XLOOKUP($B74, Result_Database!$A$2:$A$500, Result_Database!O$2:O$500),
  _xlfn.IFNA(_xlpm.result, "")
)</f>
        <v/>
      </c>
      <c r="Q74" t="str">
        <f>_xlfn.LET(
  _xlpm.result, _xlfn.XLOOKUP($B74, Result_Database!$A$2:$A$500, Result_Database!P$2:P$500),
  _xlfn.IFNA(_xlpm.result, "")
)</f>
        <v/>
      </c>
      <c r="R74" t="str">
        <f>_xlfn.LET(
  _xlpm.result, _xlfn.XLOOKUP($B74, Result_Database!$A$2:$A$500, Result_Database!Q$2:Q$500),
  _xlfn.IFNA(_xlpm.result, "")
)</f>
        <v/>
      </c>
      <c r="S74" t="str">
        <f>_xlfn.LET(
  _xlpm.result, _xlfn.XLOOKUP($B74, Result_Database!$A$2:$A$500, Result_Database!R$2:R$500),
  _xlfn.IFNA(_xlpm.result, "")
)</f>
        <v/>
      </c>
      <c r="T74" t="str">
        <f>_xlfn.LET(
  _xlpm.result, _xlfn.XLOOKUP($B74, Result_Database!$A$2:$A$500, Result_Database!S$2:S$500),
  _xlfn.IFNA(_xlpm.result, "")
)</f>
        <v/>
      </c>
      <c r="U74" t="str">
        <f>_xlfn.LET(
  _xlpm.result, _xlfn.XLOOKUP($B74, Result_Database!$A$2:$A$500, Result_Database!T$2:T$500),
  _xlfn.IFNA(_xlpm.result, "")
)</f>
        <v/>
      </c>
      <c r="V74" t="str">
        <f>_xlfn.LET(
  _xlpm.result, _xlfn.XLOOKUP($B74, Result_Database!$A$2:$A$500, Result_Database!U$2:U$500),
  _xlfn.IFNA(_xlpm.result, "")
)</f>
        <v/>
      </c>
      <c r="W74" t="str">
        <f>_xlfn.LET(
  _xlpm.result, _xlfn.XLOOKUP($B74, Result_Database!$A$2:$A$500, Result_Database!V$2:V$500),
  _xlfn.IFNA(_xlpm.result, "")
)</f>
        <v/>
      </c>
      <c r="X74" t="str">
        <f>_xlfn.LET(
  _xlpm.result, _xlfn.XLOOKUP($B74, Result_Database!$A$2:$A$500, Result_Database!W$2:W$500),
  _xlfn.IFNA(_xlpm.result, "")
)</f>
        <v/>
      </c>
      <c r="Y74" t="str">
        <f>_xlfn.LET(
  _xlpm.result, _xlfn.XLOOKUP($B74, Result_Database!$A$2:$A$500, Result_Database!X$2:X$500),
  _xlfn.IFNA(_xlpm.result, "")
)</f>
        <v/>
      </c>
      <c r="Z74" t="str">
        <f>_xlfn.LET(
  _xlpm.result, _xlfn.XLOOKUP($B74, Result_Database!$A$2:$A$500, Result_Database!Y$2:Y$500),
  _xlfn.IFNA(_xlpm.result, "")
)</f>
        <v/>
      </c>
      <c r="AA74" t="str">
        <f>_xlfn.LET(
  _xlpm.result, _xlfn.XLOOKUP($B74, Result_Database!$A$2:$A$500, Result_Database!Z$2:Z$500),
  _xlfn.IFNA(_xlpm.result, "")
)</f>
        <v/>
      </c>
      <c r="AB74" t="str">
        <f>_xlfn.LET(
  _xlpm.result, _xlfn.XLOOKUP($B74, Result_Database!$A$2:$A$500, Result_Database!AA$2:AA$500),
  _xlfn.IFNA(_xlpm.result, "")
)</f>
        <v/>
      </c>
      <c r="AC74" t="str">
        <f>_xlfn.LET(
  _xlpm.result, _xlfn.XLOOKUP($B74, Result_Database!$A$2:$A$500, Result_Database!AB$2:AB$500),
  _xlfn.IFNA(_xlpm.result, "")
)</f>
        <v/>
      </c>
      <c r="AD74" t="str">
        <f>_xlfn.LET(
  _xlpm.result, _xlfn.XLOOKUP($B74, Result_Database!$A$2:$A$500, Result_Database!AC$2:AC$500),
  _xlfn.IFNA(_xlpm.result, "")
)</f>
        <v/>
      </c>
      <c r="AE74" t="str">
        <f>_xlfn.LET(
  _xlpm.result, _xlfn.XLOOKUP($B74, Result_Database!$A$2:$A$500, Result_Database!AD$2:AD$500),
  _xlfn.IFNA(_xlpm.result, "")
)</f>
        <v/>
      </c>
      <c r="AF74" t="str">
        <f>_xlfn.LET(
  _xlpm.result, _xlfn.XLOOKUP($B74, Result_Database!$A$2:$A$500, Result_Database!AE$2:AE$500),
  _xlfn.IFNA(_xlpm.result, "")
)</f>
        <v/>
      </c>
      <c r="AG74" t="str">
        <f>_xlfn.LET(
  _xlpm.result, _xlfn.XLOOKUP($B74, Result_Database!$A$2:$A$500, Result_Database!AF$2:AF$500),
  _xlfn.IFNA(_xlpm.result, "")
)</f>
        <v/>
      </c>
      <c r="AH74" t="str">
        <f>_xlfn.LET(
  _xlpm.result, _xlfn.XLOOKUP($B74, Result_Database!$A$2:$A$500, Result_Database!AG$2:AG$500),
  _xlfn.IFNA(_xlpm.result, "")
)</f>
        <v/>
      </c>
      <c r="AI74" t="str">
        <f>_xlfn.LET(
  _xlpm.result, _xlfn.XLOOKUP($B74, Result_Database!$A$2:$A$500, Result_Database!AH$2:AH$500),
  _xlfn.IFNA(_xlpm.result, "")
)</f>
        <v/>
      </c>
      <c r="AJ74" t="str">
        <f>_xlfn.LET(
  _xlpm.result, _xlfn.XLOOKUP($B74, Result_Database!$A$2:$A$500, Result_Database!AI$2:AI$500),
  _xlfn.IFNA(_xlpm.result, "")
)</f>
        <v/>
      </c>
      <c r="AK74" t="str">
        <f>_xlfn.LET(
  _xlpm.result, _xlfn.XLOOKUP($B74, Result_Database!$A$2:$A$500, Result_Database!AJ$2:AJ$500),
  _xlfn.IFNA(_xlpm.result, "")
)</f>
        <v/>
      </c>
      <c r="AL74" t="str">
        <f>_xlfn.LET(
  _xlpm.result, _xlfn.XLOOKUP($B74, Result_Database!$A$2:$A$500, Result_Database!AK$2:AK$500),
  _xlfn.IFNA(_xlpm.result, "")
)</f>
        <v/>
      </c>
      <c r="AM7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7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7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7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7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7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7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7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7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74" t="str">
        <f>IF(SUM(Table5[[#This Row],[A1]:[C6]])&lt;&gt;0,SUM(Table5[[#This Row],[A1]:[C6]]),"")</f>
        <v/>
      </c>
      <c r="AW74" t="str">
        <f>IF(SUM(Table5[[#This Row],[D7]:[F9]])=0,"",SUM(Table5[[#This Row],[D7]:[F9]]))</f>
        <v/>
      </c>
      <c r="AX7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7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7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7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7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7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74" t="str">
        <f>IF(COUNTIF(Table5[[#This Row],[English Language]:[Electrical/ Electronics]],"WITHHELD")=0,"",COUNTIF(Table5[[#This Row],[English Language]:[Electrical/ Electronics]],"WITHHELD"))</f>
        <v/>
      </c>
      <c r="BE74" t="str">
        <f>IF(SUM(Table5[[#This Row],[NO OF CREDITS]:[BELOW CREDITS]])=0,"",SUM(Table5[[#This Row],[NO OF CREDITS]:[BELOW CREDITS]]))</f>
        <v/>
      </c>
    </row>
    <row r="75" spans="1:57" x14ac:dyDescent="0.3">
      <c r="A75" t="str">
        <f>IF(B75&lt;&gt;"",COUNTA($B$6:B75),"")</f>
        <v/>
      </c>
      <c r="B75" t="str">
        <f>IF(Result_Database!A71="","",Result_Database!A71)</f>
        <v/>
      </c>
      <c r="C75" t="str">
        <f>_xlfn.LET(
_xlpm.result,_xlfn.XLOOKUP($B75,Result_Database!$A$2:$A$500,Result_Database!$B$2:$B$500),
_xlfn.IFNA(_xlpm.result,"")
)</f>
        <v/>
      </c>
      <c r="D75" t="str">
        <f>_xlfn.LET(
  _xlpm.result, _xlfn.XLOOKUP($B75, Result_Database!$A$2:$A$500, Result_Database!C$2:C$500),
  _xlfn.IFNA(_xlpm.result, "")
)</f>
        <v/>
      </c>
      <c r="E75" t="str">
        <f>_xlfn.LET(
  _xlpm.result, _xlfn.XLOOKUP($B75, Result_Database!$A$2:$A$500, Result_Database!D$2:D$500),
  _xlfn.IFNA(_xlpm.result, "")
)</f>
        <v/>
      </c>
      <c r="F75" t="str">
        <f>_xlfn.LET(
  _xlpm.result, _xlfn.XLOOKUP($B75, Result_Database!$A$2:$A$500, Result_Database!E$2:E$500),
  _xlfn.IFNA(_xlpm.result, "")
)</f>
        <v/>
      </c>
      <c r="G75" t="str">
        <f>_xlfn.LET(
  _xlpm.result, _xlfn.XLOOKUP($B75, Result_Database!$A$2:$A$500, Result_Database!F$2:F$500),
  _xlfn.IFNA(_xlpm.result, "")
)</f>
        <v/>
      </c>
      <c r="H75" t="str">
        <f>_xlfn.LET(
  _xlpm.result, _xlfn.XLOOKUP($B75, Result_Database!$A$2:$A$500, Result_Database!G$2:G$500),
  _xlfn.IFNA(_xlpm.result, "")
)</f>
        <v/>
      </c>
      <c r="I75" t="str">
        <f>_xlfn.LET(
  _xlpm.result, _xlfn.XLOOKUP($B75, Result_Database!$A$2:$A$500, Result_Database!H$2:H$500),
  _xlfn.IFNA(_xlpm.result, "")
)</f>
        <v/>
      </c>
      <c r="J75" t="str">
        <f>_xlfn.LET(
  _xlpm.result, _xlfn.XLOOKUP($B75, Result_Database!$A$2:$A$500, Result_Database!I$2:I$500),
  _xlfn.IFNA(_xlpm.result, "")
)</f>
        <v/>
      </c>
      <c r="K75" t="str">
        <f>_xlfn.LET(
  _xlpm.result, _xlfn.XLOOKUP($B75, Result_Database!$A$2:$A$500, Result_Database!J$2:J$500),
  _xlfn.IFNA(_xlpm.result, "")
)</f>
        <v/>
      </c>
      <c r="L75" t="str">
        <f>_xlfn.LET(
  _xlpm.result, _xlfn.XLOOKUP($B75, Result_Database!$A$2:$A$500, Result_Database!K$2:K$500),
  _xlfn.IFNA(_xlpm.result, "")
)</f>
        <v/>
      </c>
      <c r="M75" t="str">
        <f>_xlfn.LET(
  _xlpm.result, _xlfn.XLOOKUP($B75, Result_Database!$A$2:$A$500, Result_Database!L$2:L$500),
  _xlfn.IFNA(_xlpm.result, "")
)</f>
        <v/>
      </c>
      <c r="N75" t="str">
        <f>_xlfn.LET(
  _xlpm.result, _xlfn.XLOOKUP($B75, Result_Database!$A$2:$A$500, Result_Database!M$2:M$500),
  _xlfn.IFNA(_xlpm.result, "")
)</f>
        <v/>
      </c>
      <c r="O75" t="str">
        <f>_xlfn.LET(
  _xlpm.result, _xlfn.XLOOKUP($B75, Result_Database!$A$2:$A$500, Result_Database!N$2:N$500),
  _xlfn.IFNA(_xlpm.result, "")
)</f>
        <v/>
      </c>
      <c r="P75" t="str">
        <f>_xlfn.LET(
  _xlpm.result, _xlfn.XLOOKUP($B75, Result_Database!$A$2:$A$500, Result_Database!O$2:O$500),
  _xlfn.IFNA(_xlpm.result, "")
)</f>
        <v/>
      </c>
      <c r="Q75" t="str">
        <f>_xlfn.LET(
  _xlpm.result, _xlfn.XLOOKUP($B75, Result_Database!$A$2:$A$500, Result_Database!P$2:P$500),
  _xlfn.IFNA(_xlpm.result, "")
)</f>
        <v/>
      </c>
      <c r="R75" t="str">
        <f>_xlfn.LET(
  _xlpm.result, _xlfn.XLOOKUP($B75, Result_Database!$A$2:$A$500, Result_Database!Q$2:Q$500),
  _xlfn.IFNA(_xlpm.result, "")
)</f>
        <v/>
      </c>
      <c r="S75" t="str">
        <f>_xlfn.LET(
  _xlpm.result, _xlfn.XLOOKUP($B75, Result_Database!$A$2:$A$500, Result_Database!R$2:R$500),
  _xlfn.IFNA(_xlpm.result, "")
)</f>
        <v/>
      </c>
      <c r="T75" t="str">
        <f>_xlfn.LET(
  _xlpm.result, _xlfn.XLOOKUP($B75, Result_Database!$A$2:$A$500, Result_Database!S$2:S$500),
  _xlfn.IFNA(_xlpm.result, "")
)</f>
        <v/>
      </c>
      <c r="U75" t="str">
        <f>_xlfn.LET(
  _xlpm.result, _xlfn.XLOOKUP($B75, Result_Database!$A$2:$A$500, Result_Database!T$2:T$500),
  _xlfn.IFNA(_xlpm.result, "")
)</f>
        <v/>
      </c>
      <c r="V75" t="str">
        <f>_xlfn.LET(
  _xlpm.result, _xlfn.XLOOKUP($B75, Result_Database!$A$2:$A$500, Result_Database!U$2:U$500),
  _xlfn.IFNA(_xlpm.result, "")
)</f>
        <v/>
      </c>
      <c r="W75" t="str">
        <f>_xlfn.LET(
  _xlpm.result, _xlfn.XLOOKUP($B75, Result_Database!$A$2:$A$500, Result_Database!V$2:V$500),
  _xlfn.IFNA(_xlpm.result, "")
)</f>
        <v/>
      </c>
      <c r="X75" t="str">
        <f>_xlfn.LET(
  _xlpm.result, _xlfn.XLOOKUP($B75, Result_Database!$A$2:$A$500, Result_Database!W$2:W$500),
  _xlfn.IFNA(_xlpm.result, "")
)</f>
        <v/>
      </c>
      <c r="Y75" t="str">
        <f>_xlfn.LET(
  _xlpm.result, _xlfn.XLOOKUP($B75, Result_Database!$A$2:$A$500, Result_Database!X$2:X$500),
  _xlfn.IFNA(_xlpm.result, "")
)</f>
        <v/>
      </c>
      <c r="Z75" t="str">
        <f>_xlfn.LET(
  _xlpm.result, _xlfn.XLOOKUP($B75, Result_Database!$A$2:$A$500, Result_Database!Y$2:Y$500),
  _xlfn.IFNA(_xlpm.result, "")
)</f>
        <v/>
      </c>
      <c r="AA75" t="str">
        <f>_xlfn.LET(
  _xlpm.result, _xlfn.XLOOKUP($B75, Result_Database!$A$2:$A$500, Result_Database!Z$2:Z$500),
  _xlfn.IFNA(_xlpm.result, "")
)</f>
        <v/>
      </c>
      <c r="AB75" t="str">
        <f>_xlfn.LET(
  _xlpm.result, _xlfn.XLOOKUP($B75, Result_Database!$A$2:$A$500, Result_Database!AA$2:AA$500),
  _xlfn.IFNA(_xlpm.result, "")
)</f>
        <v/>
      </c>
      <c r="AC75" t="str">
        <f>_xlfn.LET(
  _xlpm.result, _xlfn.XLOOKUP($B75, Result_Database!$A$2:$A$500, Result_Database!AB$2:AB$500),
  _xlfn.IFNA(_xlpm.result, "")
)</f>
        <v/>
      </c>
      <c r="AD75" t="str">
        <f>_xlfn.LET(
  _xlpm.result, _xlfn.XLOOKUP($B75, Result_Database!$A$2:$A$500, Result_Database!AC$2:AC$500),
  _xlfn.IFNA(_xlpm.result, "")
)</f>
        <v/>
      </c>
      <c r="AE75" t="str">
        <f>_xlfn.LET(
  _xlpm.result, _xlfn.XLOOKUP($B75, Result_Database!$A$2:$A$500, Result_Database!AD$2:AD$500),
  _xlfn.IFNA(_xlpm.result, "")
)</f>
        <v/>
      </c>
      <c r="AF75" t="str">
        <f>_xlfn.LET(
  _xlpm.result, _xlfn.XLOOKUP($B75, Result_Database!$A$2:$A$500, Result_Database!AE$2:AE$500),
  _xlfn.IFNA(_xlpm.result, "")
)</f>
        <v/>
      </c>
      <c r="AG75" t="str">
        <f>_xlfn.LET(
  _xlpm.result, _xlfn.XLOOKUP($B75, Result_Database!$A$2:$A$500, Result_Database!AF$2:AF$500),
  _xlfn.IFNA(_xlpm.result, "")
)</f>
        <v/>
      </c>
      <c r="AH75" t="str">
        <f>_xlfn.LET(
  _xlpm.result, _xlfn.XLOOKUP($B75, Result_Database!$A$2:$A$500, Result_Database!AG$2:AG$500),
  _xlfn.IFNA(_xlpm.result, "")
)</f>
        <v/>
      </c>
      <c r="AI75" t="str">
        <f>_xlfn.LET(
  _xlpm.result, _xlfn.XLOOKUP($B75, Result_Database!$A$2:$A$500, Result_Database!AH$2:AH$500),
  _xlfn.IFNA(_xlpm.result, "")
)</f>
        <v/>
      </c>
      <c r="AJ75" t="str">
        <f>_xlfn.LET(
  _xlpm.result, _xlfn.XLOOKUP($B75, Result_Database!$A$2:$A$500, Result_Database!AI$2:AI$500),
  _xlfn.IFNA(_xlpm.result, "")
)</f>
        <v/>
      </c>
      <c r="AK75" t="str">
        <f>_xlfn.LET(
  _xlpm.result, _xlfn.XLOOKUP($B75, Result_Database!$A$2:$A$500, Result_Database!AJ$2:AJ$500),
  _xlfn.IFNA(_xlpm.result, "")
)</f>
        <v/>
      </c>
      <c r="AL75" t="str">
        <f>_xlfn.LET(
  _xlpm.result, _xlfn.XLOOKUP($B75, Result_Database!$A$2:$A$500, Result_Database!AK$2:AK$500),
  _xlfn.IFNA(_xlpm.result, "")
)</f>
        <v/>
      </c>
      <c r="AM7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7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7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7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7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7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7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7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7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75" t="str">
        <f>IF(SUM(Table5[[#This Row],[A1]:[C6]])&lt;&gt;0,SUM(Table5[[#This Row],[A1]:[C6]]),"")</f>
        <v/>
      </c>
      <c r="AW75" t="str">
        <f>IF(SUM(Table5[[#This Row],[D7]:[F9]])=0,"",SUM(Table5[[#This Row],[D7]:[F9]]))</f>
        <v/>
      </c>
      <c r="AX7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7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7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7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7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7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75" t="str">
        <f>IF(COUNTIF(Table5[[#This Row],[English Language]:[Electrical/ Electronics]],"WITHHELD")=0,"",COUNTIF(Table5[[#This Row],[English Language]:[Electrical/ Electronics]],"WITHHELD"))</f>
        <v/>
      </c>
      <c r="BE75" t="str">
        <f>IF(SUM(Table5[[#This Row],[NO OF CREDITS]:[BELOW CREDITS]])=0,"",SUM(Table5[[#This Row],[NO OF CREDITS]:[BELOW CREDITS]]))</f>
        <v/>
      </c>
    </row>
    <row r="76" spans="1:57" x14ac:dyDescent="0.3">
      <c r="A76" t="str">
        <f>IF(B76&lt;&gt;"",COUNTA($B$6:B76),"")</f>
        <v/>
      </c>
      <c r="B76" t="str">
        <f>IF(Result_Database!A72="","",Result_Database!A72)</f>
        <v/>
      </c>
      <c r="C76" t="str">
        <f>_xlfn.LET(
_xlpm.result,_xlfn.XLOOKUP($B76,Result_Database!$A$2:$A$500,Result_Database!$B$2:$B$500),
_xlfn.IFNA(_xlpm.result,"")
)</f>
        <v/>
      </c>
      <c r="D76" t="str">
        <f>_xlfn.LET(
  _xlpm.result, _xlfn.XLOOKUP($B76, Result_Database!$A$2:$A$500, Result_Database!C$2:C$500),
  _xlfn.IFNA(_xlpm.result, "")
)</f>
        <v/>
      </c>
      <c r="E76" t="str">
        <f>_xlfn.LET(
  _xlpm.result, _xlfn.XLOOKUP($B76, Result_Database!$A$2:$A$500, Result_Database!D$2:D$500),
  _xlfn.IFNA(_xlpm.result, "")
)</f>
        <v/>
      </c>
      <c r="F76" t="str">
        <f>_xlfn.LET(
  _xlpm.result, _xlfn.XLOOKUP($B76, Result_Database!$A$2:$A$500, Result_Database!E$2:E$500),
  _xlfn.IFNA(_xlpm.result, "")
)</f>
        <v/>
      </c>
      <c r="G76" t="str">
        <f>_xlfn.LET(
  _xlpm.result, _xlfn.XLOOKUP($B76, Result_Database!$A$2:$A$500, Result_Database!F$2:F$500),
  _xlfn.IFNA(_xlpm.result, "")
)</f>
        <v/>
      </c>
      <c r="H76" t="str">
        <f>_xlfn.LET(
  _xlpm.result, _xlfn.XLOOKUP($B76, Result_Database!$A$2:$A$500, Result_Database!G$2:G$500),
  _xlfn.IFNA(_xlpm.result, "")
)</f>
        <v/>
      </c>
      <c r="I76" t="str">
        <f>_xlfn.LET(
  _xlpm.result, _xlfn.XLOOKUP($B76, Result_Database!$A$2:$A$500, Result_Database!H$2:H$500),
  _xlfn.IFNA(_xlpm.result, "")
)</f>
        <v/>
      </c>
      <c r="J76" t="str">
        <f>_xlfn.LET(
  _xlpm.result, _xlfn.XLOOKUP($B76, Result_Database!$A$2:$A$500, Result_Database!I$2:I$500),
  _xlfn.IFNA(_xlpm.result, "")
)</f>
        <v/>
      </c>
      <c r="K76" t="str">
        <f>_xlfn.LET(
  _xlpm.result, _xlfn.XLOOKUP($B76, Result_Database!$A$2:$A$500, Result_Database!J$2:J$500),
  _xlfn.IFNA(_xlpm.result, "")
)</f>
        <v/>
      </c>
      <c r="L76" t="str">
        <f>_xlfn.LET(
  _xlpm.result, _xlfn.XLOOKUP($B76, Result_Database!$A$2:$A$500, Result_Database!K$2:K$500),
  _xlfn.IFNA(_xlpm.result, "")
)</f>
        <v/>
      </c>
      <c r="M76" t="str">
        <f>_xlfn.LET(
  _xlpm.result, _xlfn.XLOOKUP($B76, Result_Database!$A$2:$A$500, Result_Database!L$2:L$500),
  _xlfn.IFNA(_xlpm.result, "")
)</f>
        <v/>
      </c>
      <c r="N76" t="str">
        <f>_xlfn.LET(
  _xlpm.result, _xlfn.XLOOKUP($B76, Result_Database!$A$2:$A$500, Result_Database!M$2:M$500),
  _xlfn.IFNA(_xlpm.result, "")
)</f>
        <v/>
      </c>
      <c r="O76" t="str">
        <f>_xlfn.LET(
  _xlpm.result, _xlfn.XLOOKUP($B76, Result_Database!$A$2:$A$500, Result_Database!N$2:N$500),
  _xlfn.IFNA(_xlpm.result, "")
)</f>
        <v/>
      </c>
      <c r="P76" t="str">
        <f>_xlfn.LET(
  _xlpm.result, _xlfn.XLOOKUP($B76, Result_Database!$A$2:$A$500, Result_Database!O$2:O$500),
  _xlfn.IFNA(_xlpm.result, "")
)</f>
        <v/>
      </c>
      <c r="Q76" t="str">
        <f>_xlfn.LET(
  _xlpm.result, _xlfn.XLOOKUP($B76, Result_Database!$A$2:$A$500, Result_Database!P$2:P$500),
  _xlfn.IFNA(_xlpm.result, "")
)</f>
        <v/>
      </c>
      <c r="R76" t="str">
        <f>_xlfn.LET(
  _xlpm.result, _xlfn.XLOOKUP($B76, Result_Database!$A$2:$A$500, Result_Database!Q$2:Q$500),
  _xlfn.IFNA(_xlpm.result, "")
)</f>
        <v/>
      </c>
      <c r="S76" t="str">
        <f>_xlfn.LET(
  _xlpm.result, _xlfn.XLOOKUP($B76, Result_Database!$A$2:$A$500, Result_Database!R$2:R$500),
  _xlfn.IFNA(_xlpm.result, "")
)</f>
        <v/>
      </c>
      <c r="T76" t="str">
        <f>_xlfn.LET(
  _xlpm.result, _xlfn.XLOOKUP($B76, Result_Database!$A$2:$A$500, Result_Database!S$2:S$500),
  _xlfn.IFNA(_xlpm.result, "")
)</f>
        <v/>
      </c>
      <c r="U76" t="str">
        <f>_xlfn.LET(
  _xlpm.result, _xlfn.XLOOKUP($B76, Result_Database!$A$2:$A$500, Result_Database!T$2:T$500),
  _xlfn.IFNA(_xlpm.result, "")
)</f>
        <v/>
      </c>
      <c r="V76" t="str">
        <f>_xlfn.LET(
  _xlpm.result, _xlfn.XLOOKUP($B76, Result_Database!$A$2:$A$500, Result_Database!U$2:U$500),
  _xlfn.IFNA(_xlpm.result, "")
)</f>
        <v/>
      </c>
      <c r="W76" t="str">
        <f>_xlfn.LET(
  _xlpm.result, _xlfn.XLOOKUP($B76, Result_Database!$A$2:$A$500, Result_Database!V$2:V$500),
  _xlfn.IFNA(_xlpm.result, "")
)</f>
        <v/>
      </c>
      <c r="X76" t="str">
        <f>_xlfn.LET(
  _xlpm.result, _xlfn.XLOOKUP($B76, Result_Database!$A$2:$A$500, Result_Database!W$2:W$500),
  _xlfn.IFNA(_xlpm.result, "")
)</f>
        <v/>
      </c>
      <c r="Y76" t="str">
        <f>_xlfn.LET(
  _xlpm.result, _xlfn.XLOOKUP($B76, Result_Database!$A$2:$A$500, Result_Database!X$2:X$500),
  _xlfn.IFNA(_xlpm.result, "")
)</f>
        <v/>
      </c>
      <c r="Z76" t="str">
        <f>_xlfn.LET(
  _xlpm.result, _xlfn.XLOOKUP($B76, Result_Database!$A$2:$A$500, Result_Database!Y$2:Y$500),
  _xlfn.IFNA(_xlpm.result, "")
)</f>
        <v/>
      </c>
      <c r="AA76" t="str">
        <f>_xlfn.LET(
  _xlpm.result, _xlfn.XLOOKUP($B76, Result_Database!$A$2:$A$500, Result_Database!Z$2:Z$500),
  _xlfn.IFNA(_xlpm.result, "")
)</f>
        <v/>
      </c>
      <c r="AB76" t="str">
        <f>_xlfn.LET(
  _xlpm.result, _xlfn.XLOOKUP($B76, Result_Database!$A$2:$A$500, Result_Database!AA$2:AA$500),
  _xlfn.IFNA(_xlpm.result, "")
)</f>
        <v/>
      </c>
      <c r="AC76" t="str">
        <f>_xlfn.LET(
  _xlpm.result, _xlfn.XLOOKUP($B76, Result_Database!$A$2:$A$500, Result_Database!AB$2:AB$500),
  _xlfn.IFNA(_xlpm.result, "")
)</f>
        <v/>
      </c>
      <c r="AD76" t="str">
        <f>_xlfn.LET(
  _xlpm.result, _xlfn.XLOOKUP($B76, Result_Database!$A$2:$A$500, Result_Database!AC$2:AC$500),
  _xlfn.IFNA(_xlpm.result, "")
)</f>
        <v/>
      </c>
      <c r="AE76" t="str">
        <f>_xlfn.LET(
  _xlpm.result, _xlfn.XLOOKUP($B76, Result_Database!$A$2:$A$500, Result_Database!AD$2:AD$500),
  _xlfn.IFNA(_xlpm.result, "")
)</f>
        <v/>
      </c>
      <c r="AF76" t="str">
        <f>_xlfn.LET(
  _xlpm.result, _xlfn.XLOOKUP($B76, Result_Database!$A$2:$A$500, Result_Database!AE$2:AE$500),
  _xlfn.IFNA(_xlpm.result, "")
)</f>
        <v/>
      </c>
      <c r="AG76" t="str">
        <f>_xlfn.LET(
  _xlpm.result, _xlfn.XLOOKUP($B76, Result_Database!$A$2:$A$500, Result_Database!AF$2:AF$500),
  _xlfn.IFNA(_xlpm.result, "")
)</f>
        <v/>
      </c>
      <c r="AH76" t="str">
        <f>_xlfn.LET(
  _xlpm.result, _xlfn.XLOOKUP($B76, Result_Database!$A$2:$A$500, Result_Database!AG$2:AG$500),
  _xlfn.IFNA(_xlpm.result, "")
)</f>
        <v/>
      </c>
      <c r="AI76" t="str">
        <f>_xlfn.LET(
  _xlpm.result, _xlfn.XLOOKUP($B76, Result_Database!$A$2:$A$500, Result_Database!AH$2:AH$500),
  _xlfn.IFNA(_xlpm.result, "")
)</f>
        <v/>
      </c>
      <c r="AJ76" t="str">
        <f>_xlfn.LET(
  _xlpm.result, _xlfn.XLOOKUP($B76, Result_Database!$A$2:$A$500, Result_Database!AI$2:AI$500),
  _xlfn.IFNA(_xlpm.result, "")
)</f>
        <v/>
      </c>
      <c r="AK76" t="str">
        <f>_xlfn.LET(
  _xlpm.result, _xlfn.XLOOKUP($B76, Result_Database!$A$2:$A$500, Result_Database!AJ$2:AJ$500),
  _xlfn.IFNA(_xlpm.result, "")
)</f>
        <v/>
      </c>
      <c r="AL76" t="str">
        <f>_xlfn.LET(
  _xlpm.result, _xlfn.XLOOKUP($B76, Result_Database!$A$2:$A$500, Result_Database!AK$2:AK$500),
  _xlfn.IFNA(_xlpm.result, "")
)</f>
        <v/>
      </c>
      <c r="AM7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7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7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7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7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7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7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7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7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76" t="str">
        <f>IF(SUM(Table5[[#This Row],[A1]:[C6]])&lt;&gt;0,SUM(Table5[[#This Row],[A1]:[C6]]),"")</f>
        <v/>
      </c>
      <c r="AW76" t="str">
        <f>IF(SUM(Table5[[#This Row],[D7]:[F9]])=0,"",SUM(Table5[[#This Row],[D7]:[F9]]))</f>
        <v/>
      </c>
      <c r="AX7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7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7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7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7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7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76" t="str">
        <f>IF(COUNTIF(Table5[[#This Row],[English Language]:[Electrical/ Electronics]],"WITHHELD")=0,"",COUNTIF(Table5[[#This Row],[English Language]:[Electrical/ Electronics]],"WITHHELD"))</f>
        <v/>
      </c>
      <c r="BE76" t="str">
        <f>IF(SUM(Table5[[#This Row],[NO OF CREDITS]:[BELOW CREDITS]])=0,"",SUM(Table5[[#This Row],[NO OF CREDITS]:[BELOW CREDITS]]))</f>
        <v/>
      </c>
    </row>
    <row r="77" spans="1:57" x14ac:dyDescent="0.3">
      <c r="A77" t="str">
        <f>IF(B77&lt;&gt;"",COUNTA($B$6:B77),"")</f>
        <v/>
      </c>
      <c r="B77" t="str">
        <f>IF(Result_Database!A73="","",Result_Database!A73)</f>
        <v/>
      </c>
      <c r="C77" t="str">
        <f>_xlfn.LET(
_xlpm.result,_xlfn.XLOOKUP($B77,Result_Database!$A$2:$A$500,Result_Database!$B$2:$B$500),
_xlfn.IFNA(_xlpm.result,"")
)</f>
        <v/>
      </c>
      <c r="D77" t="str">
        <f>_xlfn.LET(
  _xlpm.result, _xlfn.XLOOKUP($B77, Result_Database!$A$2:$A$500, Result_Database!C$2:C$500),
  _xlfn.IFNA(_xlpm.result, "")
)</f>
        <v/>
      </c>
      <c r="E77" t="str">
        <f>_xlfn.LET(
  _xlpm.result, _xlfn.XLOOKUP($B77, Result_Database!$A$2:$A$500, Result_Database!D$2:D$500),
  _xlfn.IFNA(_xlpm.result, "")
)</f>
        <v/>
      </c>
      <c r="F77" t="str">
        <f>_xlfn.LET(
  _xlpm.result, _xlfn.XLOOKUP($B77, Result_Database!$A$2:$A$500, Result_Database!E$2:E$500),
  _xlfn.IFNA(_xlpm.result, "")
)</f>
        <v/>
      </c>
      <c r="G77" t="str">
        <f>_xlfn.LET(
  _xlpm.result, _xlfn.XLOOKUP($B77, Result_Database!$A$2:$A$500, Result_Database!F$2:F$500),
  _xlfn.IFNA(_xlpm.result, "")
)</f>
        <v/>
      </c>
      <c r="H77" t="str">
        <f>_xlfn.LET(
  _xlpm.result, _xlfn.XLOOKUP($B77, Result_Database!$A$2:$A$500, Result_Database!G$2:G$500),
  _xlfn.IFNA(_xlpm.result, "")
)</f>
        <v/>
      </c>
      <c r="I77" t="str">
        <f>_xlfn.LET(
  _xlpm.result, _xlfn.XLOOKUP($B77, Result_Database!$A$2:$A$500, Result_Database!H$2:H$500),
  _xlfn.IFNA(_xlpm.result, "")
)</f>
        <v/>
      </c>
      <c r="J77" t="str">
        <f>_xlfn.LET(
  _xlpm.result, _xlfn.XLOOKUP($B77, Result_Database!$A$2:$A$500, Result_Database!I$2:I$500),
  _xlfn.IFNA(_xlpm.result, "")
)</f>
        <v/>
      </c>
      <c r="K77" t="str">
        <f>_xlfn.LET(
  _xlpm.result, _xlfn.XLOOKUP($B77, Result_Database!$A$2:$A$500, Result_Database!J$2:J$500),
  _xlfn.IFNA(_xlpm.result, "")
)</f>
        <v/>
      </c>
      <c r="L77" t="str">
        <f>_xlfn.LET(
  _xlpm.result, _xlfn.XLOOKUP($B77, Result_Database!$A$2:$A$500, Result_Database!K$2:K$500),
  _xlfn.IFNA(_xlpm.result, "")
)</f>
        <v/>
      </c>
      <c r="M77" t="str">
        <f>_xlfn.LET(
  _xlpm.result, _xlfn.XLOOKUP($B77, Result_Database!$A$2:$A$500, Result_Database!L$2:L$500),
  _xlfn.IFNA(_xlpm.result, "")
)</f>
        <v/>
      </c>
      <c r="N77" t="str">
        <f>_xlfn.LET(
  _xlpm.result, _xlfn.XLOOKUP($B77, Result_Database!$A$2:$A$500, Result_Database!M$2:M$500),
  _xlfn.IFNA(_xlpm.result, "")
)</f>
        <v/>
      </c>
      <c r="O77" t="str">
        <f>_xlfn.LET(
  _xlpm.result, _xlfn.XLOOKUP($B77, Result_Database!$A$2:$A$500, Result_Database!N$2:N$500),
  _xlfn.IFNA(_xlpm.result, "")
)</f>
        <v/>
      </c>
      <c r="P77" t="str">
        <f>_xlfn.LET(
  _xlpm.result, _xlfn.XLOOKUP($B77, Result_Database!$A$2:$A$500, Result_Database!O$2:O$500),
  _xlfn.IFNA(_xlpm.result, "")
)</f>
        <v/>
      </c>
      <c r="Q77" t="str">
        <f>_xlfn.LET(
  _xlpm.result, _xlfn.XLOOKUP($B77, Result_Database!$A$2:$A$500, Result_Database!P$2:P$500),
  _xlfn.IFNA(_xlpm.result, "")
)</f>
        <v/>
      </c>
      <c r="R77" t="str">
        <f>_xlfn.LET(
  _xlpm.result, _xlfn.XLOOKUP($B77, Result_Database!$A$2:$A$500, Result_Database!Q$2:Q$500),
  _xlfn.IFNA(_xlpm.result, "")
)</f>
        <v/>
      </c>
      <c r="S77" t="str">
        <f>_xlfn.LET(
  _xlpm.result, _xlfn.XLOOKUP($B77, Result_Database!$A$2:$A$500, Result_Database!R$2:R$500),
  _xlfn.IFNA(_xlpm.result, "")
)</f>
        <v/>
      </c>
      <c r="T77" t="str">
        <f>_xlfn.LET(
  _xlpm.result, _xlfn.XLOOKUP($B77, Result_Database!$A$2:$A$500, Result_Database!S$2:S$500),
  _xlfn.IFNA(_xlpm.result, "")
)</f>
        <v/>
      </c>
      <c r="U77" t="str">
        <f>_xlfn.LET(
  _xlpm.result, _xlfn.XLOOKUP($B77, Result_Database!$A$2:$A$500, Result_Database!T$2:T$500),
  _xlfn.IFNA(_xlpm.result, "")
)</f>
        <v/>
      </c>
      <c r="V77" t="str">
        <f>_xlfn.LET(
  _xlpm.result, _xlfn.XLOOKUP($B77, Result_Database!$A$2:$A$500, Result_Database!U$2:U$500),
  _xlfn.IFNA(_xlpm.result, "")
)</f>
        <v/>
      </c>
      <c r="W77" t="str">
        <f>_xlfn.LET(
  _xlpm.result, _xlfn.XLOOKUP($B77, Result_Database!$A$2:$A$500, Result_Database!V$2:V$500),
  _xlfn.IFNA(_xlpm.result, "")
)</f>
        <v/>
      </c>
      <c r="X77" t="str">
        <f>_xlfn.LET(
  _xlpm.result, _xlfn.XLOOKUP($B77, Result_Database!$A$2:$A$500, Result_Database!W$2:W$500),
  _xlfn.IFNA(_xlpm.result, "")
)</f>
        <v/>
      </c>
      <c r="Y77" t="str">
        <f>_xlfn.LET(
  _xlpm.result, _xlfn.XLOOKUP($B77, Result_Database!$A$2:$A$500, Result_Database!X$2:X$500),
  _xlfn.IFNA(_xlpm.result, "")
)</f>
        <v/>
      </c>
      <c r="Z77" t="str">
        <f>_xlfn.LET(
  _xlpm.result, _xlfn.XLOOKUP($B77, Result_Database!$A$2:$A$500, Result_Database!Y$2:Y$500),
  _xlfn.IFNA(_xlpm.result, "")
)</f>
        <v/>
      </c>
      <c r="AA77" t="str">
        <f>_xlfn.LET(
  _xlpm.result, _xlfn.XLOOKUP($B77, Result_Database!$A$2:$A$500, Result_Database!Z$2:Z$500),
  _xlfn.IFNA(_xlpm.result, "")
)</f>
        <v/>
      </c>
      <c r="AB77" t="str">
        <f>_xlfn.LET(
  _xlpm.result, _xlfn.XLOOKUP($B77, Result_Database!$A$2:$A$500, Result_Database!AA$2:AA$500),
  _xlfn.IFNA(_xlpm.result, "")
)</f>
        <v/>
      </c>
      <c r="AC77" t="str">
        <f>_xlfn.LET(
  _xlpm.result, _xlfn.XLOOKUP($B77, Result_Database!$A$2:$A$500, Result_Database!AB$2:AB$500),
  _xlfn.IFNA(_xlpm.result, "")
)</f>
        <v/>
      </c>
      <c r="AD77" t="str">
        <f>_xlfn.LET(
  _xlpm.result, _xlfn.XLOOKUP($B77, Result_Database!$A$2:$A$500, Result_Database!AC$2:AC$500),
  _xlfn.IFNA(_xlpm.result, "")
)</f>
        <v/>
      </c>
      <c r="AE77" t="str">
        <f>_xlfn.LET(
  _xlpm.result, _xlfn.XLOOKUP($B77, Result_Database!$A$2:$A$500, Result_Database!AD$2:AD$500),
  _xlfn.IFNA(_xlpm.result, "")
)</f>
        <v/>
      </c>
      <c r="AF77" t="str">
        <f>_xlfn.LET(
  _xlpm.result, _xlfn.XLOOKUP($B77, Result_Database!$A$2:$A$500, Result_Database!AE$2:AE$500),
  _xlfn.IFNA(_xlpm.result, "")
)</f>
        <v/>
      </c>
      <c r="AG77" t="str">
        <f>_xlfn.LET(
  _xlpm.result, _xlfn.XLOOKUP($B77, Result_Database!$A$2:$A$500, Result_Database!AF$2:AF$500),
  _xlfn.IFNA(_xlpm.result, "")
)</f>
        <v/>
      </c>
      <c r="AH77" t="str">
        <f>_xlfn.LET(
  _xlpm.result, _xlfn.XLOOKUP($B77, Result_Database!$A$2:$A$500, Result_Database!AG$2:AG$500),
  _xlfn.IFNA(_xlpm.result, "")
)</f>
        <v/>
      </c>
      <c r="AI77" t="str">
        <f>_xlfn.LET(
  _xlpm.result, _xlfn.XLOOKUP($B77, Result_Database!$A$2:$A$500, Result_Database!AH$2:AH$500),
  _xlfn.IFNA(_xlpm.result, "")
)</f>
        <v/>
      </c>
      <c r="AJ77" t="str">
        <f>_xlfn.LET(
  _xlpm.result, _xlfn.XLOOKUP($B77, Result_Database!$A$2:$A$500, Result_Database!AI$2:AI$500),
  _xlfn.IFNA(_xlpm.result, "")
)</f>
        <v/>
      </c>
      <c r="AK77" t="str">
        <f>_xlfn.LET(
  _xlpm.result, _xlfn.XLOOKUP($B77, Result_Database!$A$2:$A$500, Result_Database!AJ$2:AJ$500),
  _xlfn.IFNA(_xlpm.result, "")
)</f>
        <v/>
      </c>
      <c r="AL77" t="str">
        <f>_xlfn.LET(
  _xlpm.result, _xlfn.XLOOKUP($B77, Result_Database!$A$2:$A$500, Result_Database!AK$2:AK$500),
  _xlfn.IFNA(_xlpm.result, "")
)</f>
        <v/>
      </c>
      <c r="AM7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7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7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7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7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7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7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7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7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77" t="str">
        <f>IF(SUM(Table5[[#This Row],[A1]:[C6]])&lt;&gt;0,SUM(Table5[[#This Row],[A1]:[C6]]),"")</f>
        <v/>
      </c>
      <c r="AW77" t="str">
        <f>IF(SUM(Table5[[#This Row],[D7]:[F9]])=0,"",SUM(Table5[[#This Row],[D7]:[F9]]))</f>
        <v/>
      </c>
      <c r="AX7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7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7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7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7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7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77" t="str">
        <f>IF(COUNTIF(Table5[[#This Row],[English Language]:[Electrical/ Electronics]],"WITHHELD")=0,"",COUNTIF(Table5[[#This Row],[English Language]:[Electrical/ Electronics]],"WITHHELD"))</f>
        <v/>
      </c>
      <c r="BE77" t="str">
        <f>IF(SUM(Table5[[#This Row],[NO OF CREDITS]:[BELOW CREDITS]])=0,"",SUM(Table5[[#This Row],[NO OF CREDITS]:[BELOW CREDITS]]))</f>
        <v/>
      </c>
    </row>
    <row r="78" spans="1:57" x14ac:dyDescent="0.3">
      <c r="A78" t="str">
        <f>IF(B78&lt;&gt;"",COUNTA($B$6:B78),"")</f>
        <v/>
      </c>
      <c r="B78" t="str">
        <f>IF(Result_Database!A74="","",Result_Database!A74)</f>
        <v/>
      </c>
      <c r="C78" t="str">
        <f>_xlfn.LET(
_xlpm.result,_xlfn.XLOOKUP($B78,Result_Database!$A$2:$A$500,Result_Database!$B$2:$B$500),
_xlfn.IFNA(_xlpm.result,"")
)</f>
        <v/>
      </c>
      <c r="D78" t="str">
        <f>_xlfn.LET(
  _xlpm.result, _xlfn.XLOOKUP($B78, Result_Database!$A$2:$A$500, Result_Database!C$2:C$500),
  _xlfn.IFNA(_xlpm.result, "")
)</f>
        <v/>
      </c>
      <c r="E78" t="str">
        <f>_xlfn.LET(
  _xlpm.result, _xlfn.XLOOKUP($B78, Result_Database!$A$2:$A$500, Result_Database!D$2:D$500),
  _xlfn.IFNA(_xlpm.result, "")
)</f>
        <v/>
      </c>
      <c r="F78" t="str">
        <f>_xlfn.LET(
  _xlpm.result, _xlfn.XLOOKUP($B78, Result_Database!$A$2:$A$500, Result_Database!E$2:E$500),
  _xlfn.IFNA(_xlpm.result, "")
)</f>
        <v/>
      </c>
      <c r="G78" t="str">
        <f>_xlfn.LET(
  _xlpm.result, _xlfn.XLOOKUP($B78, Result_Database!$A$2:$A$500, Result_Database!F$2:F$500),
  _xlfn.IFNA(_xlpm.result, "")
)</f>
        <v/>
      </c>
      <c r="H78" t="str">
        <f>_xlfn.LET(
  _xlpm.result, _xlfn.XLOOKUP($B78, Result_Database!$A$2:$A$500, Result_Database!G$2:G$500),
  _xlfn.IFNA(_xlpm.result, "")
)</f>
        <v/>
      </c>
      <c r="I78" t="str">
        <f>_xlfn.LET(
  _xlpm.result, _xlfn.XLOOKUP($B78, Result_Database!$A$2:$A$500, Result_Database!H$2:H$500),
  _xlfn.IFNA(_xlpm.result, "")
)</f>
        <v/>
      </c>
      <c r="J78" t="str">
        <f>_xlfn.LET(
  _xlpm.result, _xlfn.XLOOKUP($B78, Result_Database!$A$2:$A$500, Result_Database!I$2:I$500),
  _xlfn.IFNA(_xlpm.result, "")
)</f>
        <v/>
      </c>
      <c r="K78" t="str">
        <f>_xlfn.LET(
  _xlpm.result, _xlfn.XLOOKUP($B78, Result_Database!$A$2:$A$500, Result_Database!J$2:J$500),
  _xlfn.IFNA(_xlpm.result, "")
)</f>
        <v/>
      </c>
      <c r="L78" t="str">
        <f>_xlfn.LET(
  _xlpm.result, _xlfn.XLOOKUP($B78, Result_Database!$A$2:$A$500, Result_Database!K$2:K$500),
  _xlfn.IFNA(_xlpm.result, "")
)</f>
        <v/>
      </c>
      <c r="M78" t="str">
        <f>_xlfn.LET(
  _xlpm.result, _xlfn.XLOOKUP($B78, Result_Database!$A$2:$A$500, Result_Database!L$2:L$500),
  _xlfn.IFNA(_xlpm.result, "")
)</f>
        <v/>
      </c>
      <c r="N78" t="str">
        <f>_xlfn.LET(
  _xlpm.result, _xlfn.XLOOKUP($B78, Result_Database!$A$2:$A$500, Result_Database!M$2:M$500),
  _xlfn.IFNA(_xlpm.result, "")
)</f>
        <v/>
      </c>
      <c r="O78" t="str">
        <f>_xlfn.LET(
  _xlpm.result, _xlfn.XLOOKUP($B78, Result_Database!$A$2:$A$500, Result_Database!N$2:N$500),
  _xlfn.IFNA(_xlpm.result, "")
)</f>
        <v/>
      </c>
      <c r="P78" t="str">
        <f>_xlfn.LET(
  _xlpm.result, _xlfn.XLOOKUP($B78, Result_Database!$A$2:$A$500, Result_Database!O$2:O$500),
  _xlfn.IFNA(_xlpm.result, "")
)</f>
        <v/>
      </c>
      <c r="Q78" t="str">
        <f>_xlfn.LET(
  _xlpm.result, _xlfn.XLOOKUP($B78, Result_Database!$A$2:$A$500, Result_Database!P$2:P$500),
  _xlfn.IFNA(_xlpm.result, "")
)</f>
        <v/>
      </c>
      <c r="R78" t="str">
        <f>_xlfn.LET(
  _xlpm.result, _xlfn.XLOOKUP($B78, Result_Database!$A$2:$A$500, Result_Database!Q$2:Q$500),
  _xlfn.IFNA(_xlpm.result, "")
)</f>
        <v/>
      </c>
      <c r="S78" t="str">
        <f>_xlfn.LET(
  _xlpm.result, _xlfn.XLOOKUP($B78, Result_Database!$A$2:$A$500, Result_Database!R$2:R$500),
  _xlfn.IFNA(_xlpm.result, "")
)</f>
        <v/>
      </c>
      <c r="T78" t="str">
        <f>_xlfn.LET(
  _xlpm.result, _xlfn.XLOOKUP($B78, Result_Database!$A$2:$A$500, Result_Database!S$2:S$500),
  _xlfn.IFNA(_xlpm.result, "")
)</f>
        <v/>
      </c>
      <c r="U78" t="str">
        <f>_xlfn.LET(
  _xlpm.result, _xlfn.XLOOKUP($B78, Result_Database!$A$2:$A$500, Result_Database!T$2:T$500),
  _xlfn.IFNA(_xlpm.result, "")
)</f>
        <v/>
      </c>
      <c r="V78" t="str">
        <f>_xlfn.LET(
  _xlpm.result, _xlfn.XLOOKUP($B78, Result_Database!$A$2:$A$500, Result_Database!U$2:U$500),
  _xlfn.IFNA(_xlpm.result, "")
)</f>
        <v/>
      </c>
      <c r="W78" t="str">
        <f>_xlfn.LET(
  _xlpm.result, _xlfn.XLOOKUP($B78, Result_Database!$A$2:$A$500, Result_Database!V$2:V$500),
  _xlfn.IFNA(_xlpm.result, "")
)</f>
        <v/>
      </c>
      <c r="X78" t="str">
        <f>_xlfn.LET(
  _xlpm.result, _xlfn.XLOOKUP($B78, Result_Database!$A$2:$A$500, Result_Database!W$2:W$500),
  _xlfn.IFNA(_xlpm.result, "")
)</f>
        <v/>
      </c>
      <c r="Y78" t="str">
        <f>_xlfn.LET(
  _xlpm.result, _xlfn.XLOOKUP($B78, Result_Database!$A$2:$A$500, Result_Database!X$2:X$500),
  _xlfn.IFNA(_xlpm.result, "")
)</f>
        <v/>
      </c>
      <c r="Z78" t="str">
        <f>_xlfn.LET(
  _xlpm.result, _xlfn.XLOOKUP($B78, Result_Database!$A$2:$A$500, Result_Database!Y$2:Y$500),
  _xlfn.IFNA(_xlpm.result, "")
)</f>
        <v/>
      </c>
      <c r="AA78" t="str">
        <f>_xlfn.LET(
  _xlpm.result, _xlfn.XLOOKUP($B78, Result_Database!$A$2:$A$500, Result_Database!Z$2:Z$500),
  _xlfn.IFNA(_xlpm.result, "")
)</f>
        <v/>
      </c>
      <c r="AB78" t="str">
        <f>_xlfn.LET(
  _xlpm.result, _xlfn.XLOOKUP($B78, Result_Database!$A$2:$A$500, Result_Database!AA$2:AA$500),
  _xlfn.IFNA(_xlpm.result, "")
)</f>
        <v/>
      </c>
      <c r="AC78" t="str">
        <f>_xlfn.LET(
  _xlpm.result, _xlfn.XLOOKUP($B78, Result_Database!$A$2:$A$500, Result_Database!AB$2:AB$500),
  _xlfn.IFNA(_xlpm.result, "")
)</f>
        <v/>
      </c>
      <c r="AD78" t="str">
        <f>_xlfn.LET(
  _xlpm.result, _xlfn.XLOOKUP($B78, Result_Database!$A$2:$A$500, Result_Database!AC$2:AC$500),
  _xlfn.IFNA(_xlpm.result, "")
)</f>
        <v/>
      </c>
      <c r="AE78" t="str">
        <f>_xlfn.LET(
  _xlpm.result, _xlfn.XLOOKUP($B78, Result_Database!$A$2:$A$500, Result_Database!AD$2:AD$500),
  _xlfn.IFNA(_xlpm.result, "")
)</f>
        <v/>
      </c>
      <c r="AF78" t="str">
        <f>_xlfn.LET(
  _xlpm.result, _xlfn.XLOOKUP($B78, Result_Database!$A$2:$A$500, Result_Database!AE$2:AE$500),
  _xlfn.IFNA(_xlpm.result, "")
)</f>
        <v/>
      </c>
      <c r="AG78" t="str">
        <f>_xlfn.LET(
  _xlpm.result, _xlfn.XLOOKUP($B78, Result_Database!$A$2:$A$500, Result_Database!AF$2:AF$500),
  _xlfn.IFNA(_xlpm.result, "")
)</f>
        <v/>
      </c>
      <c r="AH78" t="str">
        <f>_xlfn.LET(
  _xlpm.result, _xlfn.XLOOKUP($B78, Result_Database!$A$2:$A$500, Result_Database!AG$2:AG$500),
  _xlfn.IFNA(_xlpm.result, "")
)</f>
        <v/>
      </c>
      <c r="AI78" t="str">
        <f>_xlfn.LET(
  _xlpm.result, _xlfn.XLOOKUP($B78, Result_Database!$A$2:$A$500, Result_Database!AH$2:AH$500),
  _xlfn.IFNA(_xlpm.result, "")
)</f>
        <v/>
      </c>
      <c r="AJ78" t="str">
        <f>_xlfn.LET(
  _xlpm.result, _xlfn.XLOOKUP($B78, Result_Database!$A$2:$A$500, Result_Database!AI$2:AI$500),
  _xlfn.IFNA(_xlpm.result, "")
)</f>
        <v/>
      </c>
      <c r="AK78" t="str">
        <f>_xlfn.LET(
  _xlpm.result, _xlfn.XLOOKUP($B78, Result_Database!$A$2:$A$500, Result_Database!AJ$2:AJ$500),
  _xlfn.IFNA(_xlpm.result, "")
)</f>
        <v/>
      </c>
      <c r="AL78" t="str">
        <f>_xlfn.LET(
  _xlpm.result, _xlfn.XLOOKUP($B78, Result_Database!$A$2:$A$500, Result_Database!AK$2:AK$500),
  _xlfn.IFNA(_xlpm.result, "")
)</f>
        <v/>
      </c>
      <c r="AM7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7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7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7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7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7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7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7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7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78" t="str">
        <f>IF(SUM(Table5[[#This Row],[A1]:[C6]])&lt;&gt;0,SUM(Table5[[#This Row],[A1]:[C6]]),"")</f>
        <v/>
      </c>
      <c r="AW78" t="str">
        <f>IF(SUM(Table5[[#This Row],[D7]:[F9]])=0,"",SUM(Table5[[#This Row],[D7]:[F9]]))</f>
        <v/>
      </c>
      <c r="AX7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7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7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7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7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7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78" t="str">
        <f>IF(COUNTIF(Table5[[#This Row],[English Language]:[Electrical/ Electronics]],"WITHHELD")=0,"",COUNTIF(Table5[[#This Row],[English Language]:[Electrical/ Electronics]],"WITHHELD"))</f>
        <v/>
      </c>
      <c r="BE78" t="str">
        <f>IF(SUM(Table5[[#This Row],[NO OF CREDITS]:[BELOW CREDITS]])=0,"",SUM(Table5[[#This Row],[NO OF CREDITS]:[BELOW CREDITS]]))</f>
        <v/>
      </c>
    </row>
    <row r="79" spans="1:57" x14ac:dyDescent="0.3">
      <c r="A79" t="str">
        <f>IF(B79&lt;&gt;"",COUNTA($B$6:B79),"")</f>
        <v/>
      </c>
      <c r="B79" t="str">
        <f>IF(Result_Database!A75="","",Result_Database!A75)</f>
        <v/>
      </c>
      <c r="C79" t="str">
        <f>_xlfn.LET(
_xlpm.result,_xlfn.XLOOKUP($B79,Result_Database!$A$2:$A$500,Result_Database!$B$2:$B$500),
_xlfn.IFNA(_xlpm.result,"")
)</f>
        <v/>
      </c>
      <c r="D79" t="str">
        <f>_xlfn.LET(
  _xlpm.result, _xlfn.XLOOKUP($B79, Result_Database!$A$2:$A$500, Result_Database!C$2:C$500),
  _xlfn.IFNA(_xlpm.result, "")
)</f>
        <v/>
      </c>
      <c r="E79" t="str">
        <f>_xlfn.LET(
  _xlpm.result, _xlfn.XLOOKUP($B79, Result_Database!$A$2:$A$500, Result_Database!D$2:D$500),
  _xlfn.IFNA(_xlpm.result, "")
)</f>
        <v/>
      </c>
      <c r="F79" t="str">
        <f>_xlfn.LET(
  _xlpm.result, _xlfn.XLOOKUP($B79, Result_Database!$A$2:$A$500, Result_Database!E$2:E$500),
  _xlfn.IFNA(_xlpm.result, "")
)</f>
        <v/>
      </c>
      <c r="G79" t="str">
        <f>_xlfn.LET(
  _xlpm.result, _xlfn.XLOOKUP($B79, Result_Database!$A$2:$A$500, Result_Database!F$2:F$500),
  _xlfn.IFNA(_xlpm.result, "")
)</f>
        <v/>
      </c>
      <c r="H79" t="str">
        <f>_xlfn.LET(
  _xlpm.result, _xlfn.XLOOKUP($B79, Result_Database!$A$2:$A$500, Result_Database!G$2:G$500),
  _xlfn.IFNA(_xlpm.result, "")
)</f>
        <v/>
      </c>
      <c r="I79" t="str">
        <f>_xlfn.LET(
  _xlpm.result, _xlfn.XLOOKUP($B79, Result_Database!$A$2:$A$500, Result_Database!H$2:H$500),
  _xlfn.IFNA(_xlpm.result, "")
)</f>
        <v/>
      </c>
      <c r="J79" t="str">
        <f>_xlfn.LET(
  _xlpm.result, _xlfn.XLOOKUP($B79, Result_Database!$A$2:$A$500, Result_Database!I$2:I$500),
  _xlfn.IFNA(_xlpm.result, "")
)</f>
        <v/>
      </c>
      <c r="K79" t="str">
        <f>_xlfn.LET(
  _xlpm.result, _xlfn.XLOOKUP($B79, Result_Database!$A$2:$A$500, Result_Database!J$2:J$500),
  _xlfn.IFNA(_xlpm.result, "")
)</f>
        <v/>
      </c>
      <c r="L79" t="str">
        <f>_xlfn.LET(
  _xlpm.result, _xlfn.XLOOKUP($B79, Result_Database!$A$2:$A$500, Result_Database!K$2:K$500),
  _xlfn.IFNA(_xlpm.result, "")
)</f>
        <v/>
      </c>
      <c r="M79" t="str">
        <f>_xlfn.LET(
  _xlpm.result, _xlfn.XLOOKUP($B79, Result_Database!$A$2:$A$500, Result_Database!L$2:L$500),
  _xlfn.IFNA(_xlpm.result, "")
)</f>
        <v/>
      </c>
      <c r="N79" t="str">
        <f>_xlfn.LET(
  _xlpm.result, _xlfn.XLOOKUP($B79, Result_Database!$A$2:$A$500, Result_Database!M$2:M$500),
  _xlfn.IFNA(_xlpm.result, "")
)</f>
        <v/>
      </c>
      <c r="O79" t="str">
        <f>_xlfn.LET(
  _xlpm.result, _xlfn.XLOOKUP($B79, Result_Database!$A$2:$A$500, Result_Database!N$2:N$500),
  _xlfn.IFNA(_xlpm.result, "")
)</f>
        <v/>
      </c>
      <c r="P79" t="str">
        <f>_xlfn.LET(
  _xlpm.result, _xlfn.XLOOKUP($B79, Result_Database!$A$2:$A$500, Result_Database!O$2:O$500),
  _xlfn.IFNA(_xlpm.result, "")
)</f>
        <v/>
      </c>
      <c r="Q79" t="str">
        <f>_xlfn.LET(
  _xlpm.result, _xlfn.XLOOKUP($B79, Result_Database!$A$2:$A$500, Result_Database!P$2:P$500),
  _xlfn.IFNA(_xlpm.result, "")
)</f>
        <v/>
      </c>
      <c r="R79" t="str">
        <f>_xlfn.LET(
  _xlpm.result, _xlfn.XLOOKUP($B79, Result_Database!$A$2:$A$500, Result_Database!Q$2:Q$500),
  _xlfn.IFNA(_xlpm.result, "")
)</f>
        <v/>
      </c>
      <c r="S79" t="str">
        <f>_xlfn.LET(
  _xlpm.result, _xlfn.XLOOKUP($B79, Result_Database!$A$2:$A$500, Result_Database!R$2:R$500),
  _xlfn.IFNA(_xlpm.result, "")
)</f>
        <v/>
      </c>
      <c r="T79" t="str">
        <f>_xlfn.LET(
  _xlpm.result, _xlfn.XLOOKUP($B79, Result_Database!$A$2:$A$500, Result_Database!S$2:S$500),
  _xlfn.IFNA(_xlpm.result, "")
)</f>
        <v/>
      </c>
      <c r="U79" t="str">
        <f>_xlfn.LET(
  _xlpm.result, _xlfn.XLOOKUP($B79, Result_Database!$A$2:$A$500, Result_Database!T$2:T$500),
  _xlfn.IFNA(_xlpm.result, "")
)</f>
        <v/>
      </c>
      <c r="V79" t="str">
        <f>_xlfn.LET(
  _xlpm.result, _xlfn.XLOOKUP($B79, Result_Database!$A$2:$A$500, Result_Database!U$2:U$500),
  _xlfn.IFNA(_xlpm.result, "")
)</f>
        <v/>
      </c>
      <c r="W79" t="str">
        <f>_xlfn.LET(
  _xlpm.result, _xlfn.XLOOKUP($B79, Result_Database!$A$2:$A$500, Result_Database!V$2:V$500),
  _xlfn.IFNA(_xlpm.result, "")
)</f>
        <v/>
      </c>
      <c r="X79" t="str">
        <f>_xlfn.LET(
  _xlpm.result, _xlfn.XLOOKUP($B79, Result_Database!$A$2:$A$500, Result_Database!W$2:W$500),
  _xlfn.IFNA(_xlpm.result, "")
)</f>
        <v/>
      </c>
      <c r="Y79" t="str">
        <f>_xlfn.LET(
  _xlpm.result, _xlfn.XLOOKUP($B79, Result_Database!$A$2:$A$500, Result_Database!X$2:X$500),
  _xlfn.IFNA(_xlpm.result, "")
)</f>
        <v/>
      </c>
      <c r="Z79" t="str">
        <f>_xlfn.LET(
  _xlpm.result, _xlfn.XLOOKUP($B79, Result_Database!$A$2:$A$500, Result_Database!Y$2:Y$500),
  _xlfn.IFNA(_xlpm.result, "")
)</f>
        <v/>
      </c>
      <c r="AA79" t="str">
        <f>_xlfn.LET(
  _xlpm.result, _xlfn.XLOOKUP($B79, Result_Database!$A$2:$A$500, Result_Database!Z$2:Z$500),
  _xlfn.IFNA(_xlpm.result, "")
)</f>
        <v/>
      </c>
      <c r="AB79" t="str">
        <f>_xlfn.LET(
  _xlpm.result, _xlfn.XLOOKUP($B79, Result_Database!$A$2:$A$500, Result_Database!AA$2:AA$500),
  _xlfn.IFNA(_xlpm.result, "")
)</f>
        <v/>
      </c>
      <c r="AC79" t="str">
        <f>_xlfn.LET(
  _xlpm.result, _xlfn.XLOOKUP($B79, Result_Database!$A$2:$A$500, Result_Database!AB$2:AB$500),
  _xlfn.IFNA(_xlpm.result, "")
)</f>
        <v/>
      </c>
      <c r="AD79" t="str">
        <f>_xlfn.LET(
  _xlpm.result, _xlfn.XLOOKUP($B79, Result_Database!$A$2:$A$500, Result_Database!AC$2:AC$500),
  _xlfn.IFNA(_xlpm.result, "")
)</f>
        <v/>
      </c>
      <c r="AE79" t="str">
        <f>_xlfn.LET(
  _xlpm.result, _xlfn.XLOOKUP($B79, Result_Database!$A$2:$A$500, Result_Database!AD$2:AD$500),
  _xlfn.IFNA(_xlpm.result, "")
)</f>
        <v/>
      </c>
      <c r="AF79" t="str">
        <f>_xlfn.LET(
  _xlpm.result, _xlfn.XLOOKUP($B79, Result_Database!$A$2:$A$500, Result_Database!AE$2:AE$500),
  _xlfn.IFNA(_xlpm.result, "")
)</f>
        <v/>
      </c>
      <c r="AG79" t="str">
        <f>_xlfn.LET(
  _xlpm.result, _xlfn.XLOOKUP($B79, Result_Database!$A$2:$A$500, Result_Database!AF$2:AF$500),
  _xlfn.IFNA(_xlpm.result, "")
)</f>
        <v/>
      </c>
      <c r="AH79" t="str">
        <f>_xlfn.LET(
  _xlpm.result, _xlfn.XLOOKUP($B79, Result_Database!$A$2:$A$500, Result_Database!AG$2:AG$500),
  _xlfn.IFNA(_xlpm.result, "")
)</f>
        <v/>
      </c>
      <c r="AI79" t="str">
        <f>_xlfn.LET(
  _xlpm.result, _xlfn.XLOOKUP($B79, Result_Database!$A$2:$A$500, Result_Database!AH$2:AH$500),
  _xlfn.IFNA(_xlpm.result, "")
)</f>
        <v/>
      </c>
      <c r="AJ79" t="str">
        <f>_xlfn.LET(
  _xlpm.result, _xlfn.XLOOKUP($B79, Result_Database!$A$2:$A$500, Result_Database!AI$2:AI$500),
  _xlfn.IFNA(_xlpm.result, "")
)</f>
        <v/>
      </c>
      <c r="AK79" t="str">
        <f>_xlfn.LET(
  _xlpm.result, _xlfn.XLOOKUP($B79, Result_Database!$A$2:$A$500, Result_Database!AJ$2:AJ$500),
  _xlfn.IFNA(_xlpm.result, "")
)</f>
        <v/>
      </c>
      <c r="AL79" t="str">
        <f>_xlfn.LET(
  _xlpm.result, _xlfn.XLOOKUP($B79, Result_Database!$A$2:$A$500, Result_Database!AK$2:AK$500),
  _xlfn.IFNA(_xlpm.result, "")
)</f>
        <v/>
      </c>
      <c r="AM7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7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7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7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7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7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7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7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7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79" t="str">
        <f>IF(SUM(Table5[[#This Row],[A1]:[C6]])&lt;&gt;0,SUM(Table5[[#This Row],[A1]:[C6]]),"")</f>
        <v/>
      </c>
      <c r="AW79" t="str">
        <f>IF(SUM(Table5[[#This Row],[D7]:[F9]])=0,"",SUM(Table5[[#This Row],[D7]:[F9]]))</f>
        <v/>
      </c>
      <c r="AX7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7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7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7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7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7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79" t="str">
        <f>IF(COUNTIF(Table5[[#This Row],[English Language]:[Electrical/ Electronics]],"WITHHELD")=0,"",COUNTIF(Table5[[#This Row],[English Language]:[Electrical/ Electronics]],"WITHHELD"))</f>
        <v/>
      </c>
      <c r="BE79" t="str">
        <f>IF(SUM(Table5[[#This Row],[NO OF CREDITS]:[BELOW CREDITS]])=0,"",SUM(Table5[[#This Row],[NO OF CREDITS]:[BELOW CREDITS]]))</f>
        <v/>
      </c>
    </row>
    <row r="80" spans="1:57" x14ac:dyDescent="0.3">
      <c r="A80" t="str">
        <f>IF(B80&lt;&gt;"",COUNTA($B$6:B80),"")</f>
        <v/>
      </c>
      <c r="B80" t="str">
        <f>IF(Result_Database!A76="","",Result_Database!A76)</f>
        <v/>
      </c>
      <c r="C80" t="str">
        <f>_xlfn.LET(
_xlpm.result,_xlfn.XLOOKUP($B80,Result_Database!$A$2:$A$500,Result_Database!$B$2:$B$500),
_xlfn.IFNA(_xlpm.result,"")
)</f>
        <v/>
      </c>
      <c r="D80" t="str">
        <f>_xlfn.LET(
  _xlpm.result, _xlfn.XLOOKUP($B80, Result_Database!$A$2:$A$500, Result_Database!C$2:C$500),
  _xlfn.IFNA(_xlpm.result, "")
)</f>
        <v/>
      </c>
      <c r="E80" t="str">
        <f>_xlfn.LET(
  _xlpm.result, _xlfn.XLOOKUP($B80, Result_Database!$A$2:$A$500, Result_Database!D$2:D$500),
  _xlfn.IFNA(_xlpm.result, "")
)</f>
        <v/>
      </c>
      <c r="F80" t="str">
        <f>_xlfn.LET(
  _xlpm.result, _xlfn.XLOOKUP($B80, Result_Database!$A$2:$A$500, Result_Database!E$2:E$500),
  _xlfn.IFNA(_xlpm.result, "")
)</f>
        <v/>
      </c>
      <c r="G80" t="str">
        <f>_xlfn.LET(
  _xlpm.result, _xlfn.XLOOKUP($B80, Result_Database!$A$2:$A$500, Result_Database!F$2:F$500),
  _xlfn.IFNA(_xlpm.result, "")
)</f>
        <v/>
      </c>
      <c r="H80" t="str">
        <f>_xlfn.LET(
  _xlpm.result, _xlfn.XLOOKUP($B80, Result_Database!$A$2:$A$500, Result_Database!G$2:G$500),
  _xlfn.IFNA(_xlpm.result, "")
)</f>
        <v/>
      </c>
      <c r="I80" t="str">
        <f>_xlfn.LET(
  _xlpm.result, _xlfn.XLOOKUP($B80, Result_Database!$A$2:$A$500, Result_Database!H$2:H$500),
  _xlfn.IFNA(_xlpm.result, "")
)</f>
        <v/>
      </c>
      <c r="J80" t="str">
        <f>_xlfn.LET(
  _xlpm.result, _xlfn.XLOOKUP($B80, Result_Database!$A$2:$A$500, Result_Database!I$2:I$500),
  _xlfn.IFNA(_xlpm.result, "")
)</f>
        <v/>
      </c>
      <c r="K80" t="str">
        <f>_xlfn.LET(
  _xlpm.result, _xlfn.XLOOKUP($B80, Result_Database!$A$2:$A$500, Result_Database!J$2:J$500),
  _xlfn.IFNA(_xlpm.result, "")
)</f>
        <v/>
      </c>
      <c r="L80" t="str">
        <f>_xlfn.LET(
  _xlpm.result, _xlfn.XLOOKUP($B80, Result_Database!$A$2:$A$500, Result_Database!K$2:K$500),
  _xlfn.IFNA(_xlpm.result, "")
)</f>
        <v/>
      </c>
      <c r="M80" t="str">
        <f>_xlfn.LET(
  _xlpm.result, _xlfn.XLOOKUP($B80, Result_Database!$A$2:$A$500, Result_Database!L$2:L$500),
  _xlfn.IFNA(_xlpm.result, "")
)</f>
        <v/>
      </c>
      <c r="N80" t="str">
        <f>_xlfn.LET(
  _xlpm.result, _xlfn.XLOOKUP($B80, Result_Database!$A$2:$A$500, Result_Database!M$2:M$500),
  _xlfn.IFNA(_xlpm.result, "")
)</f>
        <v/>
      </c>
      <c r="O80" t="str">
        <f>_xlfn.LET(
  _xlpm.result, _xlfn.XLOOKUP($B80, Result_Database!$A$2:$A$500, Result_Database!N$2:N$500),
  _xlfn.IFNA(_xlpm.result, "")
)</f>
        <v/>
      </c>
      <c r="P80" t="str">
        <f>_xlfn.LET(
  _xlpm.result, _xlfn.XLOOKUP($B80, Result_Database!$A$2:$A$500, Result_Database!O$2:O$500),
  _xlfn.IFNA(_xlpm.result, "")
)</f>
        <v/>
      </c>
      <c r="Q80" t="str">
        <f>_xlfn.LET(
  _xlpm.result, _xlfn.XLOOKUP($B80, Result_Database!$A$2:$A$500, Result_Database!P$2:P$500),
  _xlfn.IFNA(_xlpm.result, "")
)</f>
        <v/>
      </c>
      <c r="R80" t="str">
        <f>_xlfn.LET(
  _xlpm.result, _xlfn.XLOOKUP($B80, Result_Database!$A$2:$A$500, Result_Database!Q$2:Q$500),
  _xlfn.IFNA(_xlpm.result, "")
)</f>
        <v/>
      </c>
      <c r="S80" t="str">
        <f>_xlfn.LET(
  _xlpm.result, _xlfn.XLOOKUP($B80, Result_Database!$A$2:$A$500, Result_Database!R$2:R$500),
  _xlfn.IFNA(_xlpm.result, "")
)</f>
        <v/>
      </c>
      <c r="T80" t="str">
        <f>_xlfn.LET(
  _xlpm.result, _xlfn.XLOOKUP($B80, Result_Database!$A$2:$A$500, Result_Database!S$2:S$500),
  _xlfn.IFNA(_xlpm.result, "")
)</f>
        <v/>
      </c>
      <c r="U80" t="str">
        <f>_xlfn.LET(
  _xlpm.result, _xlfn.XLOOKUP($B80, Result_Database!$A$2:$A$500, Result_Database!T$2:T$500),
  _xlfn.IFNA(_xlpm.result, "")
)</f>
        <v/>
      </c>
      <c r="V80" t="str">
        <f>_xlfn.LET(
  _xlpm.result, _xlfn.XLOOKUP($B80, Result_Database!$A$2:$A$500, Result_Database!U$2:U$500),
  _xlfn.IFNA(_xlpm.result, "")
)</f>
        <v/>
      </c>
      <c r="W80" t="str">
        <f>_xlfn.LET(
  _xlpm.result, _xlfn.XLOOKUP($B80, Result_Database!$A$2:$A$500, Result_Database!V$2:V$500),
  _xlfn.IFNA(_xlpm.result, "")
)</f>
        <v/>
      </c>
      <c r="X80" t="str">
        <f>_xlfn.LET(
  _xlpm.result, _xlfn.XLOOKUP($B80, Result_Database!$A$2:$A$500, Result_Database!W$2:W$500),
  _xlfn.IFNA(_xlpm.result, "")
)</f>
        <v/>
      </c>
      <c r="Y80" t="str">
        <f>_xlfn.LET(
  _xlpm.result, _xlfn.XLOOKUP($B80, Result_Database!$A$2:$A$500, Result_Database!X$2:X$500),
  _xlfn.IFNA(_xlpm.result, "")
)</f>
        <v/>
      </c>
      <c r="Z80" t="str">
        <f>_xlfn.LET(
  _xlpm.result, _xlfn.XLOOKUP($B80, Result_Database!$A$2:$A$500, Result_Database!Y$2:Y$500),
  _xlfn.IFNA(_xlpm.result, "")
)</f>
        <v/>
      </c>
      <c r="AA80" t="str">
        <f>_xlfn.LET(
  _xlpm.result, _xlfn.XLOOKUP($B80, Result_Database!$A$2:$A$500, Result_Database!Z$2:Z$500),
  _xlfn.IFNA(_xlpm.result, "")
)</f>
        <v/>
      </c>
      <c r="AB80" t="str">
        <f>_xlfn.LET(
  _xlpm.result, _xlfn.XLOOKUP($B80, Result_Database!$A$2:$A$500, Result_Database!AA$2:AA$500),
  _xlfn.IFNA(_xlpm.result, "")
)</f>
        <v/>
      </c>
      <c r="AC80" t="str">
        <f>_xlfn.LET(
  _xlpm.result, _xlfn.XLOOKUP($B80, Result_Database!$A$2:$A$500, Result_Database!AB$2:AB$500),
  _xlfn.IFNA(_xlpm.result, "")
)</f>
        <v/>
      </c>
      <c r="AD80" t="str">
        <f>_xlfn.LET(
  _xlpm.result, _xlfn.XLOOKUP($B80, Result_Database!$A$2:$A$500, Result_Database!AC$2:AC$500),
  _xlfn.IFNA(_xlpm.result, "")
)</f>
        <v/>
      </c>
      <c r="AE80" t="str">
        <f>_xlfn.LET(
  _xlpm.result, _xlfn.XLOOKUP($B80, Result_Database!$A$2:$A$500, Result_Database!AD$2:AD$500),
  _xlfn.IFNA(_xlpm.result, "")
)</f>
        <v/>
      </c>
      <c r="AF80" t="str">
        <f>_xlfn.LET(
  _xlpm.result, _xlfn.XLOOKUP($B80, Result_Database!$A$2:$A$500, Result_Database!AE$2:AE$500),
  _xlfn.IFNA(_xlpm.result, "")
)</f>
        <v/>
      </c>
      <c r="AG80" t="str">
        <f>_xlfn.LET(
  _xlpm.result, _xlfn.XLOOKUP($B80, Result_Database!$A$2:$A$500, Result_Database!AF$2:AF$500),
  _xlfn.IFNA(_xlpm.result, "")
)</f>
        <v/>
      </c>
      <c r="AH80" t="str">
        <f>_xlfn.LET(
  _xlpm.result, _xlfn.XLOOKUP($B80, Result_Database!$A$2:$A$500, Result_Database!AG$2:AG$500),
  _xlfn.IFNA(_xlpm.result, "")
)</f>
        <v/>
      </c>
      <c r="AI80" t="str">
        <f>_xlfn.LET(
  _xlpm.result, _xlfn.XLOOKUP($B80, Result_Database!$A$2:$A$500, Result_Database!AH$2:AH$500),
  _xlfn.IFNA(_xlpm.result, "")
)</f>
        <v/>
      </c>
      <c r="AJ80" t="str">
        <f>_xlfn.LET(
  _xlpm.result, _xlfn.XLOOKUP($B80, Result_Database!$A$2:$A$500, Result_Database!AI$2:AI$500),
  _xlfn.IFNA(_xlpm.result, "")
)</f>
        <v/>
      </c>
      <c r="AK80" t="str">
        <f>_xlfn.LET(
  _xlpm.result, _xlfn.XLOOKUP($B80, Result_Database!$A$2:$A$500, Result_Database!AJ$2:AJ$500),
  _xlfn.IFNA(_xlpm.result, "")
)</f>
        <v/>
      </c>
      <c r="AL80" t="str">
        <f>_xlfn.LET(
  _xlpm.result, _xlfn.XLOOKUP($B80, Result_Database!$A$2:$A$500, Result_Database!AK$2:AK$500),
  _xlfn.IFNA(_xlpm.result, "")
)</f>
        <v/>
      </c>
      <c r="AM8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8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8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8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8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8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8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8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8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80" t="str">
        <f>IF(SUM(Table5[[#This Row],[A1]:[C6]])&lt;&gt;0,SUM(Table5[[#This Row],[A1]:[C6]]),"")</f>
        <v/>
      </c>
      <c r="AW80" t="str">
        <f>IF(SUM(Table5[[#This Row],[D7]:[F9]])=0,"",SUM(Table5[[#This Row],[D7]:[F9]]))</f>
        <v/>
      </c>
      <c r="AX8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8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8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8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8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8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80" t="str">
        <f>IF(COUNTIF(Table5[[#This Row],[English Language]:[Electrical/ Electronics]],"WITHHELD")=0,"",COUNTIF(Table5[[#This Row],[English Language]:[Electrical/ Electronics]],"WITHHELD"))</f>
        <v/>
      </c>
      <c r="BE80" t="str">
        <f>IF(SUM(Table5[[#This Row],[NO OF CREDITS]:[BELOW CREDITS]])=0,"",SUM(Table5[[#This Row],[NO OF CREDITS]:[BELOW CREDITS]]))</f>
        <v/>
      </c>
    </row>
    <row r="81" spans="1:57" x14ac:dyDescent="0.3">
      <c r="A81" t="str">
        <f>IF(B81&lt;&gt;"",COUNTA($B$6:B81),"")</f>
        <v/>
      </c>
      <c r="B81" t="str">
        <f>IF(Result_Database!A77="","",Result_Database!A77)</f>
        <v/>
      </c>
      <c r="C81" t="str">
        <f>_xlfn.LET(
_xlpm.result,_xlfn.XLOOKUP($B81,Result_Database!$A$2:$A$500,Result_Database!$B$2:$B$500),
_xlfn.IFNA(_xlpm.result,"")
)</f>
        <v/>
      </c>
      <c r="D81" t="str">
        <f>_xlfn.LET(
  _xlpm.result, _xlfn.XLOOKUP($B81, Result_Database!$A$2:$A$500, Result_Database!C$2:C$500),
  _xlfn.IFNA(_xlpm.result, "")
)</f>
        <v/>
      </c>
      <c r="E81" t="str">
        <f>_xlfn.LET(
  _xlpm.result, _xlfn.XLOOKUP($B81, Result_Database!$A$2:$A$500, Result_Database!D$2:D$500),
  _xlfn.IFNA(_xlpm.result, "")
)</f>
        <v/>
      </c>
      <c r="F81" t="str">
        <f>_xlfn.LET(
  _xlpm.result, _xlfn.XLOOKUP($B81, Result_Database!$A$2:$A$500, Result_Database!E$2:E$500),
  _xlfn.IFNA(_xlpm.result, "")
)</f>
        <v/>
      </c>
      <c r="G81" t="str">
        <f>_xlfn.LET(
  _xlpm.result, _xlfn.XLOOKUP($B81, Result_Database!$A$2:$A$500, Result_Database!F$2:F$500),
  _xlfn.IFNA(_xlpm.result, "")
)</f>
        <v/>
      </c>
      <c r="H81" t="str">
        <f>_xlfn.LET(
  _xlpm.result, _xlfn.XLOOKUP($B81, Result_Database!$A$2:$A$500, Result_Database!G$2:G$500),
  _xlfn.IFNA(_xlpm.result, "")
)</f>
        <v/>
      </c>
      <c r="I81" t="str">
        <f>_xlfn.LET(
  _xlpm.result, _xlfn.XLOOKUP($B81, Result_Database!$A$2:$A$500, Result_Database!H$2:H$500),
  _xlfn.IFNA(_xlpm.result, "")
)</f>
        <v/>
      </c>
      <c r="J81" t="str">
        <f>_xlfn.LET(
  _xlpm.result, _xlfn.XLOOKUP($B81, Result_Database!$A$2:$A$500, Result_Database!I$2:I$500),
  _xlfn.IFNA(_xlpm.result, "")
)</f>
        <v/>
      </c>
      <c r="K81" t="str">
        <f>_xlfn.LET(
  _xlpm.result, _xlfn.XLOOKUP($B81, Result_Database!$A$2:$A$500, Result_Database!J$2:J$500),
  _xlfn.IFNA(_xlpm.result, "")
)</f>
        <v/>
      </c>
      <c r="L81" t="str">
        <f>_xlfn.LET(
  _xlpm.result, _xlfn.XLOOKUP($B81, Result_Database!$A$2:$A$500, Result_Database!K$2:K$500),
  _xlfn.IFNA(_xlpm.result, "")
)</f>
        <v/>
      </c>
      <c r="M81" t="str">
        <f>_xlfn.LET(
  _xlpm.result, _xlfn.XLOOKUP($B81, Result_Database!$A$2:$A$500, Result_Database!L$2:L$500),
  _xlfn.IFNA(_xlpm.result, "")
)</f>
        <v/>
      </c>
      <c r="N81" t="str">
        <f>_xlfn.LET(
  _xlpm.result, _xlfn.XLOOKUP($B81, Result_Database!$A$2:$A$500, Result_Database!M$2:M$500),
  _xlfn.IFNA(_xlpm.result, "")
)</f>
        <v/>
      </c>
      <c r="O81" t="str">
        <f>_xlfn.LET(
  _xlpm.result, _xlfn.XLOOKUP($B81, Result_Database!$A$2:$A$500, Result_Database!N$2:N$500),
  _xlfn.IFNA(_xlpm.result, "")
)</f>
        <v/>
      </c>
      <c r="P81" t="str">
        <f>_xlfn.LET(
  _xlpm.result, _xlfn.XLOOKUP($B81, Result_Database!$A$2:$A$500, Result_Database!O$2:O$500),
  _xlfn.IFNA(_xlpm.result, "")
)</f>
        <v/>
      </c>
      <c r="Q81" t="str">
        <f>_xlfn.LET(
  _xlpm.result, _xlfn.XLOOKUP($B81, Result_Database!$A$2:$A$500, Result_Database!P$2:P$500),
  _xlfn.IFNA(_xlpm.result, "")
)</f>
        <v/>
      </c>
      <c r="R81" t="str">
        <f>_xlfn.LET(
  _xlpm.result, _xlfn.XLOOKUP($B81, Result_Database!$A$2:$A$500, Result_Database!Q$2:Q$500),
  _xlfn.IFNA(_xlpm.result, "")
)</f>
        <v/>
      </c>
      <c r="S81" t="str">
        <f>_xlfn.LET(
  _xlpm.result, _xlfn.XLOOKUP($B81, Result_Database!$A$2:$A$500, Result_Database!R$2:R$500),
  _xlfn.IFNA(_xlpm.result, "")
)</f>
        <v/>
      </c>
      <c r="T81" t="str">
        <f>_xlfn.LET(
  _xlpm.result, _xlfn.XLOOKUP($B81, Result_Database!$A$2:$A$500, Result_Database!S$2:S$500),
  _xlfn.IFNA(_xlpm.result, "")
)</f>
        <v/>
      </c>
      <c r="U81" t="str">
        <f>_xlfn.LET(
  _xlpm.result, _xlfn.XLOOKUP($B81, Result_Database!$A$2:$A$500, Result_Database!T$2:T$500),
  _xlfn.IFNA(_xlpm.result, "")
)</f>
        <v/>
      </c>
      <c r="V81" t="str">
        <f>_xlfn.LET(
  _xlpm.result, _xlfn.XLOOKUP($B81, Result_Database!$A$2:$A$500, Result_Database!U$2:U$500),
  _xlfn.IFNA(_xlpm.result, "")
)</f>
        <v/>
      </c>
      <c r="W81" t="str">
        <f>_xlfn.LET(
  _xlpm.result, _xlfn.XLOOKUP($B81, Result_Database!$A$2:$A$500, Result_Database!V$2:V$500),
  _xlfn.IFNA(_xlpm.result, "")
)</f>
        <v/>
      </c>
      <c r="X81" t="str">
        <f>_xlfn.LET(
  _xlpm.result, _xlfn.XLOOKUP($B81, Result_Database!$A$2:$A$500, Result_Database!W$2:W$500),
  _xlfn.IFNA(_xlpm.result, "")
)</f>
        <v/>
      </c>
      <c r="Y81" t="str">
        <f>_xlfn.LET(
  _xlpm.result, _xlfn.XLOOKUP($B81, Result_Database!$A$2:$A$500, Result_Database!X$2:X$500),
  _xlfn.IFNA(_xlpm.result, "")
)</f>
        <v/>
      </c>
      <c r="Z81" t="str">
        <f>_xlfn.LET(
  _xlpm.result, _xlfn.XLOOKUP($B81, Result_Database!$A$2:$A$500, Result_Database!Y$2:Y$500),
  _xlfn.IFNA(_xlpm.result, "")
)</f>
        <v/>
      </c>
      <c r="AA81" t="str">
        <f>_xlfn.LET(
  _xlpm.result, _xlfn.XLOOKUP($B81, Result_Database!$A$2:$A$500, Result_Database!Z$2:Z$500),
  _xlfn.IFNA(_xlpm.result, "")
)</f>
        <v/>
      </c>
      <c r="AB81" t="str">
        <f>_xlfn.LET(
  _xlpm.result, _xlfn.XLOOKUP($B81, Result_Database!$A$2:$A$500, Result_Database!AA$2:AA$500),
  _xlfn.IFNA(_xlpm.result, "")
)</f>
        <v/>
      </c>
      <c r="AC81" t="str">
        <f>_xlfn.LET(
  _xlpm.result, _xlfn.XLOOKUP($B81, Result_Database!$A$2:$A$500, Result_Database!AB$2:AB$500),
  _xlfn.IFNA(_xlpm.result, "")
)</f>
        <v/>
      </c>
      <c r="AD81" t="str">
        <f>_xlfn.LET(
  _xlpm.result, _xlfn.XLOOKUP($B81, Result_Database!$A$2:$A$500, Result_Database!AC$2:AC$500),
  _xlfn.IFNA(_xlpm.result, "")
)</f>
        <v/>
      </c>
      <c r="AE81" t="str">
        <f>_xlfn.LET(
  _xlpm.result, _xlfn.XLOOKUP($B81, Result_Database!$A$2:$A$500, Result_Database!AD$2:AD$500),
  _xlfn.IFNA(_xlpm.result, "")
)</f>
        <v/>
      </c>
      <c r="AF81" t="str">
        <f>_xlfn.LET(
  _xlpm.result, _xlfn.XLOOKUP($B81, Result_Database!$A$2:$A$500, Result_Database!AE$2:AE$500),
  _xlfn.IFNA(_xlpm.result, "")
)</f>
        <v/>
      </c>
      <c r="AG81" t="str">
        <f>_xlfn.LET(
  _xlpm.result, _xlfn.XLOOKUP($B81, Result_Database!$A$2:$A$500, Result_Database!AF$2:AF$500),
  _xlfn.IFNA(_xlpm.result, "")
)</f>
        <v/>
      </c>
      <c r="AH81" t="str">
        <f>_xlfn.LET(
  _xlpm.result, _xlfn.XLOOKUP($B81, Result_Database!$A$2:$A$500, Result_Database!AG$2:AG$500),
  _xlfn.IFNA(_xlpm.result, "")
)</f>
        <v/>
      </c>
      <c r="AI81" t="str">
        <f>_xlfn.LET(
  _xlpm.result, _xlfn.XLOOKUP($B81, Result_Database!$A$2:$A$500, Result_Database!AH$2:AH$500),
  _xlfn.IFNA(_xlpm.result, "")
)</f>
        <v/>
      </c>
      <c r="AJ81" t="str">
        <f>_xlfn.LET(
  _xlpm.result, _xlfn.XLOOKUP($B81, Result_Database!$A$2:$A$500, Result_Database!AI$2:AI$500),
  _xlfn.IFNA(_xlpm.result, "")
)</f>
        <v/>
      </c>
      <c r="AK81" t="str">
        <f>_xlfn.LET(
  _xlpm.result, _xlfn.XLOOKUP($B81, Result_Database!$A$2:$A$500, Result_Database!AJ$2:AJ$500),
  _xlfn.IFNA(_xlpm.result, "")
)</f>
        <v/>
      </c>
      <c r="AL81" t="str">
        <f>_xlfn.LET(
  _xlpm.result, _xlfn.XLOOKUP($B81, Result_Database!$A$2:$A$500, Result_Database!AK$2:AK$500),
  _xlfn.IFNA(_xlpm.result, "")
)</f>
        <v/>
      </c>
      <c r="AM8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8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8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8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8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8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8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8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8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81" t="str">
        <f>IF(SUM(Table5[[#This Row],[A1]:[C6]])&lt;&gt;0,SUM(Table5[[#This Row],[A1]:[C6]]),"")</f>
        <v/>
      </c>
      <c r="AW81" t="str">
        <f>IF(SUM(Table5[[#This Row],[D7]:[F9]])=0,"",SUM(Table5[[#This Row],[D7]:[F9]]))</f>
        <v/>
      </c>
      <c r="AX8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8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8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8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8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8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81" t="str">
        <f>IF(COUNTIF(Table5[[#This Row],[English Language]:[Electrical/ Electronics]],"WITHHELD")=0,"",COUNTIF(Table5[[#This Row],[English Language]:[Electrical/ Electronics]],"WITHHELD"))</f>
        <v/>
      </c>
      <c r="BE81" t="str">
        <f>IF(SUM(Table5[[#This Row],[NO OF CREDITS]:[BELOW CREDITS]])=0,"",SUM(Table5[[#This Row],[NO OF CREDITS]:[BELOW CREDITS]]))</f>
        <v/>
      </c>
    </row>
    <row r="82" spans="1:57" x14ac:dyDescent="0.3">
      <c r="A82" t="str">
        <f>IF(B82&lt;&gt;"",COUNTA($B$6:B82),"")</f>
        <v/>
      </c>
      <c r="B82" t="str">
        <f>IF(Result_Database!A78="","",Result_Database!A78)</f>
        <v/>
      </c>
      <c r="C82" t="str">
        <f>_xlfn.LET(
_xlpm.result,_xlfn.XLOOKUP($B82,Result_Database!$A$2:$A$500,Result_Database!$B$2:$B$500),
_xlfn.IFNA(_xlpm.result,"")
)</f>
        <v/>
      </c>
      <c r="D82" t="str">
        <f>_xlfn.LET(
  _xlpm.result, _xlfn.XLOOKUP($B82, Result_Database!$A$2:$A$500, Result_Database!C$2:C$500),
  _xlfn.IFNA(_xlpm.result, "")
)</f>
        <v/>
      </c>
      <c r="E82" t="str">
        <f>_xlfn.LET(
  _xlpm.result, _xlfn.XLOOKUP($B82, Result_Database!$A$2:$A$500, Result_Database!D$2:D$500),
  _xlfn.IFNA(_xlpm.result, "")
)</f>
        <v/>
      </c>
      <c r="F82" t="str">
        <f>_xlfn.LET(
  _xlpm.result, _xlfn.XLOOKUP($B82, Result_Database!$A$2:$A$500, Result_Database!E$2:E$500),
  _xlfn.IFNA(_xlpm.result, "")
)</f>
        <v/>
      </c>
      <c r="G82" t="str">
        <f>_xlfn.LET(
  _xlpm.result, _xlfn.XLOOKUP($B82, Result_Database!$A$2:$A$500, Result_Database!F$2:F$500),
  _xlfn.IFNA(_xlpm.result, "")
)</f>
        <v/>
      </c>
      <c r="H82" t="str">
        <f>_xlfn.LET(
  _xlpm.result, _xlfn.XLOOKUP($B82, Result_Database!$A$2:$A$500, Result_Database!G$2:G$500),
  _xlfn.IFNA(_xlpm.result, "")
)</f>
        <v/>
      </c>
      <c r="I82" t="str">
        <f>_xlfn.LET(
  _xlpm.result, _xlfn.XLOOKUP($B82, Result_Database!$A$2:$A$500, Result_Database!H$2:H$500),
  _xlfn.IFNA(_xlpm.result, "")
)</f>
        <v/>
      </c>
      <c r="J82" t="str">
        <f>_xlfn.LET(
  _xlpm.result, _xlfn.XLOOKUP($B82, Result_Database!$A$2:$A$500, Result_Database!I$2:I$500),
  _xlfn.IFNA(_xlpm.result, "")
)</f>
        <v/>
      </c>
      <c r="K82" t="str">
        <f>_xlfn.LET(
  _xlpm.result, _xlfn.XLOOKUP($B82, Result_Database!$A$2:$A$500, Result_Database!J$2:J$500),
  _xlfn.IFNA(_xlpm.result, "")
)</f>
        <v/>
      </c>
      <c r="L82" t="str">
        <f>_xlfn.LET(
  _xlpm.result, _xlfn.XLOOKUP($B82, Result_Database!$A$2:$A$500, Result_Database!K$2:K$500),
  _xlfn.IFNA(_xlpm.result, "")
)</f>
        <v/>
      </c>
      <c r="M82" t="str">
        <f>_xlfn.LET(
  _xlpm.result, _xlfn.XLOOKUP($B82, Result_Database!$A$2:$A$500, Result_Database!L$2:L$500),
  _xlfn.IFNA(_xlpm.result, "")
)</f>
        <v/>
      </c>
      <c r="N82" t="str">
        <f>_xlfn.LET(
  _xlpm.result, _xlfn.XLOOKUP($B82, Result_Database!$A$2:$A$500, Result_Database!M$2:M$500),
  _xlfn.IFNA(_xlpm.result, "")
)</f>
        <v/>
      </c>
      <c r="O82" t="str">
        <f>_xlfn.LET(
  _xlpm.result, _xlfn.XLOOKUP($B82, Result_Database!$A$2:$A$500, Result_Database!N$2:N$500),
  _xlfn.IFNA(_xlpm.result, "")
)</f>
        <v/>
      </c>
      <c r="P82" t="str">
        <f>_xlfn.LET(
  _xlpm.result, _xlfn.XLOOKUP($B82, Result_Database!$A$2:$A$500, Result_Database!O$2:O$500),
  _xlfn.IFNA(_xlpm.result, "")
)</f>
        <v/>
      </c>
      <c r="Q82" t="str">
        <f>_xlfn.LET(
  _xlpm.result, _xlfn.XLOOKUP($B82, Result_Database!$A$2:$A$500, Result_Database!P$2:P$500),
  _xlfn.IFNA(_xlpm.result, "")
)</f>
        <v/>
      </c>
      <c r="R82" t="str">
        <f>_xlfn.LET(
  _xlpm.result, _xlfn.XLOOKUP($B82, Result_Database!$A$2:$A$500, Result_Database!Q$2:Q$500),
  _xlfn.IFNA(_xlpm.result, "")
)</f>
        <v/>
      </c>
      <c r="S82" t="str">
        <f>_xlfn.LET(
  _xlpm.result, _xlfn.XLOOKUP($B82, Result_Database!$A$2:$A$500, Result_Database!R$2:R$500),
  _xlfn.IFNA(_xlpm.result, "")
)</f>
        <v/>
      </c>
      <c r="T82" t="str">
        <f>_xlfn.LET(
  _xlpm.result, _xlfn.XLOOKUP($B82, Result_Database!$A$2:$A$500, Result_Database!S$2:S$500),
  _xlfn.IFNA(_xlpm.result, "")
)</f>
        <v/>
      </c>
      <c r="U82" t="str">
        <f>_xlfn.LET(
  _xlpm.result, _xlfn.XLOOKUP($B82, Result_Database!$A$2:$A$500, Result_Database!T$2:T$500),
  _xlfn.IFNA(_xlpm.result, "")
)</f>
        <v/>
      </c>
      <c r="V82" t="str">
        <f>_xlfn.LET(
  _xlpm.result, _xlfn.XLOOKUP($B82, Result_Database!$A$2:$A$500, Result_Database!U$2:U$500),
  _xlfn.IFNA(_xlpm.result, "")
)</f>
        <v/>
      </c>
      <c r="W82" t="str">
        <f>_xlfn.LET(
  _xlpm.result, _xlfn.XLOOKUP($B82, Result_Database!$A$2:$A$500, Result_Database!V$2:V$500),
  _xlfn.IFNA(_xlpm.result, "")
)</f>
        <v/>
      </c>
      <c r="X82" t="str">
        <f>_xlfn.LET(
  _xlpm.result, _xlfn.XLOOKUP($B82, Result_Database!$A$2:$A$500, Result_Database!W$2:W$500),
  _xlfn.IFNA(_xlpm.result, "")
)</f>
        <v/>
      </c>
      <c r="Y82" t="str">
        <f>_xlfn.LET(
  _xlpm.result, _xlfn.XLOOKUP($B82, Result_Database!$A$2:$A$500, Result_Database!X$2:X$500),
  _xlfn.IFNA(_xlpm.result, "")
)</f>
        <v/>
      </c>
      <c r="Z82" t="str">
        <f>_xlfn.LET(
  _xlpm.result, _xlfn.XLOOKUP($B82, Result_Database!$A$2:$A$500, Result_Database!Y$2:Y$500),
  _xlfn.IFNA(_xlpm.result, "")
)</f>
        <v/>
      </c>
      <c r="AA82" t="str">
        <f>_xlfn.LET(
  _xlpm.result, _xlfn.XLOOKUP($B82, Result_Database!$A$2:$A$500, Result_Database!Z$2:Z$500),
  _xlfn.IFNA(_xlpm.result, "")
)</f>
        <v/>
      </c>
      <c r="AB82" t="str">
        <f>_xlfn.LET(
  _xlpm.result, _xlfn.XLOOKUP($B82, Result_Database!$A$2:$A$500, Result_Database!AA$2:AA$500),
  _xlfn.IFNA(_xlpm.result, "")
)</f>
        <v/>
      </c>
      <c r="AC82" t="str">
        <f>_xlfn.LET(
  _xlpm.result, _xlfn.XLOOKUP($B82, Result_Database!$A$2:$A$500, Result_Database!AB$2:AB$500),
  _xlfn.IFNA(_xlpm.result, "")
)</f>
        <v/>
      </c>
      <c r="AD82" t="str">
        <f>_xlfn.LET(
  _xlpm.result, _xlfn.XLOOKUP($B82, Result_Database!$A$2:$A$500, Result_Database!AC$2:AC$500),
  _xlfn.IFNA(_xlpm.result, "")
)</f>
        <v/>
      </c>
      <c r="AE82" t="str">
        <f>_xlfn.LET(
  _xlpm.result, _xlfn.XLOOKUP($B82, Result_Database!$A$2:$A$500, Result_Database!AD$2:AD$500),
  _xlfn.IFNA(_xlpm.result, "")
)</f>
        <v/>
      </c>
      <c r="AF82" t="str">
        <f>_xlfn.LET(
  _xlpm.result, _xlfn.XLOOKUP($B82, Result_Database!$A$2:$A$500, Result_Database!AE$2:AE$500),
  _xlfn.IFNA(_xlpm.result, "")
)</f>
        <v/>
      </c>
      <c r="AG82" t="str">
        <f>_xlfn.LET(
  _xlpm.result, _xlfn.XLOOKUP($B82, Result_Database!$A$2:$A$500, Result_Database!AF$2:AF$500),
  _xlfn.IFNA(_xlpm.result, "")
)</f>
        <v/>
      </c>
      <c r="AH82" t="str">
        <f>_xlfn.LET(
  _xlpm.result, _xlfn.XLOOKUP($B82, Result_Database!$A$2:$A$500, Result_Database!AG$2:AG$500),
  _xlfn.IFNA(_xlpm.result, "")
)</f>
        <v/>
      </c>
      <c r="AI82" t="str">
        <f>_xlfn.LET(
  _xlpm.result, _xlfn.XLOOKUP($B82, Result_Database!$A$2:$A$500, Result_Database!AH$2:AH$500),
  _xlfn.IFNA(_xlpm.result, "")
)</f>
        <v/>
      </c>
      <c r="AJ82" t="str">
        <f>_xlfn.LET(
  _xlpm.result, _xlfn.XLOOKUP($B82, Result_Database!$A$2:$A$500, Result_Database!AI$2:AI$500),
  _xlfn.IFNA(_xlpm.result, "")
)</f>
        <v/>
      </c>
      <c r="AK82" t="str">
        <f>_xlfn.LET(
  _xlpm.result, _xlfn.XLOOKUP($B82, Result_Database!$A$2:$A$500, Result_Database!AJ$2:AJ$500),
  _xlfn.IFNA(_xlpm.result, "")
)</f>
        <v/>
      </c>
      <c r="AL82" t="str">
        <f>_xlfn.LET(
  _xlpm.result, _xlfn.XLOOKUP($B82, Result_Database!$A$2:$A$500, Result_Database!AK$2:AK$500),
  _xlfn.IFNA(_xlpm.result, "")
)</f>
        <v/>
      </c>
      <c r="AM8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8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8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8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8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8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8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8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8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82" t="str">
        <f>IF(SUM(Table5[[#This Row],[A1]:[C6]])&lt;&gt;0,SUM(Table5[[#This Row],[A1]:[C6]]),"")</f>
        <v/>
      </c>
      <c r="AW82" t="str">
        <f>IF(SUM(Table5[[#This Row],[D7]:[F9]])=0,"",SUM(Table5[[#This Row],[D7]:[F9]]))</f>
        <v/>
      </c>
      <c r="AX8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8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8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8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8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8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82" t="str">
        <f>IF(COUNTIF(Table5[[#This Row],[English Language]:[Electrical/ Electronics]],"WITHHELD")=0,"",COUNTIF(Table5[[#This Row],[English Language]:[Electrical/ Electronics]],"WITHHELD"))</f>
        <v/>
      </c>
      <c r="BE82" t="str">
        <f>IF(SUM(Table5[[#This Row],[NO OF CREDITS]:[BELOW CREDITS]])=0,"",SUM(Table5[[#This Row],[NO OF CREDITS]:[BELOW CREDITS]]))</f>
        <v/>
      </c>
    </row>
    <row r="83" spans="1:57" x14ac:dyDescent="0.3">
      <c r="A83" t="str">
        <f>IF(B83&lt;&gt;"",COUNTA($B$6:B83),"")</f>
        <v/>
      </c>
      <c r="B83" t="str">
        <f>IF(Result_Database!A79="","",Result_Database!A79)</f>
        <v/>
      </c>
      <c r="C83" t="str">
        <f>_xlfn.LET(
_xlpm.result,_xlfn.XLOOKUP($B83,Result_Database!$A$2:$A$500,Result_Database!$B$2:$B$500),
_xlfn.IFNA(_xlpm.result,"")
)</f>
        <v/>
      </c>
      <c r="D83" t="str">
        <f>_xlfn.LET(
  _xlpm.result, _xlfn.XLOOKUP($B83, Result_Database!$A$2:$A$500, Result_Database!C$2:C$500),
  _xlfn.IFNA(_xlpm.result, "")
)</f>
        <v/>
      </c>
      <c r="E83" t="str">
        <f>_xlfn.LET(
  _xlpm.result, _xlfn.XLOOKUP($B83, Result_Database!$A$2:$A$500, Result_Database!D$2:D$500),
  _xlfn.IFNA(_xlpm.result, "")
)</f>
        <v/>
      </c>
      <c r="F83" t="str">
        <f>_xlfn.LET(
  _xlpm.result, _xlfn.XLOOKUP($B83, Result_Database!$A$2:$A$500, Result_Database!E$2:E$500),
  _xlfn.IFNA(_xlpm.result, "")
)</f>
        <v/>
      </c>
      <c r="G83" t="str">
        <f>_xlfn.LET(
  _xlpm.result, _xlfn.XLOOKUP($B83, Result_Database!$A$2:$A$500, Result_Database!F$2:F$500),
  _xlfn.IFNA(_xlpm.result, "")
)</f>
        <v/>
      </c>
      <c r="H83" t="str">
        <f>_xlfn.LET(
  _xlpm.result, _xlfn.XLOOKUP($B83, Result_Database!$A$2:$A$500, Result_Database!G$2:G$500),
  _xlfn.IFNA(_xlpm.result, "")
)</f>
        <v/>
      </c>
      <c r="I83" t="str">
        <f>_xlfn.LET(
  _xlpm.result, _xlfn.XLOOKUP($B83, Result_Database!$A$2:$A$500, Result_Database!H$2:H$500),
  _xlfn.IFNA(_xlpm.result, "")
)</f>
        <v/>
      </c>
      <c r="J83" t="str">
        <f>_xlfn.LET(
  _xlpm.result, _xlfn.XLOOKUP($B83, Result_Database!$A$2:$A$500, Result_Database!I$2:I$500),
  _xlfn.IFNA(_xlpm.result, "")
)</f>
        <v/>
      </c>
      <c r="K83" t="str">
        <f>_xlfn.LET(
  _xlpm.result, _xlfn.XLOOKUP($B83, Result_Database!$A$2:$A$500, Result_Database!J$2:J$500),
  _xlfn.IFNA(_xlpm.result, "")
)</f>
        <v/>
      </c>
      <c r="L83" t="str">
        <f>_xlfn.LET(
  _xlpm.result, _xlfn.XLOOKUP($B83, Result_Database!$A$2:$A$500, Result_Database!K$2:K$500),
  _xlfn.IFNA(_xlpm.result, "")
)</f>
        <v/>
      </c>
      <c r="M83" t="str">
        <f>_xlfn.LET(
  _xlpm.result, _xlfn.XLOOKUP($B83, Result_Database!$A$2:$A$500, Result_Database!L$2:L$500),
  _xlfn.IFNA(_xlpm.result, "")
)</f>
        <v/>
      </c>
      <c r="N83" t="str">
        <f>_xlfn.LET(
  _xlpm.result, _xlfn.XLOOKUP($B83, Result_Database!$A$2:$A$500, Result_Database!M$2:M$500),
  _xlfn.IFNA(_xlpm.result, "")
)</f>
        <v/>
      </c>
      <c r="O83" t="str">
        <f>_xlfn.LET(
  _xlpm.result, _xlfn.XLOOKUP($B83, Result_Database!$A$2:$A$500, Result_Database!N$2:N$500),
  _xlfn.IFNA(_xlpm.result, "")
)</f>
        <v/>
      </c>
      <c r="P83" t="str">
        <f>_xlfn.LET(
  _xlpm.result, _xlfn.XLOOKUP($B83, Result_Database!$A$2:$A$500, Result_Database!O$2:O$500),
  _xlfn.IFNA(_xlpm.result, "")
)</f>
        <v/>
      </c>
      <c r="Q83" t="str">
        <f>_xlfn.LET(
  _xlpm.result, _xlfn.XLOOKUP($B83, Result_Database!$A$2:$A$500, Result_Database!P$2:P$500),
  _xlfn.IFNA(_xlpm.result, "")
)</f>
        <v/>
      </c>
      <c r="R83" t="str">
        <f>_xlfn.LET(
  _xlpm.result, _xlfn.XLOOKUP($B83, Result_Database!$A$2:$A$500, Result_Database!Q$2:Q$500),
  _xlfn.IFNA(_xlpm.result, "")
)</f>
        <v/>
      </c>
      <c r="S83" t="str">
        <f>_xlfn.LET(
  _xlpm.result, _xlfn.XLOOKUP($B83, Result_Database!$A$2:$A$500, Result_Database!R$2:R$500),
  _xlfn.IFNA(_xlpm.result, "")
)</f>
        <v/>
      </c>
      <c r="T83" t="str">
        <f>_xlfn.LET(
  _xlpm.result, _xlfn.XLOOKUP($B83, Result_Database!$A$2:$A$500, Result_Database!S$2:S$500),
  _xlfn.IFNA(_xlpm.result, "")
)</f>
        <v/>
      </c>
      <c r="U83" t="str">
        <f>_xlfn.LET(
  _xlpm.result, _xlfn.XLOOKUP($B83, Result_Database!$A$2:$A$500, Result_Database!T$2:T$500),
  _xlfn.IFNA(_xlpm.result, "")
)</f>
        <v/>
      </c>
      <c r="V83" t="str">
        <f>_xlfn.LET(
  _xlpm.result, _xlfn.XLOOKUP($B83, Result_Database!$A$2:$A$500, Result_Database!U$2:U$500),
  _xlfn.IFNA(_xlpm.result, "")
)</f>
        <v/>
      </c>
      <c r="W83" t="str">
        <f>_xlfn.LET(
  _xlpm.result, _xlfn.XLOOKUP($B83, Result_Database!$A$2:$A$500, Result_Database!V$2:V$500),
  _xlfn.IFNA(_xlpm.result, "")
)</f>
        <v/>
      </c>
      <c r="X83" t="str">
        <f>_xlfn.LET(
  _xlpm.result, _xlfn.XLOOKUP($B83, Result_Database!$A$2:$A$500, Result_Database!W$2:W$500),
  _xlfn.IFNA(_xlpm.result, "")
)</f>
        <v/>
      </c>
      <c r="Y83" t="str">
        <f>_xlfn.LET(
  _xlpm.result, _xlfn.XLOOKUP($B83, Result_Database!$A$2:$A$500, Result_Database!X$2:X$500),
  _xlfn.IFNA(_xlpm.result, "")
)</f>
        <v/>
      </c>
      <c r="Z83" t="str">
        <f>_xlfn.LET(
  _xlpm.result, _xlfn.XLOOKUP($B83, Result_Database!$A$2:$A$500, Result_Database!Y$2:Y$500),
  _xlfn.IFNA(_xlpm.result, "")
)</f>
        <v/>
      </c>
      <c r="AA83" t="str">
        <f>_xlfn.LET(
  _xlpm.result, _xlfn.XLOOKUP($B83, Result_Database!$A$2:$A$500, Result_Database!Z$2:Z$500),
  _xlfn.IFNA(_xlpm.result, "")
)</f>
        <v/>
      </c>
      <c r="AB83" t="str">
        <f>_xlfn.LET(
  _xlpm.result, _xlfn.XLOOKUP($B83, Result_Database!$A$2:$A$500, Result_Database!AA$2:AA$500),
  _xlfn.IFNA(_xlpm.result, "")
)</f>
        <v/>
      </c>
      <c r="AC83" t="str">
        <f>_xlfn.LET(
  _xlpm.result, _xlfn.XLOOKUP($B83, Result_Database!$A$2:$A$500, Result_Database!AB$2:AB$500),
  _xlfn.IFNA(_xlpm.result, "")
)</f>
        <v/>
      </c>
      <c r="AD83" t="str">
        <f>_xlfn.LET(
  _xlpm.result, _xlfn.XLOOKUP($B83, Result_Database!$A$2:$A$500, Result_Database!AC$2:AC$500),
  _xlfn.IFNA(_xlpm.result, "")
)</f>
        <v/>
      </c>
      <c r="AE83" t="str">
        <f>_xlfn.LET(
  _xlpm.result, _xlfn.XLOOKUP($B83, Result_Database!$A$2:$A$500, Result_Database!AD$2:AD$500),
  _xlfn.IFNA(_xlpm.result, "")
)</f>
        <v/>
      </c>
      <c r="AF83" t="str">
        <f>_xlfn.LET(
  _xlpm.result, _xlfn.XLOOKUP($B83, Result_Database!$A$2:$A$500, Result_Database!AE$2:AE$500),
  _xlfn.IFNA(_xlpm.result, "")
)</f>
        <v/>
      </c>
      <c r="AG83" t="str">
        <f>_xlfn.LET(
  _xlpm.result, _xlfn.XLOOKUP($B83, Result_Database!$A$2:$A$500, Result_Database!AF$2:AF$500),
  _xlfn.IFNA(_xlpm.result, "")
)</f>
        <v/>
      </c>
      <c r="AH83" t="str">
        <f>_xlfn.LET(
  _xlpm.result, _xlfn.XLOOKUP($B83, Result_Database!$A$2:$A$500, Result_Database!AG$2:AG$500),
  _xlfn.IFNA(_xlpm.result, "")
)</f>
        <v/>
      </c>
      <c r="AI83" t="str">
        <f>_xlfn.LET(
  _xlpm.result, _xlfn.XLOOKUP($B83, Result_Database!$A$2:$A$500, Result_Database!AH$2:AH$500),
  _xlfn.IFNA(_xlpm.result, "")
)</f>
        <v/>
      </c>
      <c r="AJ83" t="str">
        <f>_xlfn.LET(
  _xlpm.result, _xlfn.XLOOKUP($B83, Result_Database!$A$2:$A$500, Result_Database!AI$2:AI$500),
  _xlfn.IFNA(_xlpm.result, "")
)</f>
        <v/>
      </c>
      <c r="AK83" t="str">
        <f>_xlfn.LET(
  _xlpm.result, _xlfn.XLOOKUP($B83, Result_Database!$A$2:$A$500, Result_Database!AJ$2:AJ$500),
  _xlfn.IFNA(_xlpm.result, "")
)</f>
        <v/>
      </c>
      <c r="AL83" t="str">
        <f>_xlfn.LET(
  _xlpm.result, _xlfn.XLOOKUP($B83, Result_Database!$A$2:$A$500, Result_Database!AK$2:AK$500),
  _xlfn.IFNA(_xlpm.result, "")
)</f>
        <v/>
      </c>
      <c r="AM8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8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8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8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8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8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8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8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8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83" t="str">
        <f>IF(SUM(Table5[[#This Row],[A1]:[C6]])&lt;&gt;0,SUM(Table5[[#This Row],[A1]:[C6]]),"")</f>
        <v/>
      </c>
      <c r="AW83" t="str">
        <f>IF(SUM(Table5[[#This Row],[D7]:[F9]])=0,"",SUM(Table5[[#This Row],[D7]:[F9]]))</f>
        <v/>
      </c>
      <c r="AX8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8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8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8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8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8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83" t="str">
        <f>IF(COUNTIF(Table5[[#This Row],[English Language]:[Electrical/ Electronics]],"WITHHELD")=0,"",COUNTIF(Table5[[#This Row],[English Language]:[Electrical/ Electronics]],"WITHHELD"))</f>
        <v/>
      </c>
      <c r="BE83" t="str">
        <f>IF(SUM(Table5[[#This Row],[NO OF CREDITS]:[BELOW CREDITS]])=0,"",SUM(Table5[[#This Row],[NO OF CREDITS]:[BELOW CREDITS]]))</f>
        <v/>
      </c>
    </row>
    <row r="84" spans="1:57" x14ac:dyDescent="0.3">
      <c r="A84" t="str">
        <f>IF(B84&lt;&gt;"",COUNTA($B$6:B84),"")</f>
        <v/>
      </c>
      <c r="B84" t="str">
        <f>IF(Result_Database!A80="","",Result_Database!A80)</f>
        <v/>
      </c>
      <c r="C84" t="str">
        <f>_xlfn.LET(
_xlpm.result,_xlfn.XLOOKUP($B84,Result_Database!$A$2:$A$500,Result_Database!$B$2:$B$500),
_xlfn.IFNA(_xlpm.result,"")
)</f>
        <v/>
      </c>
      <c r="D84" t="str">
        <f>_xlfn.LET(
  _xlpm.result, _xlfn.XLOOKUP($B84, Result_Database!$A$2:$A$500, Result_Database!C$2:C$500),
  _xlfn.IFNA(_xlpm.result, "")
)</f>
        <v/>
      </c>
      <c r="E84" t="str">
        <f>_xlfn.LET(
  _xlpm.result, _xlfn.XLOOKUP($B84, Result_Database!$A$2:$A$500, Result_Database!D$2:D$500),
  _xlfn.IFNA(_xlpm.result, "")
)</f>
        <v/>
      </c>
      <c r="F84" t="str">
        <f>_xlfn.LET(
  _xlpm.result, _xlfn.XLOOKUP($B84, Result_Database!$A$2:$A$500, Result_Database!E$2:E$500),
  _xlfn.IFNA(_xlpm.result, "")
)</f>
        <v/>
      </c>
      <c r="G84" t="str">
        <f>_xlfn.LET(
  _xlpm.result, _xlfn.XLOOKUP($B84, Result_Database!$A$2:$A$500, Result_Database!F$2:F$500),
  _xlfn.IFNA(_xlpm.result, "")
)</f>
        <v/>
      </c>
      <c r="H84" t="str">
        <f>_xlfn.LET(
  _xlpm.result, _xlfn.XLOOKUP($B84, Result_Database!$A$2:$A$500, Result_Database!G$2:G$500),
  _xlfn.IFNA(_xlpm.result, "")
)</f>
        <v/>
      </c>
      <c r="I84" t="str">
        <f>_xlfn.LET(
  _xlpm.result, _xlfn.XLOOKUP($B84, Result_Database!$A$2:$A$500, Result_Database!H$2:H$500),
  _xlfn.IFNA(_xlpm.result, "")
)</f>
        <v/>
      </c>
      <c r="J84" t="str">
        <f>_xlfn.LET(
  _xlpm.result, _xlfn.XLOOKUP($B84, Result_Database!$A$2:$A$500, Result_Database!I$2:I$500),
  _xlfn.IFNA(_xlpm.result, "")
)</f>
        <v/>
      </c>
      <c r="K84" t="str">
        <f>_xlfn.LET(
  _xlpm.result, _xlfn.XLOOKUP($B84, Result_Database!$A$2:$A$500, Result_Database!J$2:J$500),
  _xlfn.IFNA(_xlpm.result, "")
)</f>
        <v/>
      </c>
      <c r="L84" t="str">
        <f>_xlfn.LET(
  _xlpm.result, _xlfn.XLOOKUP($B84, Result_Database!$A$2:$A$500, Result_Database!K$2:K$500),
  _xlfn.IFNA(_xlpm.result, "")
)</f>
        <v/>
      </c>
      <c r="M84" t="str">
        <f>_xlfn.LET(
  _xlpm.result, _xlfn.XLOOKUP($B84, Result_Database!$A$2:$A$500, Result_Database!L$2:L$500),
  _xlfn.IFNA(_xlpm.result, "")
)</f>
        <v/>
      </c>
      <c r="N84" t="str">
        <f>_xlfn.LET(
  _xlpm.result, _xlfn.XLOOKUP($B84, Result_Database!$A$2:$A$500, Result_Database!M$2:M$500),
  _xlfn.IFNA(_xlpm.result, "")
)</f>
        <v/>
      </c>
      <c r="O84" t="str">
        <f>_xlfn.LET(
  _xlpm.result, _xlfn.XLOOKUP($B84, Result_Database!$A$2:$A$500, Result_Database!N$2:N$500),
  _xlfn.IFNA(_xlpm.result, "")
)</f>
        <v/>
      </c>
      <c r="P84" t="str">
        <f>_xlfn.LET(
  _xlpm.result, _xlfn.XLOOKUP($B84, Result_Database!$A$2:$A$500, Result_Database!O$2:O$500),
  _xlfn.IFNA(_xlpm.result, "")
)</f>
        <v/>
      </c>
      <c r="Q84" t="str">
        <f>_xlfn.LET(
  _xlpm.result, _xlfn.XLOOKUP($B84, Result_Database!$A$2:$A$500, Result_Database!P$2:P$500),
  _xlfn.IFNA(_xlpm.result, "")
)</f>
        <v/>
      </c>
      <c r="R84" t="str">
        <f>_xlfn.LET(
  _xlpm.result, _xlfn.XLOOKUP($B84, Result_Database!$A$2:$A$500, Result_Database!Q$2:Q$500),
  _xlfn.IFNA(_xlpm.result, "")
)</f>
        <v/>
      </c>
      <c r="S84" t="str">
        <f>_xlfn.LET(
  _xlpm.result, _xlfn.XLOOKUP($B84, Result_Database!$A$2:$A$500, Result_Database!R$2:R$500),
  _xlfn.IFNA(_xlpm.result, "")
)</f>
        <v/>
      </c>
      <c r="T84" t="str">
        <f>_xlfn.LET(
  _xlpm.result, _xlfn.XLOOKUP($B84, Result_Database!$A$2:$A$500, Result_Database!S$2:S$500),
  _xlfn.IFNA(_xlpm.result, "")
)</f>
        <v/>
      </c>
      <c r="U84" t="str">
        <f>_xlfn.LET(
  _xlpm.result, _xlfn.XLOOKUP($B84, Result_Database!$A$2:$A$500, Result_Database!T$2:T$500),
  _xlfn.IFNA(_xlpm.result, "")
)</f>
        <v/>
      </c>
      <c r="V84" t="str">
        <f>_xlfn.LET(
  _xlpm.result, _xlfn.XLOOKUP($B84, Result_Database!$A$2:$A$500, Result_Database!U$2:U$500),
  _xlfn.IFNA(_xlpm.result, "")
)</f>
        <v/>
      </c>
      <c r="W84" t="str">
        <f>_xlfn.LET(
  _xlpm.result, _xlfn.XLOOKUP($B84, Result_Database!$A$2:$A$500, Result_Database!V$2:V$500),
  _xlfn.IFNA(_xlpm.result, "")
)</f>
        <v/>
      </c>
      <c r="X84" t="str">
        <f>_xlfn.LET(
  _xlpm.result, _xlfn.XLOOKUP($B84, Result_Database!$A$2:$A$500, Result_Database!W$2:W$500),
  _xlfn.IFNA(_xlpm.result, "")
)</f>
        <v/>
      </c>
      <c r="Y84" t="str">
        <f>_xlfn.LET(
  _xlpm.result, _xlfn.XLOOKUP($B84, Result_Database!$A$2:$A$500, Result_Database!X$2:X$500),
  _xlfn.IFNA(_xlpm.result, "")
)</f>
        <v/>
      </c>
      <c r="Z84" t="str">
        <f>_xlfn.LET(
  _xlpm.result, _xlfn.XLOOKUP($B84, Result_Database!$A$2:$A$500, Result_Database!Y$2:Y$500),
  _xlfn.IFNA(_xlpm.result, "")
)</f>
        <v/>
      </c>
      <c r="AA84" t="str">
        <f>_xlfn.LET(
  _xlpm.result, _xlfn.XLOOKUP($B84, Result_Database!$A$2:$A$500, Result_Database!Z$2:Z$500),
  _xlfn.IFNA(_xlpm.result, "")
)</f>
        <v/>
      </c>
      <c r="AB84" t="str">
        <f>_xlfn.LET(
  _xlpm.result, _xlfn.XLOOKUP($B84, Result_Database!$A$2:$A$500, Result_Database!AA$2:AA$500),
  _xlfn.IFNA(_xlpm.result, "")
)</f>
        <v/>
      </c>
      <c r="AC84" t="str">
        <f>_xlfn.LET(
  _xlpm.result, _xlfn.XLOOKUP($B84, Result_Database!$A$2:$A$500, Result_Database!AB$2:AB$500),
  _xlfn.IFNA(_xlpm.result, "")
)</f>
        <v/>
      </c>
      <c r="AD84" t="str">
        <f>_xlfn.LET(
  _xlpm.result, _xlfn.XLOOKUP($B84, Result_Database!$A$2:$A$500, Result_Database!AC$2:AC$500),
  _xlfn.IFNA(_xlpm.result, "")
)</f>
        <v/>
      </c>
      <c r="AE84" t="str">
        <f>_xlfn.LET(
  _xlpm.result, _xlfn.XLOOKUP($B84, Result_Database!$A$2:$A$500, Result_Database!AD$2:AD$500),
  _xlfn.IFNA(_xlpm.result, "")
)</f>
        <v/>
      </c>
      <c r="AF84" t="str">
        <f>_xlfn.LET(
  _xlpm.result, _xlfn.XLOOKUP($B84, Result_Database!$A$2:$A$500, Result_Database!AE$2:AE$500),
  _xlfn.IFNA(_xlpm.result, "")
)</f>
        <v/>
      </c>
      <c r="AG84" t="str">
        <f>_xlfn.LET(
  _xlpm.result, _xlfn.XLOOKUP($B84, Result_Database!$A$2:$A$500, Result_Database!AF$2:AF$500),
  _xlfn.IFNA(_xlpm.result, "")
)</f>
        <v/>
      </c>
      <c r="AH84" t="str">
        <f>_xlfn.LET(
  _xlpm.result, _xlfn.XLOOKUP($B84, Result_Database!$A$2:$A$500, Result_Database!AG$2:AG$500),
  _xlfn.IFNA(_xlpm.result, "")
)</f>
        <v/>
      </c>
      <c r="AI84" t="str">
        <f>_xlfn.LET(
  _xlpm.result, _xlfn.XLOOKUP($B84, Result_Database!$A$2:$A$500, Result_Database!AH$2:AH$500),
  _xlfn.IFNA(_xlpm.result, "")
)</f>
        <v/>
      </c>
      <c r="AJ84" t="str">
        <f>_xlfn.LET(
  _xlpm.result, _xlfn.XLOOKUP($B84, Result_Database!$A$2:$A$500, Result_Database!AI$2:AI$500),
  _xlfn.IFNA(_xlpm.result, "")
)</f>
        <v/>
      </c>
      <c r="AK84" t="str">
        <f>_xlfn.LET(
  _xlpm.result, _xlfn.XLOOKUP($B84, Result_Database!$A$2:$A$500, Result_Database!AJ$2:AJ$500),
  _xlfn.IFNA(_xlpm.result, "")
)</f>
        <v/>
      </c>
      <c r="AL84" t="str">
        <f>_xlfn.LET(
  _xlpm.result, _xlfn.XLOOKUP($B84, Result_Database!$A$2:$A$500, Result_Database!AK$2:AK$500),
  _xlfn.IFNA(_xlpm.result, "")
)</f>
        <v/>
      </c>
      <c r="AM8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8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8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8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8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8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8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8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8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84" t="str">
        <f>IF(SUM(Table5[[#This Row],[A1]:[C6]])&lt;&gt;0,SUM(Table5[[#This Row],[A1]:[C6]]),"")</f>
        <v/>
      </c>
      <c r="AW84" t="str">
        <f>IF(SUM(Table5[[#This Row],[D7]:[F9]])=0,"",SUM(Table5[[#This Row],[D7]:[F9]]))</f>
        <v/>
      </c>
      <c r="AX8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8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8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8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8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8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84" t="str">
        <f>IF(COUNTIF(Table5[[#This Row],[English Language]:[Electrical/ Electronics]],"WITHHELD")=0,"",COUNTIF(Table5[[#This Row],[English Language]:[Electrical/ Electronics]],"WITHHELD"))</f>
        <v/>
      </c>
      <c r="BE84" t="str">
        <f>IF(SUM(Table5[[#This Row],[NO OF CREDITS]:[BELOW CREDITS]])=0,"",SUM(Table5[[#This Row],[NO OF CREDITS]:[BELOW CREDITS]]))</f>
        <v/>
      </c>
    </row>
    <row r="85" spans="1:57" x14ac:dyDescent="0.3">
      <c r="A85" t="str">
        <f>IF(B85&lt;&gt;"",COUNTA($B$6:B85),"")</f>
        <v/>
      </c>
      <c r="B85" t="str">
        <f>IF(Result_Database!A81="","",Result_Database!A81)</f>
        <v/>
      </c>
      <c r="C85" t="str">
        <f>_xlfn.LET(
_xlpm.result,_xlfn.XLOOKUP($B85,Result_Database!$A$2:$A$500,Result_Database!$B$2:$B$500),
_xlfn.IFNA(_xlpm.result,"")
)</f>
        <v/>
      </c>
      <c r="D85" t="str">
        <f>_xlfn.LET(
  _xlpm.result, _xlfn.XLOOKUP($B85, Result_Database!$A$2:$A$500, Result_Database!C$2:C$500),
  _xlfn.IFNA(_xlpm.result, "")
)</f>
        <v/>
      </c>
      <c r="E85" t="str">
        <f>_xlfn.LET(
  _xlpm.result, _xlfn.XLOOKUP($B85, Result_Database!$A$2:$A$500, Result_Database!D$2:D$500),
  _xlfn.IFNA(_xlpm.result, "")
)</f>
        <v/>
      </c>
      <c r="F85" t="str">
        <f>_xlfn.LET(
  _xlpm.result, _xlfn.XLOOKUP($B85, Result_Database!$A$2:$A$500, Result_Database!E$2:E$500),
  _xlfn.IFNA(_xlpm.result, "")
)</f>
        <v/>
      </c>
      <c r="G85" t="str">
        <f>_xlfn.LET(
  _xlpm.result, _xlfn.XLOOKUP($B85, Result_Database!$A$2:$A$500, Result_Database!F$2:F$500),
  _xlfn.IFNA(_xlpm.result, "")
)</f>
        <v/>
      </c>
      <c r="H85" t="str">
        <f>_xlfn.LET(
  _xlpm.result, _xlfn.XLOOKUP($B85, Result_Database!$A$2:$A$500, Result_Database!G$2:G$500),
  _xlfn.IFNA(_xlpm.result, "")
)</f>
        <v/>
      </c>
      <c r="I85" t="str">
        <f>_xlfn.LET(
  _xlpm.result, _xlfn.XLOOKUP($B85, Result_Database!$A$2:$A$500, Result_Database!H$2:H$500),
  _xlfn.IFNA(_xlpm.result, "")
)</f>
        <v/>
      </c>
      <c r="J85" t="str">
        <f>_xlfn.LET(
  _xlpm.result, _xlfn.XLOOKUP($B85, Result_Database!$A$2:$A$500, Result_Database!I$2:I$500),
  _xlfn.IFNA(_xlpm.result, "")
)</f>
        <v/>
      </c>
      <c r="K85" t="str">
        <f>_xlfn.LET(
  _xlpm.result, _xlfn.XLOOKUP($B85, Result_Database!$A$2:$A$500, Result_Database!J$2:J$500),
  _xlfn.IFNA(_xlpm.result, "")
)</f>
        <v/>
      </c>
      <c r="L85" t="str">
        <f>_xlfn.LET(
  _xlpm.result, _xlfn.XLOOKUP($B85, Result_Database!$A$2:$A$500, Result_Database!K$2:K$500),
  _xlfn.IFNA(_xlpm.result, "")
)</f>
        <v/>
      </c>
      <c r="M85" t="str">
        <f>_xlfn.LET(
  _xlpm.result, _xlfn.XLOOKUP($B85, Result_Database!$A$2:$A$500, Result_Database!L$2:L$500),
  _xlfn.IFNA(_xlpm.result, "")
)</f>
        <v/>
      </c>
      <c r="N85" t="str">
        <f>_xlfn.LET(
  _xlpm.result, _xlfn.XLOOKUP($B85, Result_Database!$A$2:$A$500, Result_Database!M$2:M$500),
  _xlfn.IFNA(_xlpm.result, "")
)</f>
        <v/>
      </c>
      <c r="O85" t="str">
        <f>_xlfn.LET(
  _xlpm.result, _xlfn.XLOOKUP($B85, Result_Database!$A$2:$A$500, Result_Database!N$2:N$500),
  _xlfn.IFNA(_xlpm.result, "")
)</f>
        <v/>
      </c>
      <c r="P85" t="str">
        <f>_xlfn.LET(
  _xlpm.result, _xlfn.XLOOKUP($B85, Result_Database!$A$2:$A$500, Result_Database!O$2:O$500),
  _xlfn.IFNA(_xlpm.result, "")
)</f>
        <v/>
      </c>
      <c r="Q85" t="str">
        <f>_xlfn.LET(
  _xlpm.result, _xlfn.XLOOKUP($B85, Result_Database!$A$2:$A$500, Result_Database!P$2:P$500),
  _xlfn.IFNA(_xlpm.result, "")
)</f>
        <v/>
      </c>
      <c r="R85" t="str">
        <f>_xlfn.LET(
  _xlpm.result, _xlfn.XLOOKUP($B85, Result_Database!$A$2:$A$500, Result_Database!Q$2:Q$500),
  _xlfn.IFNA(_xlpm.result, "")
)</f>
        <v/>
      </c>
      <c r="S85" t="str">
        <f>_xlfn.LET(
  _xlpm.result, _xlfn.XLOOKUP($B85, Result_Database!$A$2:$A$500, Result_Database!R$2:R$500),
  _xlfn.IFNA(_xlpm.result, "")
)</f>
        <v/>
      </c>
      <c r="T85" t="str">
        <f>_xlfn.LET(
  _xlpm.result, _xlfn.XLOOKUP($B85, Result_Database!$A$2:$A$500, Result_Database!S$2:S$500),
  _xlfn.IFNA(_xlpm.result, "")
)</f>
        <v/>
      </c>
      <c r="U85" t="str">
        <f>_xlfn.LET(
  _xlpm.result, _xlfn.XLOOKUP($B85, Result_Database!$A$2:$A$500, Result_Database!T$2:T$500),
  _xlfn.IFNA(_xlpm.result, "")
)</f>
        <v/>
      </c>
      <c r="V85" t="str">
        <f>_xlfn.LET(
  _xlpm.result, _xlfn.XLOOKUP($B85, Result_Database!$A$2:$A$500, Result_Database!U$2:U$500),
  _xlfn.IFNA(_xlpm.result, "")
)</f>
        <v/>
      </c>
      <c r="W85" t="str">
        <f>_xlfn.LET(
  _xlpm.result, _xlfn.XLOOKUP($B85, Result_Database!$A$2:$A$500, Result_Database!V$2:V$500),
  _xlfn.IFNA(_xlpm.result, "")
)</f>
        <v/>
      </c>
      <c r="X85" t="str">
        <f>_xlfn.LET(
  _xlpm.result, _xlfn.XLOOKUP($B85, Result_Database!$A$2:$A$500, Result_Database!W$2:W$500),
  _xlfn.IFNA(_xlpm.result, "")
)</f>
        <v/>
      </c>
      <c r="Y85" t="str">
        <f>_xlfn.LET(
  _xlpm.result, _xlfn.XLOOKUP($B85, Result_Database!$A$2:$A$500, Result_Database!X$2:X$500),
  _xlfn.IFNA(_xlpm.result, "")
)</f>
        <v/>
      </c>
      <c r="Z85" t="str">
        <f>_xlfn.LET(
  _xlpm.result, _xlfn.XLOOKUP($B85, Result_Database!$A$2:$A$500, Result_Database!Y$2:Y$500),
  _xlfn.IFNA(_xlpm.result, "")
)</f>
        <v/>
      </c>
      <c r="AA85" t="str">
        <f>_xlfn.LET(
  _xlpm.result, _xlfn.XLOOKUP($B85, Result_Database!$A$2:$A$500, Result_Database!Z$2:Z$500),
  _xlfn.IFNA(_xlpm.result, "")
)</f>
        <v/>
      </c>
      <c r="AB85" t="str">
        <f>_xlfn.LET(
  _xlpm.result, _xlfn.XLOOKUP($B85, Result_Database!$A$2:$A$500, Result_Database!AA$2:AA$500),
  _xlfn.IFNA(_xlpm.result, "")
)</f>
        <v/>
      </c>
      <c r="AC85" t="str">
        <f>_xlfn.LET(
  _xlpm.result, _xlfn.XLOOKUP($B85, Result_Database!$A$2:$A$500, Result_Database!AB$2:AB$500),
  _xlfn.IFNA(_xlpm.result, "")
)</f>
        <v/>
      </c>
      <c r="AD85" t="str">
        <f>_xlfn.LET(
  _xlpm.result, _xlfn.XLOOKUP($B85, Result_Database!$A$2:$A$500, Result_Database!AC$2:AC$500),
  _xlfn.IFNA(_xlpm.result, "")
)</f>
        <v/>
      </c>
      <c r="AE85" t="str">
        <f>_xlfn.LET(
  _xlpm.result, _xlfn.XLOOKUP($B85, Result_Database!$A$2:$A$500, Result_Database!AD$2:AD$500),
  _xlfn.IFNA(_xlpm.result, "")
)</f>
        <v/>
      </c>
      <c r="AF85" t="str">
        <f>_xlfn.LET(
  _xlpm.result, _xlfn.XLOOKUP($B85, Result_Database!$A$2:$A$500, Result_Database!AE$2:AE$500),
  _xlfn.IFNA(_xlpm.result, "")
)</f>
        <v/>
      </c>
      <c r="AG85" t="str">
        <f>_xlfn.LET(
  _xlpm.result, _xlfn.XLOOKUP($B85, Result_Database!$A$2:$A$500, Result_Database!AF$2:AF$500),
  _xlfn.IFNA(_xlpm.result, "")
)</f>
        <v/>
      </c>
      <c r="AH85" t="str">
        <f>_xlfn.LET(
  _xlpm.result, _xlfn.XLOOKUP($B85, Result_Database!$A$2:$A$500, Result_Database!AG$2:AG$500),
  _xlfn.IFNA(_xlpm.result, "")
)</f>
        <v/>
      </c>
      <c r="AI85" t="str">
        <f>_xlfn.LET(
  _xlpm.result, _xlfn.XLOOKUP($B85, Result_Database!$A$2:$A$500, Result_Database!AH$2:AH$500),
  _xlfn.IFNA(_xlpm.result, "")
)</f>
        <v/>
      </c>
      <c r="AJ85" t="str">
        <f>_xlfn.LET(
  _xlpm.result, _xlfn.XLOOKUP($B85, Result_Database!$A$2:$A$500, Result_Database!AI$2:AI$500),
  _xlfn.IFNA(_xlpm.result, "")
)</f>
        <v/>
      </c>
      <c r="AK85" t="str">
        <f>_xlfn.LET(
  _xlpm.result, _xlfn.XLOOKUP($B85, Result_Database!$A$2:$A$500, Result_Database!AJ$2:AJ$500),
  _xlfn.IFNA(_xlpm.result, "")
)</f>
        <v/>
      </c>
      <c r="AL85" t="str">
        <f>_xlfn.LET(
  _xlpm.result, _xlfn.XLOOKUP($B85, Result_Database!$A$2:$A$500, Result_Database!AK$2:AK$500),
  _xlfn.IFNA(_xlpm.result, "")
)</f>
        <v/>
      </c>
      <c r="AM8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8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8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8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8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8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8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8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8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85" t="str">
        <f>IF(SUM(Table5[[#This Row],[A1]:[C6]])&lt;&gt;0,SUM(Table5[[#This Row],[A1]:[C6]]),"")</f>
        <v/>
      </c>
      <c r="AW85" t="str">
        <f>IF(SUM(Table5[[#This Row],[D7]:[F9]])=0,"",SUM(Table5[[#This Row],[D7]:[F9]]))</f>
        <v/>
      </c>
      <c r="AX8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8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8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8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8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8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85" t="str">
        <f>IF(COUNTIF(Table5[[#This Row],[English Language]:[Electrical/ Electronics]],"WITHHELD")=0,"",COUNTIF(Table5[[#This Row],[English Language]:[Electrical/ Electronics]],"WITHHELD"))</f>
        <v/>
      </c>
      <c r="BE85" t="str">
        <f>IF(SUM(Table5[[#This Row],[NO OF CREDITS]:[BELOW CREDITS]])=0,"",SUM(Table5[[#This Row],[NO OF CREDITS]:[BELOW CREDITS]]))</f>
        <v/>
      </c>
    </row>
    <row r="86" spans="1:57" x14ac:dyDescent="0.3">
      <c r="A86" t="str">
        <f>IF(B86&lt;&gt;"",COUNTA($B$6:B86),"")</f>
        <v/>
      </c>
      <c r="B86" t="str">
        <f>IF(Result_Database!A82="","",Result_Database!A82)</f>
        <v/>
      </c>
      <c r="C86" t="str">
        <f>_xlfn.LET(
_xlpm.result,_xlfn.XLOOKUP($B86,Result_Database!$A$2:$A$500,Result_Database!$B$2:$B$500),
_xlfn.IFNA(_xlpm.result,"")
)</f>
        <v/>
      </c>
      <c r="D86" t="str">
        <f>_xlfn.LET(
  _xlpm.result, _xlfn.XLOOKUP($B86, Result_Database!$A$2:$A$500, Result_Database!C$2:C$500),
  _xlfn.IFNA(_xlpm.result, "")
)</f>
        <v/>
      </c>
      <c r="E86" t="str">
        <f>_xlfn.LET(
  _xlpm.result, _xlfn.XLOOKUP($B86, Result_Database!$A$2:$A$500, Result_Database!D$2:D$500),
  _xlfn.IFNA(_xlpm.result, "")
)</f>
        <v/>
      </c>
      <c r="F86" t="str">
        <f>_xlfn.LET(
  _xlpm.result, _xlfn.XLOOKUP($B86, Result_Database!$A$2:$A$500, Result_Database!E$2:E$500),
  _xlfn.IFNA(_xlpm.result, "")
)</f>
        <v/>
      </c>
      <c r="G86" t="str">
        <f>_xlfn.LET(
  _xlpm.result, _xlfn.XLOOKUP($B86, Result_Database!$A$2:$A$500, Result_Database!F$2:F$500),
  _xlfn.IFNA(_xlpm.result, "")
)</f>
        <v/>
      </c>
      <c r="H86" t="str">
        <f>_xlfn.LET(
  _xlpm.result, _xlfn.XLOOKUP($B86, Result_Database!$A$2:$A$500, Result_Database!G$2:G$500),
  _xlfn.IFNA(_xlpm.result, "")
)</f>
        <v/>
      </c>
      <c r="I86" t="str">
        <f>_xlfn.LET(
  _xlpm.result, _xlfn.XLOOKUP($B86, Result_Database!$A$2:$A$500, Result_Database!H$2:H$500),
  _xlfn.IFNA(_xlpm.result, "")
)</f>
        <v/>
      </c>
      <c r="J86" t="str">
        <f>_xlfn.LET(
  _xlpm.result, _xlfn.XLOOKUP($B86, Result_Database!$A$2:$A$500, Result_Database!I$2:I$500),
  _xlfn.IFNA(_xlpm.result, "")
)</f>
        <v/>
      </c>
      <c r="K86" t="str">
        <f>_xlfn.LET(
  _xlpm.result, _xlfn.XLOOKUP($B86, Result_Database!$A$2:$A$500, Result_Database!J$2:J$500),
  _xlfn.IFNA(_xlpm.result, "")
)</f>
        <v/>
      </c>
      <c r="L86" t="str">
        <f>_xlfn.LET(
  _xlpm.result, _xlfn.XLOOKUP($B86, Result_Database!$A$2:$A$500, Result_Database!K$2:K$500),
  _xlfn.IFNA(_xlpm.result, "")
)</f>
        <v/>
      </c>
      <c r="M86" t="str">
        <f>_xlfn.LET(
  _xlpm.result, _xlfn.XLOOKUP($B86, Result_Database!$A$2:$A$500, Result_Database!L$2:L$500),
  _xlfn.IFNA(_xlpm.result, "")
)</f>
        <v/>
      </c>
      <c r="N86" t="str">
        <f>_xlfn.LET(
  _xlpm.result, _xlfn.XLOOKUP($B86, Result_Database!$A$2:$A$500, Result_Database!M$2:M$500),
  _xlfn.IFNA(_xlpm.result, "")
)</f>
        <v/>
      </c>
      <c r="O86" t="str">
        <f>_xlfn.LET(
  _xlpm.result, _xlfn.XLOOKUP($B86, Result_Database!$A$2:$A$500, Result_Database!N$2:N$500),
  _xlfn.IFNA(_xlpm.result, "")
)</f>
        <v/>
      </c>
      <c r="P86" t="str">
        <f>_xlfn.LET(
  _xlpm.result, _xlfn.XLOOKUP($B86, Result_Database!$A$2:$A$500, Result_Database!O$2:O$500),
  _xlfn.IFNA(_xlpm.result, "")
)</f>
        <v/>
      </c>
      <c r="Q86" t="str">
        <f>_xlfn.LET(
  _xlpm.result, _xlfn.XLOOKUP($B86, Result_Database!$A$2:$A$500, Result_Database!P$2:P$500),
  _xlfn.IFNA(_xlpm.result, "")
)</f>
        <v/>
      </c>
      <c r="R86" t="str">
        <f>_xlfn.LET(
  _xlpm.result, _xlfn.XLOOKUP($B86, Result_Database!$A$2:$A$500, Result_Database!Q$2:Q$500),
  _xlfn.IFNA(_xlpm.result, "")
)</f>
        <v/>
      </c>
      <c r="S86" t="str">
        <f>_xlfn.LET(
  _xlpm.result, _xlfn.XLOOKUP($B86, Result_Database!$A$2:$A$500, Result_Database!R$2:R$500),
  _xlfn.IFNA(_xlpm.result, "")
)</f>
        <v/>
      </c>
      <c r="T86" t="str">
        <f>_xlfn.LET(
  _xlpm.result, _xlfn.XLOOKUP($B86, Result_Database!$A$2:$A$500, Result_Database!S$2:S$500),
  _xlfn.IFNA(_xlpm.result, "")
)</f>
        <v/>
      </c>
      <c r="U86" t="str">
        <f>_xlfn.LET(
  _xlpm.result, _xlfn.XLOOKUP($B86, Result_Database!$A$2:$A$500, Result_Database!T$2:T$500),
  _xlfn.IFNA(_xlpm.result, "")
)</f>
        <v/>
      </c>
      <c r="V86" t="str">
        <f>_xlfn.LET(
  _xlpm.result, _xlfn.XLOOKUP($B86, Result_Database!$A$2:$A$500, Result_Database!U$2:U$500),
  _xlfn.IFNA(_xlpm.result, "")
)</f>
        <v/>
      </c>
      <c r="W86" t="str">
        <f>_xlfn.LET(
  _xlpm.result, _xlfn.XLOOKUP($B86, Result_Database!$A$2:$A$500, Result_Database!V$2:V$500),
  _xlfn.IFNA(_xlpm.result, "")
)</f>
        <v/>
      </c>
      <c r="X86" t="str">
        <f>_xlfn.LET(
  _xlpm.result, _xlfn.XLOOKUP($B86, Result_Database!$A$2:$A$500, Result_Database!W$2:W$500),
  _xlfn.IFNA(_xlpm.result, "")
)</f>
        <v/>
      </c>
      <c r="Y86" t="str">
        <f>_xlfn.LET(
  _xlpm.result, _xlfn.XLOOKUP($B86, Result_Database!$A$2:$A$500, Result_Database!X$2:X$500),
  _xlfn.IFNA(_xlpm.result, "")
)</f>
        <v/>
      </c>
      <c r="Z86" t="str">
        <f>_xlfn.LET(
  _xlpm.result, _xlfn.XLOOKUP($B86, Result_Database!$A$2:$A$500, Result_Database!Y$2:Y$500),
  _xlfn.IFNA(_xlpm.result, "")
)</f>
        <v/>
      </c>
      <c r="AA86" t="str">
        <f>_xlfn.LET(
  _xlpm.result, _xlfn.XLOOKUP($B86, Result_Database!$A$2:$A$500, Result_Database!Z$2:Z$500),
  _xlfn.IFNA(_xlpm.result, "")
)</f>
        <v/>
      </c>
      <c r="AB86" t="str">
        <f>_xlfn.LET(
  _xlpm.result, _xlfn.XLOOKUP($B86, Result_Database!$A$2:$A$500, Result_Database!AA$2:AA$500),
  _xlfn.IFNA(_xlpm.result, "")
)</f>
        <v/>
      </c>
      <c r="AC86" t="str">
        <f>_xlfn.LET(
  _xlpm.result, _xlfn.XLOOKUP($B86, Result_Database!$A$2:$A$500, Result_Database!AB$2:AB$500),
  _xlfn.IFNA(_xlpm.result, "")
)</f>
        <v/>
      </c>
      <c r="AD86" t="str">
        <f>_xlfn.LET(
  _xlpm.result, _xlfn.XLOOKUP($B86, Result_Database!$A$2:$A$500, Result_Database!AC$2:AC$500),
  _xlfn.IFNA(_xlpm.result, "")
)</f>
        <v/>
      </c>
      <c r="AE86" t="str">
        <f>_xlfn.LET(
  _xlpm.result, _xlfn.XLOOKUP($B86, Result_Database!$A$2:$A$500, Result_Database!AD$2:AD$500),
  _xlfn.IFNA(_xlpm.result, "")
)</f>
        <v/>
      </c>
      <c r="AF86" t="str">
        <f>_xlfn.LET(
  _xlpm.result, _xlfn.XLOOKUP($B86, Result_Database!$A$2:$A$500, Result_Database!AE$2:AE$500),
  _xlfn.IFNA(_xlpm.result, "")
)</f>
        <v/>
      </c>
      <c r="AG86" t="str">
        <f>_xlfn.LET(
  _xlpm.result, _xlfn.XLOOKUP($B86, Result_Database!$A$2:$A$500, Result_Database!AF$2:AF$500),
  _xlfn.IFNA(_xlpm.result, "")
)</f>
        <v/>
      </c>
      <c r="AH86" t="str">
        <f>_xlfn.LET(
  _xlpm.result, _xlfn.XLOOKUP($B86, Result_Database!$A$2:$A$500, Result_Database!AG$2:AG$500),
  _xlfn.IFNA(_xlpm.result, "")
)</f>
        <v/>
      </c>
      <c r="AI86" t="str">
        <f>_xlfn.LET(
  _xlpm.result, _xlfn.XLOOKUP($B86, Result_Database!$A$2:$A$500, Result_Database!AH$2:AH$500),
  _xlfn.IFNA(_xlpm.result, "")
)</f>
        <v/>
      </c>
      <c r="AJ86" t="str">
        <f>_xlfn.LET(
  _xlpm.result, _xlfn.XLOOKUP($B86, Result_Database!$A$2:$A$500, Result_Database!AI$2:AI$500),
  _xlfn.IFNA(_xlpm.result, "")
)</f>
        <v/>
      </c>
      <c r="AK86" t="str">
        <f>_xlfn.LET(
  _xlpm.result, _xlfn.XLOOKUP($B86, Result_Database!$A$2:$A$500, Result_Database!AJ$2:AJ$500),
  _xlfn.IFNA(_xlpm.result, "")
)</f>
        <v/>
      </c>
      <c r="AL86" t="str">
        <f>_xlfn.LET(
  _xlpm.result, _xlfn.XLOOKUP($B86, Result_Database!$A$2:$A$500, Result_Database!AK$2:AK$500),
  _xlfn.IFNA(_xlpm.result, "")
)</f>
        <v/>
      </c>
      <c r="AM8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8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8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8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8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8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8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8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8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86" t="str">
        <f>IF(SUM(Table5[[#This Row],[A1]:[C6]])&lt;&gt;0,SUM(Table5[[#This Row],[A1]:[C6]]),"")</f>
        <v/>
      </c>
      <c r="AW86" t="str">
        <f>IF(SUM(Table5[[#This Row],[D7]:[F9]])=0,"",SUM(Table5[[#This Row],[D7]:[F9]]))</f>
        <v/>
      </c>
      <c r="AX8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8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8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8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8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8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86" t="str">
        <f>IF(COUNTIF(Table5[[#This Row],[English Language]:[Electrical/ Electronics]],"WITHHELD")=0,"",COUNTIF(Table5[[#This Row],[English Language]:[Electrical/ Electronics]],"WITHHELD"))</f>
        <v/>
      </c>
      <c r="BE86" t="str">
        <f>IF(SUM(Table5[[#This Row],[NO OF CREDITS]:[BELOW CREDITS]])=0,"",SUM(Table5[[#This Row],[NO OF CREDITS]:[BELOW CREDITS]]))</f>
        <v/>
      </c>
    </row>
    <row r="87" spans="1:57" x14ac:dyDescent="0.3">
      <c r="A87" t="str">
        <f>IF(B87&lt;&gt;"",COUNTA($B$6:B87),"")</f>
        <v/>
      </c>
      <c r="B87" t="str">
        <f>IF(Result_Database!A83="","",Result_Database!A83)</f>
        <v/>
      </c>
      <c r="C87" t="str">
        <f>_xlfn.LET(
_xlpm.result,_xlfn.XLOOKUP($B87,Result_Database!$A$2:$A$500,Result_Database!$B$2:$B$500),
_xlfn.IFNA(_xlpm.result,"")
)</f>
        <v/>
      </c>
      <c r="D87" t="str">
        <f>_xlfn.LET(
  _xlpm.result, _xlfn.XLOOKUP($B87, Result_Database!$A$2:$A$500, Result_Database!C$2:C$500),
  _xlfn.IFNA(_xlpm.result, "")
)</f>
        <v/>
      </c>
      <c r="E87" t="str">
        <f>_xlfn.LET(
  _xlpm.result, _xlfn.XLOOKUP($B87, Result_Database!$A$2:$A$500, Result_Database!D$2:D$500),
  _xlfn.IFNA(_xlpm.result, "")
)</f>
        <v/>
      </c>
      <c r="F87" t="str">
        <f>_xlfn.LET(
  _xlpm.result, _xlfn.XLOOKUP($B87, Result_Database!$A$2:$A$500, Result_Database!E$2:E$500),
  _xlfn.IFNA(_xlpm.result, "")
)</f>
        <v/>
      </c>
      <c r="G87" t="str">
        <f>_xlfn.LET(
  _xlpm.result, _xlfn.XLOOKUP($B87, Result_Database!$A$2:$A$500, Result_Database!F$2:F$500),
  _xlfn.IFNA(_xlpm.result, "")
)</f>
        <v/>
      </c>
      <c r="H87" t="str">
        <f>_xlfn.LET(
  _xlpm.result, _xlfn.XLOOKUP($B87, Result_Database!$A$2:$A$500, Result_Database!G$2:G$500),
  _xlfn.IFNA(_xlpm.result, "")
)</f>
        <v/>
      </c>
      <c r="I87" t="str">
        <f>_xlfn.LET(
  _xlpm.result, _xlfn.XLOOKUP($B87, Result_Database!$A$2:$A$500, Result_Database!H$2:H$500),
  _xlfn.IFNA(_xlpm.result, "")
)</f>
        <v/>
      </c>
      <c r="J87" t="str">
        <f>_xlfn.LET(
  _xlpm.result, _xlfn.XLOOKUP($B87, Result_Database!$A$2:$A$500, Result_Database!I$2:I$500),
  _xlfn.IFNA(_xlpm.result, "")
)</f>
        <v/>
      </c>
      <c r="K87" t="str">
        <f>_xlfn.LET(
  _xlpm.result, _xlfn.XLOOKUP($B87, Result_Database!$A$2:$A$500, Result_Database!J$2:J$500),
  _xlfn.IFNA(_xlpm.result, "")
)</f>
        <v/>
      </c>
      <c r="L87" t="str">
        <f>_xlfn.LET(
  _xlpm.result, _xlfn.XLOOKUP($B87, Result_Database!$A$2:$A$500, Result_Database!K$2:K$500),
  _xlfn.IFNA(_xlpm.result, "")
)</f>
        <v/>
      </c>
      <c r="M87" t="str">
        <f>_xlfn.LET(
  _xlpm.result, _xlfn.XLOOKUP($B87, Result_Database!$A$2:$A$500, Result_Database!L$2:L$500),
  _xlfn.IFNA(_xlpm.result, "")
)</f>
        <v/>
      </c>
      <c r="N87" t="str">
        <f>_xlfn.LET(
  _xlpm.result, _xlfn.XLOOKUP($B87, Result_Database!$A$2:$A$500, Result_Database!M$2:M$500),
  _xlfn.IFNA(_xlpm.result, "")
)</f>
        <v/>
      </c>
      <c r="O87" t="str">
        <f>_xlfn.LET(
  _xlpm.result, _xlfn.XLOOKUP($B87, Result_Database!$A$2:$A$500, Result_Database!N$2:N$500),
  _xlfn.IFNA(_xlpm.result, "")
)</f>
        <v/>
      </c>
      <c r="P87" t="str">
        <f>_xlfn.LET(
  _xlpm.result, _xlfn.XLOOKUP($B87, Result_Database!$A$2:$A$500, Result_Database!O$2:O$500),
  _xlfn.IFNA(_xlpm.result, "")
)</f>
        <v/>
      </c>
      <c r="Q87" t="str">
        <f>_xlfn.LET(
  _xlpm.result, _xlfn.XLOOKUP($B87, Result_Database!$A$2:$A$500, Result_Database!P$2:P$500),
  _xlfn.IFNA(_xlpm.result, "")
)</f>
        <v/>
      </c>
      <c r="R87" t="str">
        <f>_xlfn.LET(
  _xlpm.result, _xlfn.XLOOKUP($B87, Result_Database!$A$2:$A$500, Result_Database!Q$2:Q$500),
  _xlfn.IFNA(_xlpm.result, "")
)</f>
        <v/>
      </c>
      <c r="S87" t="str">
        <f>_xlfn.LET(
  _xlpm.result, _xlfn.XLOOKUP($B87, Result_Database!$A$2:$A$500, Result_Database!R$2:R$500),
  _xlfn.IFNA(_xlpm.result, "")
)</f>
        <v/>
      </c>
      <c r="T87" t="str">
        <f>_xlfn.LET(
  _xlpm.result, _xlfn.XLOOKUP($B87, Result_Database!$A$2:$A$500, Result_Database!S$2:S$500),
  _xlfn.IFNA(_xlpm.result, "")
)</f>
        <v/>
      </c>
      <c r="U87" t="str">
        <f>_xlfn.LET(
  _xlpm.result, _xlfn.XLOOKUP($B87, Result_Database!$A$2:$A$500, Result_Database!T$2:T$500),
  _xlfn.IFNA(_xlpm.result, "")
)</f>
        <v/>
      </c>
      <c r="V87" t="str">
        <f>_xlfn.LET(
  _xlpm.result, _xlfn.XLOOKUP($B87, Result_Database!$A$2:$A$500, Result_Database!U$2:U$500),
  _xlfn.IFNA(_xlpm.result, "")
)</f>
        <v/>
      </c>
      <c r="W87" t="str">
        <f>_xlfn.LET(
  _xlpm.result, _xlfn.XLOOKUP($B87, Result_Database!$A$2:$A$500, Result_Database!V$2:V$500),
  _xlfn.IFNA(_xlpm.result, "")
)</f>
        <v/>
      </c>
      <c r="X87" t="str">
        <f>_xlfn.LET(
  _xlpm.result, _xlfn.XLOOKUP($B87, Result_Database!$A$2:$A$500, Result_Database!W$2:W$500),
  _xlfn.IFNA(_xlpm.result, "")
)</f>
        <v/>
      </c>
      <c r="Y87" t="str">
        <f>_xlfn.LET(
  _xlpm.result, _xlfn.XLOOKUP($B87, Result_Database!$A$2:$A$500, Result_Database!X$2:X$500),
  _xlfn.IFNA(_xlpm.result, "")
)</f>
        <v/>
      </c>
      <c r="Z87" t="str">
        <f>_xlfn.LET(
  _xlpm.result, _xlfn.XLOOKUP($B87, Result_Database!$A$2:$A$500, Result_Database!Y$2:Y$500),
  _xlfn.IFNA(_xlpm.result, "")
)</f>
        <v/>
      </c>
      <c r="AA87" t="str">
        <f>_xlfn.LET(
  _xlpm.result, _xlfn.XLOOKUP($B87, Result_Database!$A$2:$A$500, Result_Database!Z$2:Z$500),
  _xlfn.IFNA(_xlpm.result, "")
)</f>
        <v/>
      </c>
      <c r="AB87" t="str">
        <f>_xlfn.LET(
  _xlpm.result, _xlfn.XLOOKUP($B87, Result_Database!$A$2:$A$500, Result_Database!AA$2:AA$500),
  _xlfn.IFNA(_xlpm.result, "")
)</f>
        <v/>
      </c>
      <c r="AC87" t="str">
        <f>_xlfn.LET(
  _xlpm.result, _xlfn.XLOOKUP($B87, Result_Database!$A$2:$A$500, Result_Database!AB$2:AB$500),
  _xlfn.IFNA(_xlpm.result, "")
)</f>
        <v/>
      </c>
      <c r="AD87" t="str">
        <f>_xlfn.LET(
  _xlpm.result, _xlfn.XLOOKUP($B87, Result_Database!$A$2:$A$500, Result_Database!AC$2:AC$500),
  _xlfn.IFNA(_xlpm.result, "")
)</f>
        <v/>
      </c>
      <c r="AE87" t="str">
        <f>_xlfn.LET(
  _xlpm.result, _xlfn.XLOOKUP($B87, Result_Database!$A$2:$A$500, Result_Database!AD$2:AD$500),
  _xlfn.IFNA(_xlpm.result, "")
)</f>
        <v/>
      </c>
      <c r="AF87" t="str">
        <f>_xlfn.LET(
  _xlpm.result, _xlfn.XLOOKUP($B87, Result_Database!$A$2:$A$500, Result_Database!AE$2:AE$500),
  _xlfn.IFNA(_xlpm.result, "")
)</f>
        <v/>
      </c>
      <c r="AG87" t="str">
        <f>_xlfn.LET(
  _xlpm.result, _xlfn.XLOOKUP($B87, Result_Database!$A$2:$A$500, Result_Database!AF$2:AF$500),
  _xlfn.IFNA(_xlpm.result, "")
)</f>
        <v/>
      </c>
      <c r="AH87" t="str">
        <f>_xlfn.LET(
  _xlpm.result, _xlfn.XLOOKUP($B87, Result_Database!$A$2:$A$500, Result_Database!AG$2:AG$500),
  _xlfn.IFNA(_xlpm.result, "")
)</f>
        <v/>
      </c>
      <c r="AI87" t="str">
        <f>_xlfn.LET(
  _xlpm.result, _xlfn.XLOOKUP($B87, Result_Database!$A$2:$A$500, Result_Database!AH$2:AH$500),
  _xlfn.IFNA(_xlpm.result, "")
)</f>
        <v/>
      </c>
      <c r="AJ87" t="str">
        <f>_xlfn.LET(
  _xlpm.result, _xlfn.XLOOKUP($B87, Result_Database!$A$2:$A$500, Result_Database!AI$2:AI$500),
  _xlfn.IFNA(_xlpm.result, "")
)</f>
        <v/>
      </c>
      <c r="AK87" t="str">
        <f>_xlfn.LET(
  _xlpm.result, _xlfn.XLOOKUP($B87, Result_Database!$A$2:$A$500, Result_Database!AJ$2:AJ$500),
  _xlfn.IFNA(_xlpm.result, "")
)</f>
        <v/>
      </c>
      <c r="AL87" t="str">
        <f>_xlfn.LET(
  _xlpm.result, _xlfn.XLOOKUP($B87, Result_Database!$A$2:$A$500, Result_Database!AK$2:AK$500),
  _xlfn.IFNA(_xlpm.result, "")
)</f>
        <v/>
      </c>
      <c r="AM8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8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8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8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8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8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8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8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8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87" t="str">
        <f>IF(SUM(Table5[[#This Row],[A1]:[C6]])&lt;&gt;0,SUM(Table5[[#This Row],[A1]:[C6]]),"")</f>
        <v/>
      </c>
      <c r="AW87" t="str">
        <f>IF(SUM(Table5[[#This Row],[D7]:[F9]])=0,"",SUM(Table5[[#This Row],[D7]:[F9]]))</f>
        <v/>
      </c>
      <c r="AX8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8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8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8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8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8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87" t="str">
        <f>IF(COUNTIF(Table5[[#This Row],[English Language]:[Electrical/ Electronics]],"WITHHELD")=0,"",COUNTIF(Table5[[#This Row],[English Language]:[Electrical/ Electronics]],"WITHHELD"))</f>
        <v/>
      </c>
      <c r="BE87" t="str">
        <f>IF(SUM(Table5[[#This Row],[NO OF CREDITS]:[BELOW CREDITS]])=0,"",SUM(Table5[[#This Row],[NO OF CREDITS]:[BELOW CREDITS]]))</f>
        <v/>
      </c>
    </row>
    <row r="88" spans="1:57" x14ac:dyDescent="0.3">
      <c r="A88" t="str">
        <f>IF(B88&lt;&gt;"",COUNTA($B$6:B88),"")</f>
        <v/>
      </c>
      <c r="B88" t="str">
        <f>IF(Result_Database!A84="","",Result_Database!A84)</f>
        <v/>
      </c>
      <c r="C88" t="str">
        <f>_xlfn.LET(
_xlpm.result,_xlfn.XLOOKUP($B88,Result_Database!$A$2:$A$500,Result_Database!$B$2:$B$500),
_xlfn.IFNA(_xlpm.result,"")
)</f>
        <v/>
      </c>
      <c r="D88" t="str">
        <f>_xlfn.LET(
  _xlpm.result, _xlfn.XLOOKUP($B88, Result_Database!$A$2:$A$500, Result_Database!C$2:C$500),
  _xlfn.IFNA(_xlpm.result, "")
)</f>
        <v/>
      </c>
      <c r="E88" t="str">
        <f>_xlfn.LET(
  _xlpm.result, _xlfn.XLOOKUP($B88, Result_Database!$A$2:$A$500, Result_Database!D$2:D$500),
  _xlfn.IFNA(_xlpm.result, "")
)</f>
        <v/>
      </c>
      <c r="F88" t="str">
        <f>_xlfn.LET(
  _xlpm.result, _xlfn.XLOOKUP($B88, Result_Database!$A$2:$A$500, Result_Database!E$2:E$500),
  _xlfn.IFNA(_xlpm.result, "")
)</f>
        <v/>
      </c>
      <c r="G88" t="str">
        <f>_xlfn.LET(
  _xlpm.result, _xlfn.XLOOKUP($B88, Result_Database!$A$2:$A$500, Result_Database!F$2:F$500),
  _xlfn.IFNA(_xlpm.result, "")
)</f>
        <v/>
      </c>
      <c r="H88" t="str">
        <f>_xlfn.LET(
  _xlpm.result, _xlfn.XLOOKUP($B88, Result_Database!$A$2:$A$500, Result_Database!G$2:G$500),
  _xlfn.IFNA(_xlpm.result, "")
)</f>
        <v/>
      </c>
      <c r="I88" t="str">
        <f>_xlfn.LET(
  _xlpm.result, _xlfn.XLOOKUP($B88, Result_Database!$A$2:$A$500, Result_Database!H$2:H$500),
  _xlfn.IFNA(_xlpm.result, "")
)</f>
        <v/>
      </c>
      <c r="J88" t="str">
        <f>_xlfn.LET(
  _xlpm.result, _xlfn.XLOOKUP($B88, Result_Database!$A$2:$A$500, Result_Database!I$2:I$500),
  _xlfn.IFNA(_xlpm.result, "")
)</f>
        <v/>
      </c>
      <c r="K88" t="str">
        <f>_xlfn.LET(
  _xlpm.result, _xlfn.XLOOKUP($B88, Result_Database!$A$2:$A$500, Result_Database!J$2:J$500),
  _xlfn.IFNA(_xlpm.result, "")
)</f>
        <v/>
      </c>
      <c r="L88" t="str">
        <f>_xlfn.LET(
  _xlpm.result, _xlfn.XLOOKUP($B88, Result_Database!$A$2:$A$500, Result_Database!K$2:K$500),
  _xlfn.IFNA(_xlpm.result, "")
)</f>
        <v/>
      </c>
      <c r="M88" t="str">
        <f>_xlfn.LET(
  _xlpm.result, _xlfn.XLOOKUP($B88, Result_Database!$A$2:$A$500, Result_Database!L$2:L$500),
  _xlfn.IFNA(_xlpm.result, "")
)</f>
        <v/>
      </c>
      <c r="N88" t="str">
        <f>_xlfn.LET(
  _xlpm.result, _xlfn.XLOOKUP($B88, Result_Database!$A$2:$A$500, Result_Database!M$2:M$500),
  _xlfn.IFNA(_xlpm.result, "")
)</f>
        <v/>
      </c>
      <c r="O88" t="str">
        <f>_xlfn.LET(
  _xlpm.result, _xlfn.XLOOKUP($B88, Result_Database!$A$2:$A$500, Result_Database!N$2:N$500),
  _xlfn.IFNA(_xlpm.result, "")
)</f>
        <v/>
      </c>
      <c r="P88" t="str">
        <f>_xlfn.LET(
  _xlpm.result, _xlfn.XLOOKUP($B88, Result_Database!$A$2:$A$500, Result_Database!O$2:O$500),
  _xlfn.IFNA(_xlpm.result, "")
)</f>
        <v/>
      </c>
      <c r="Q88" t="str">
        <f>_xlfn.LET(
  _xlpm.result, _xlfn.XLOOKUP($B88, Result_Database!$A$2:$A$500, Result_Database!P$2:P$500),
  _xlfn.IFNA(_xlpm.result, "")
)</f>
        <v/>
      </c>
      <c r="R88" t="str">
        <f>_xlfn.LET(
  _xlpm.result, _xlfn.XLOOKUP($B88, Result_Database!$A$2:$A$500, Result_Database!Q$2:Q$500),
  _xlfn.IFNA(_xlpm.result, "")
)</f>
        <v/>
      </c>
      <c r="S88" t="str">
        <f>_xlfn.LET(
  _xlpm.result, _xlfn.XLOOKUP($B88, Result_Database!$A$2:$A$500, Result_Database!R$2:R$500),
  _xlfn.IFNA(_xlpm.result, "")
)</f>
        <v/>
      </c>
      <c r="T88" t="str">
        <f>_xlfn.LET(
  _xlpm.result, _xlfn.XLOOKUP($B88, Result_Database!$A$2:$A$500, Result_Database!S$2:S$500),
  _xlfn.IFNA(_xlpm.result, "")
)</f>
        <v/>
      </c>
      <c r="U88" t="str">
        <f>_xlfn.LET(
  _xlpm.result, _xlfn.XLOOKUP($B88, Result_Database!$A$2:$A$500, Result_Database!T$2:T$500),
  _xlfn.IFNA(_xlpm.result, "")
)</f>
        <v/>
      </c>
      <c r="V88" t="str">
        <f>_xlfn.LET(
  _xlpm.result, _xlfn.XLOOKUP($B88, Result_Database!$A$2:$A$500, Result_Database!U$2:U$500),
  _xlfn.IFNA(_xlpm.result, "")
)</f>
        <v/>
      </c>
      <c r="W88" t="str">
        <f>_xlfn.LET(
  _xlpm.result, _xlfn.XLOOKUP($B88, Result_Database!$A$2:$A$500, Result_Database!V$2:V$500),
  _xlfn.IFNA(_xlpm.result, "")
)</f>
        <v/>
      </c>
      <c r="X88" t="str">
        <f>_xlfn.LET(
  _xlpm.result, _xlfn.XLOOKUP($B88, Result_Database!$A$2:$A$500, Result_Database!W$2:W$500),
  _xlfn.IFNA(_xlpm.result, "")
)</f>
        <v/>
      </c>
      <c r="Y88" t="str">
        <f>_xlfn.LET(
  _xlpm.result, _xlfn.XLOOKUP($B88, Result_Database!$A$2:$A$500, Result_Database!X$2:X$500),
  _xlfn.IFNA(_xlpm.result, "")
)</f>
        <v/>
      </c>
      <c r="Z88" t="str">
        <f>_xlfn.LET(
  _xlpm.result, _xlfn.XLOOKUP($B88, Result_Database!$A$2:$A$500, Result_Database!Y$2:Y$500),
  _xlfn.IFNA(_xlpm.result, "")
)</f>
        <v/>
      </c>
      <c r="AA88" t="str">
        <f>_xlfn.LET(
  _xlpm.result, _xlfn.XLOOKUP($B88, Result_Database!$A$2:$A$500, Result_Database!Z$2:Z$500),
  _xlfn.IFNA(_xlpm.result, "")
)</f>
        <v/>
      </c>
      <c r="AB88" t="str">
        <f>_xlfn.LET(
  _xlpm.result, _xlfn.XLOOKUP($B88, Result_Database!$A$2:$A$500, Result_Database!AA$2:AA$500),
  _xlfn.IFNA(_xlpm.result, "")
)</f>
        <v/>
      </c>
      <c r="AC88" t="str">
        <f>_xlfn.LET(
  _xlpm.result, _xlfn.XLOOKUP($B88, Result_Database!$A$2:$A$500, Result_Database!AB$2:AB$500),
  _xlfn.IFNA(_xlpm.result, "")
)</f>
        <v/>
      </c>
      <c r="AD88" t="str">
        <f>_xlfn.LET(
  _xlpm.result, _xlfn.XLOOKUP($B88, Result_Database!$A$2:$A$500, Result_Database!AC$2:AC$500),
  _xlfn.IFNA(_xlpm.result, "")
)</f>
        <v/>
      </c>
      <c r="AE88" t="str">
        <f>_xlfn.LET(
  _xlpm.result, _xlfn.XLOOKUP($B88, Result_Database!$A$2:$A$500, Result_Database!AD$2:AD$500),
  _xlfn.IFNA(_xlpm.result, "")
)</f>
        <v/>
      </c>
      <c r="AF88" t="str">
        <f>_xlfn.LET(
  _xlpm.result, _xlfn.XLOOKUP($B88, Result_Database!$A$2:$A$500, Result_Database!AE$2:AE$500),
  _xlfn.IFNA(_xlpm.result, "")
)</f>
        <v/>
      </c>
      <c r="AG88" t="str">
        <f>_xlfn.LET(
  _xlpm.result, _xlfn.XLOOKUP($B88, Result_Database!$A$2:$A$500, Result_Database!AF$2:AF$500),
  _xlfn.IFNA(_xlpm.result, "")
)</f>
        <v/>
      </c>
      <c r="AH88" t="str">
        <f>_xlfn.LET(
  _xlpm.result, _xlfn.XLOOKUP($B88, Result_Database!$A$2:$A$500, Result_Database!AG$2:AG$500),
  _xlfn.IFNA(_xlpm.result, "")
)</f>
        <v/>
      </c>
      <c r="AI88" t="str">
        <f>_xlfn.LET(
  _xlpm.result, _xlfn.XLOOKUP($B88, Result_Database!$A$2:$A$500, Result_Database!AH$2:AH$500),
  _xlfn.IFNA(_xlpm.result, "")
)</f>
        <v/>
      </c>
      <c r="AJ88" t="str">
        <f>_xlfn.LET(
  _xlpm.result, _xlfn.XLOOKUP($B88, Result_Database!$A$2:$A$500, Result_Database!AI$2:AI$500),
  _xlfn.IFNA(_xlpm.result, "")
)</f>
        <v/>
      </c>
      <c r="AK88" t="str">
        <f>_xlfn.LET(
  _xlpm.result, _xlfn.XLOOKUP($B88, Result_Database!$A$2:$A$500, Result_Database!AJ$2:AJ$500),
  _xlfn.IFNA(_xlpm.result, "")
)</f>
        <v/>
      </c>
      <c r="AL88" t="str">
        <f>_xlfn.LET(
  _xlpm.result, _xlfn.XLOOKUP($B88, Result_Database!$A$2:$A$500, Result_Database!AK$2:AK$500),
  _xlfn.IFNA(_xlpm.result, "")
)</f>
        <v/>
      </c>
      <c r="AM8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8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8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8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8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8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8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8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8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88" t="str">
        <f>IF(SUM(Table5[[#This Row],[A1]:[C6]])&lt;&gt;0,SUM(Table5[[#This Row],[A1]:[C6]]),"")</f>
        <v/>
      </c>
      <c r="AW88" t="str">
        <f>IF(SUM(Table5[[#This Row],[D7]:[F9]])=0,"",SUM(Table5[[#This Row],[D7]:[F9]]))</f>
        <v/>
      </c>
      <c r="AX8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8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8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8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8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8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88" t="str">
        <f>IF(COUNTIF(Table5[[#This Row],[English Language]:[Electrical/ Electronics]],"WITHHELD")=0,"",COUNTIF(Table5[[#This Row],[English Language]:[Electrical/ Electronics]],"WITHHELD"))</f>
        <v/>
      </c>
      <c r="BE88" t="str">
        <f>IF(SUM(Table5[[#This Row],[NO OF CREDITS]:[BELOW CREDITS]])=0,"",SUM(Table5[[#This Row],[NO OF CREDITS]:[BELOW CREDITS]]))</f>
        <v/>
      </c>
    </row>
    <row r="89" spans="1:57" x14ac:dyDescent="0.3">
      <c r="A89" t="str">
        <f>IF(B89&lt;&gt;"",COUNTA($B$6:B89),"")</f>
        <v/>
      </c>
      <c r="B89" t="str">
        <f>IF(Result_Database!A85="","",Result_Database!A85)</f>
        <v/>
      </c>
      <c r="C89" t="str">
        <f>_xlfn.LET(
_xlpm.result,_xlfn.XLOOKUP($B89,Result_Database!$A$2:$A$500,Result_Database!$B$2:$B$500),
_xlfn.IFNA(_xlpm.result,"")
)</f>
        <v/>
      </c>
      <c r="D89" t="str">
        <f>_xlfn.LET(
  _xlpm.result, _xlfn.XLOOKUP($B89, Result_Database!$A$2:$A$500, Result_Database!C$2:C$500),
  _xlfn.IFNA(_xlpm.result, "")
)</f>
        <v/>
      </c>
      <c r="E89" t="str">
        <f>_xlfn.LET(
  _xlpm.result, _xlfn.XLOOKUP($B89, Result_Database!$A$2:$A$500, Result_Database!D$2:D$500),
  _xlfn.IFNA(_xlpm.result, "")
)</f>
        <v/>
      </c>
      <c r="F89" t="str">
        <f>_xlfn.LET(
  _xlpm.result, _xlfn.XLOOKUP($B89, Result_Database!$A$2:$A$500, Result_Database!E$2:E$500),
  _xlfn.IFNA(_xlpm.result, "")
)</f>
        <v/>
      </c>
      <c r="G89" t="str">
        <f>_xlfn.LET(
  _xlpm.result, _xlfn.XLOOKUP($B89, Result_Database!$A$2:$A$500, Result_Database!F$2:F$500),
  _xlfn.IFNA(_xlpm.result, "")
)</f>
        <v/>
      </c>
      <c r="H89" t="str">
        <f>_xlfn.LET(
  _xlpm.result, _xlfn.XLOOKUP($B89, Result_Database!$A$2:$A$500, Result_Database!G$2:G$500),
  _xlfn.IFNA(_xlpm.result, "")
)</f>
        <v/>
      </c>
      <c r="I89" t="str">
        <f>_xlfn.LET(
  _xlpm.result, _xlfn.XLOOKUP($B89, Result_Database!$A$2:$A$500, Result_Database!H$2:H$500),
  _xlfn.IFNA(_xlpm.result, "")
)</f>
        <v/>
      </c>
      <c r="J89" t="str">
        <f>_xlfn.LET(
  _xlpm.result, _xlfn.XLOOKUP($B89, Result_Database!$A$2:$A$500, Result_Database!I$2:I$500),
  _xlfn.IFNA(_xlpm.result, "")
)</f>
        <v/>
      </c>
      <c r="K89" t="str">
        <f>_xlfn.LET(
  _xlpm.result, _xlfn.XLOOKUP($B89, Result_Database!$A$2:$A$500, Result_Database!J$2:J$500),
  _xlfn.IFNA(_xlpm.result, "")
)</f>
        <v/>
      </c>
      <c r="L89" t="str">
        <f>_xlfn.LET(
  _xlpm.result, _xlfn.XLOOKUP($B89, Result_Database!$A$2:$A$500, Result_Database!K$2:K$500),
  _xlfn.IFNA(_xlpm.result, "")
)</f>
        <v/>
      </c>
      <c r="M89" t="str">
        <f>_xlfn.LET(
  _xlpm.result, _xlfn.XLOOKUP($B89, Result_Database!$A$2:$A$500, Result_Database!L$2:L$500),
  _xlfn.IFNA(_xlpm.result, "")
)</f>
        <v/>
      </c>
      <c r="N89" t="str">
        <f>_xlfn.LET(
  _xlpm.result, _xlfn.XLOOKUP($B89, Result_Database!$A$2:$A$500, Result_Database!M$2:M$500),
  _xlfn.IFNA(_xlpm.result, "")
)</f>
        <v/>
      </c>
      <c r="O89" t="str">
        <f>_xlfn.LET(
  _xlpm.result, _xlfn.XLOOKUP($B89, Result_Database!$A$2:$A$500, Result_Database!N$2:N$500),
  _xlfn.IFNA(_xlpm.result, "")
)</f>
        <v/>
      </c>
      <c r="P89" t="str">
        <f>_xlfn.LET(
  _xlpm.result, _xlfn.XLOOKUP($B89, Result_Database!$A$2:$A$500, Result_Database!O$2:O$500),
  _xlfn.IFNA(_xlpm.result, "")
)</f>
        <v/>
      </c>
      <c r="Q89" t="str">
        <f>_xlfn.LET(
  _xlpm.result, _xlfn.XLOOKUP($B89, Result_Database!$A$2:$A$500, Result_Database!P$2:P$500),
  _xlfn.IFNA(_xlpm.result, "")
)</f>
        <v/>
      </c>
      <c r="R89" t="str">
        <f>_xlfn.LET(
  _xlpm.result, _xlfn.XLOOKUP($B89, Result_Database!$A$2:$A$500, Result_Database!Q$2:Q$500),
  _xlfn.IFNA(_xlpm.result, "")
)</f>
        <v/>
      </c>
      <c r="S89" t="str">
        <f>_xlfn.LET(
  _xlpm.result, _xlfn.XLOOKUP($B89, Result_Database!$A$2:$A$500, Result_Database!R$2:R$500),
  _xlfn.IFNA(_xlpm.result, "")
)</f>
        <v/>
      </c>
      <c r="T89" t="str">
        <f>_xlfn.LET(
  _xlpm.result, _xlfn.XLOOKUP($B89, Result_Database!$A$2:$A$500, Result_Database!S$2:S$500),
  _xlfn.IFNA(_xlpm.result, "")
)</f>
        <v/>
      </c>
      <c r="U89" t="str">
        <f>_xlfn.LET(
  _xlpm.result, _xlfn.XLOOKUP($B89, Result_Database!$A$2:$A$500, Result_Database!T$2:T$500),
  _xlfn.IFNA(_xlpm.result, "")
)</f>
        <v/>
      </c>
      <c r="V89" t="str">
        <f>_xlfn.LET(
  _xlpm.result, _xlfn.XLOOKUP($B89, Result_Database!$A$2:$A$500, Result_Database!U$2:U$500),
  _xlfn.IFNA(_xlpm.result, "")
)</f>
        <v/>
      </c>
      <c r="W89" t="str">
        <f>_xlfn.LET(
  _xlpm.result, _xlfn.XLOOKUP($B89, Result_Database!$A$2:$A$500, Result_Database!V$2:V$500),
  _xlfn.IFNA(_xlpm.result, "")
)</f>
        <v/>
      </c>
      <c r="X89" t="str">
        <f>_xlfn.LET(
  _xlpm.result, _xlfn.XLOOKUP($B89, Result_Database!$A$2:$A$500, Result_Database!W$2:W$500),
  _xlfn.IFNA(_xlpm.result, "")
)</f>
        <v/>
      </c>
      <c r="Y89" t="str">
        <f>_xlfn.LET(
  _xlpm.result, _xlfn.XLOOKUP($B89, Result_Database!$A$2:$A$500, Result_Database!X$2:X$500),
  _xlfn.IFNA(_xlpm.result, "")
)</f>
        <v/>
      </c>
      <c r="Z89" t="str">
        <f>_xlfn.LET(
  _xlpm.result, _xlfn.XLOOKUP($B89, Result_Database!$A$2:$A$500, Result_Database!Y$2:Y$500),
  _xlfn.IFNA(_xlpm.result, "")
)</f>
        <v/>
      </c>
      <c r="AA89" t="str">
        <f>_xlfn.LET(
  _xlpm.result, _xlfn.XLOOKUP($B89, Result_Database!$A$2:$A$500, Result_Database!Z$2:Z$500),
  _xlfn.IFNA(_xlpm.result, "")
)</f>
        <v/>
      </c>
      <c r="AB89" t="str">
        <f>_xlfn.LET(
  _xlpm.result, _xlfn.XLOOKUP($B89, Result_Database!$A$2:$A$500, Result_Database!AA$2:AA$500),
  _xlfn.IFNA(_xlpm.result, "")
)</f>
        <v/>
      </c>
      <c r="AC89" t="str">
        <f>_xlfn.LET(
  _xlpm.result, _xlfn.XLOOKUP($B89, Result_Database!$A$2:$A$500, Result_Database!AB$2:AB$500),
  _xlfn.IFNA(_xlpm.result, "")
)</f>
        <v/>
      </c>
      <c r="AD89" t="str">
        <f>_xlfn.LET(
  _xlpm.result, _xlfn.XLOOKUP($B89, Result_Database!$A$2:$A$500, Result_Database!AC$2:AC$500),
  _xlfn.IFNA(_xlpm.result, "")
)</f>
        <v/>
      </c>
      <c r="AE89" t="str">
        <f>_xlfn.LET(
  _xlpm.result, _xlfn.XLOOKUP($B89, Result_Database!$A$2:$A$500, Result_Database!AD$2:AD$500),
  _xlfn.IFNA(_xlpm.result, "")
)</f>
        <v/>
      </c>
      <c r="AF89" t="str">
        <f>_xlfn.LET(
  _xlpm.result, _xlfn.XLOOKUP($B89, Result_Database!$A$2:$A$500, Result_Database!AE$2:AE$500),
  _xlfn.IFNA(_xlpm.result, "")
)</f>
        <v/>
      </c>
      <c r="AG89" t="str">
        <f>_xlfn.LET(
  _xlpm.result, _xlfn.XLOOKUP($B89, Result_Database!$A$2:$A$500, Result_Database!AF$2:AF$500),
  _xlfn.IFNA(_xlpm.result, "")
)</f>
        <v/>
      </c>
      <c r="AH89" t="str">
        <f>_xlfn.LET(
  _xlpm.result, _xlfn.XLOOKUP($B89, Result_Database!$A$2:$A$500, Result_Database!AG$2:AG$500),
  _xlfn.IFNA(_xlpm.result, "")
)</f>
        <v/>
      </c>
      <c r="AI89" t="str">
        <f>_xlfn.LET(
  _xlpm.result, _xlfn.XLOOKUP($B89, Result_Database!$A$2:$A$500, Result_Database!AH$2:AH$500),
  _xlfn.IFNA(_xlpm.result, "")
)</f>
        <v/>
      </c>
      <c r="AJ89" t="str">
        <f>_xlfn.LET(
  _xlpm.result, _xlfn.XLOOKUP($B89, Result_Database!$A$2:$A$500, Result_Database!AI$2:AI$500),
  _xlfn.IFNA(_xlpm.result, "")
)</f>
        <v/>
      </c>
      <c r="AK89" t="str">
        <f>_xlfn.LET(
  _xlpm.result, _xlfn.XLOOKUP($B89, Result_Database!$A$2:$A$500, Result_Database!AJ$2:AJ$500),
  _xlfn.IFNA(_xlpm.result, "")
)</f>
        <v/>
      </c>
      <c r="AL89" t="str">
        <f>_xlfn.LET(
  _xlpm.result, _xlfn.XLOOKUP($B89, Result_Database!$A$2:$A$500, Result_Database!AK$2:AK$500),
  _xlfn.IFNA(_xlpm.result, "")
)</f>
        <v/>
      </c>
      <c r="AM8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8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8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8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8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8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8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8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8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89" t="str">
        <f>IF(SUM(Table5[[#This Row],[A1]:[C6]])&lt;&gt;0,SUM(Table5[[#This Row],[A1]:[C6]]),"")</f>
        <v/>
      </c>
      <c r="AW89" t="str">
        <f>IF(SUM(Table5[[#This Row],[D7]:[F9]])=0,"",SUM(Table5[[#This Row],[D7]:[F9]]))</f>
        <v/>
      </c>
      <c r="AX8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8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8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8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8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8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89" t="str">
        <f>IF(COUNTIF(Table5[[#This Row],[English Language]:[Electrical/ Electronics]],"WITHHELD")=0,"",COUNTIF(Table5[[#This Row],[English Language]:[Electrical/ Electronics]],"WITHHELD"))</f>
        <v/>
      </c>
      <c r="BE89" t="str">
        <f>IF(SUM(Table5[[#This Row],[NO OF CREDITS]:[BELOW CREDITS]])=0,"",SUM(Table5[[#This Row],[NO OF CREDITS]:[BELOW CREDITS]]))</f>
        <v/>
      </c>
    </row>
    <row r="90" spans="1:57" x14ac:dyDescent="0.3">
      <c r="A90" t="str">
        <f>IF(B90&lt;&gt;"",COUNTA($B$6:B90),"")</f>
        <v/>
      </c>
      <c r="B90" t="str">
        <f>IF(Result_Database!A86="","",Result_Database!A86)</f>
        <v/>
      </c>
      <c r="C90" t="str">
        <f>_xlfn.LET(
_xlpm.result,_xlfn.XLOOKUP($B90,Result_Database!$A$2:$A$500,Result_Database!$B$2:$B$500),
_xlfn.IFNA(_xlpm.result,"")
)</f>
        <v/>
      </c>
      <c r="D90" t="str">
        <f>_xlfn.LET(
  _xlpm.result, _xlfn.XLOOKUP($B90, Result_Database!$A$2:$A$500, Result_Database!C$2:C$500),
  _xlfn.IFNA(_xlpm.result, "")
)</f>
        <v/>
      </c>
      <c r="E90" t="str">
        <f>_xlfn.LET(
  _xlpm.result, _xlfn.XLOOKUP($B90, Result_Database!$A$2:$A$500, Result_Database!D$2:D$500),
  _xlfn.IFNA(_xlpm.result, "")
)</f>
        <v/>
      </c>
      <c r="F90" t="str">
        <f>_xlfn.LET(
  _xlpm.result, _xlfn.XLOOKUP($B90, Result_Database!$A$2:$A$500, Result_Database!E$2:E$500),
  _xlfn.IFNA(_xlpm.result, "")
)</f>
        <v/>
      </c>
      <c r="G90" t="str">
        <f>_xlfn.LET(
  _xlpm.result, _xlfn.XLOOKUP($B90, Result_Database!$A$2:$A$500, Result_Database!F$2:F$500),
  _xlfn.IFNA(_xlpm.result, "")
)</f>
        <v/>
      </c>
      <c r="H90" t="str">
        <f>_xlfn.LET(
  _xlpm.result, _xlfn.XLOOKUP($B90, Result_Database!$A$2:$A$500, Result_Database!G$2:G$500),
  _xlfn.IFNA(_xlpm.result, "")
)</f>
        <v/>
      </c>
      <c r="I90" t="str">
        <f>_xlfn.LET(
  _xlpm.result, _xlfn.XLOOKUP($B90, Result_Database!$A$2:$A$500, Result_Database!H$2:H$500),
  _xlfn.IFNA(_xlpm.result, "")
)</f>
        <v/>
      </c>
      <c r="J90" t="str">
        <f>_xlfn.LET(
  _xlpm.result, _xlfn.XLOOKUP($B90, Result_Database!$A$2:$A$500, Result_Database!I$2:I$500),
  _xlfn.IFNA(_xlpm.result, "")
)</f>
        <v/>
      </c>
      <c r="K90" t="str">
        <f>_xlfn.LET(
  _xlpm.result, _xlfn.XLOOKUP($B90, Result_Database!$A$2:$A$500, Result_Database!J$2:J$500),
  _xlfn.IFNA(_xlpm.result, "")
)</f>
        <v/>
      </c>
      <c r="L90" t="str">
        <f>_xlfn.LET(
  _xlpm.result, _xlfn.XLOOKUP($B90, Result_Database!$A$2:$A$500, Result_Database!K$2:K$500),
  _xlfn.IFNA(_xlpm.result, "")
)</f>
        <v/>
      </c>
      <c r="M90" t="str">
        <f>_xlfn.LET(
  _xlpm.result, _xlfn.XLOOKUP($B90, Result_Database!$A$2:$A$500, Result_Database!L$2:L$500),
  _xlfn.IFNA(_xlpm.result, "")
)</f>
        <v/>
      </c>
      <c r="N90" t="str">
        <f>_xlfn.LET(
  _xlpm.result, _xlfn.XLOOKUP($B90, Result_Database!$A$2:$A$500, Result_Database!M$2:M$500),
  _xlfn.IFNA(_xlpm.result, "")
)</f>
        <v/>
      </c>
      <c r="O90" t="str">
        <f>_xlfn.LET(
  _xlpm.result, _xlfn.XLOOKUP($B90, Result_Database!$A$2:$A$500, Result_Database!N$2:N$500),
  _xlfn.IFNA(_xlpm.result, "")
)</f>
        <v/>
      </c>
      <c r="P90" t="str">
        <f>_xlfn.LET(
  _xlpm.result, _xlfn.XLOOKUP($B90, Result_Database!$A$2:$A$500, Result_Database!O$2:O$500),
  _xlfn.IFNA(_xlpm.result, "")
)</f>
        <v/>
      </c>
      <c r="Q90" t="str">
        <f>_xlfn.LET(
  _xlpm.result, _xlfn.XLOOKUP($B90, Result_Database!$A$2:$A$500, Result_Database!P$2:P$500),
  _xlfn.IFNA(_xlpm.result, "")
)</f>
        <v/>
      </c>
      <c r="R90" t="str">
        <f>_xlfn.LET(
  _xlpm.result, _xlfn.XLOOKUP($B90, Result_Database!$A$2:$A$500, Result_Database!Q$2:Q$500),
  _xlfn.IFNA(_xlpm.result, "")
)</f>
        <v/>
      </c>
      <c r="S90" t="str">
        <f>_xlfn.LET(
  _xlpm.result, _xlfn.XLOOKUP($B90, Result_Database!$A$2:$A$500, Result_Database!R$2:R$500),
  _xlfn.IFNA(_xlpm.result, "")
)</f>
        <v/>
      </c>
      <c r="T90" t="str">
        <f>_xlfn.LET(
  _xlpm.result, _xlfn.XLOOKUP($B90, Result_Database!$A$2:$A$500, Result_Database!S$2:S$500),
  _xlfn.IFNA(_xlpm.result, "")
)</f>
        <v/>
      </c>
      <c r="U90" t="str">
        <f>_xlfn.LET(
  _xlpm.result, _xlfn.XLOOKUP($B90, Result_Database!$A$2:$A$500, Result_Database!T$2:T$500),
  _xlfn.IFNA(_xlpm.result, "")
)</f>
        <v/>
      </c>
      <c r="V90" t="str">
        <f>_xlfn.LET(
  _xlpm.result, _xlfn.XLOOKUP($B90, Result_Database!$A$2:$A$500, Result_Database!U$2:U$500),
  _xlfn.IFNA(_xlpm.result, "")
)</f>
        <v/>
      </c>
      <c r="W90" t="str">
        <f>_xlfn.LET(
  _xlpm.result, _xlfn.XLOOKUP($B90, Result_Database!$A$2:$A$500, Result_Database!V$2:V$500),
  _xlfn.IFNA(_xlpm.result, "")
)</f>
        <v/>
      </c>
      <c r="X90" t="str">
        <f>_xlfn.LET(
  _xlpm.result, _xlfn.XLOOKUP($B90, Result_Database!$A$2:$A$500, Result_Database!W$2:W$500),
  _xlfn.IFNA(_xlpm.result, "")
)</f>
        <v/>
      </c>
      <c r="Y90" t="str">
        <f>_xlfn.LET(
  _xlpm.result, _xlfn.XLOOKUP($B90, Result_Database!$A$2:$A$500, Result_Database!X$2:X$500),
  _xlfn.IFNA(_xlpm.result, "")
)</f>
        <v/>
      </c>
      <c r="Z90" t="str">
        <f>_xlfn.LET(
  _xlpm.result, _xlfn.XLOOKUP($B90, Result_Database!$A$2:$A$500, Result_Database!Y$2:Y$500),
  _xlfn.IFNA(_xlpm.result, "")
)</f>
        <v/>
      </c>
      <c r="AA90" t="str">
        <f>_xlfn.LET(
  _xlpm.result, _xlfn.XLOOKUP($B90, Result_Database!$A$2:$A$500, Result_Database!Z$2:Z$500),
  _xlfn.IFNA(_xlpm.result, "")
)</f>
        <v/>
      </c>
      <c r="AB90" t="str">
        <f>_xlfn.LET(
  _xlpm.result, _xlfn.XLOOKUP($B90, Result_Database!$A$2:$A$500, Result_Database!AA$2:AA$500),
  _xlfn.IFNA(_xlpm.result, "")
)</f>
        <v/>
      </c>
      <c r="AC90" t="str">
        <f>_xlfn.LET(
  _xlpm.result, _xlfn.XLOOKUP($B90, Result_Database!$A$2:$A$500, Result_Database!AB$2:AB$500),
  _xlfn.IFNA(_xlpm.result, "")
)</f>
        <v/>
      </c>
      <c r="AD90" t="str">
        <f>_xlfn.LET(
  _xlpm.result, _xlfn.XLOOKUP($B90, Result_Database!$A$2:$A$500, Result_Database!AC$2:AC$500),
  _xlfn.IFNA(_xlpm.result, "")
)</f>
        <v/>
      </c>
      <c r="AE90" t="str">
        <f>_xlfn.LET(
  _xlpm.result, _xlfn.XLOOKUP($B90, Result_Database!$A$2:$A$500, Result_Database!AD$2:AD$500),
  _xlfn.IFNA(_xlpm.result, "")
)</f>
        <v/>
      </c>
      <c r="AF90" t="str">
        <f>_xlfn.LET(
  _xlpm.result, _xlfn.XLOOKUP($B90, Result_Database!$A$2:$A$500, Result_Database!AE$2:AE$500),
  _xlfn.IFNA(_xlpm.result, "")
)</f>
        <v/>
      </c>
      <c r="AG90" t="str">
        <f>_xlfn.LET(
  _xlpm.result, _xlfn.XLOOKUP($B90, Result_Database!$A$2:$A$500, Result_Database!AF$2:AF$500),
  _xlfn.IFNA(_xlpm.result, "")
)</f>
        <v/>
      </c>
      <c r="AH90" t="str">
        <f>_xlfn.LET(
  _xlpm.result, _xlfn.XLOOKUP($B90, Result_Database!$A$2:$A$500, Result_Database!AG$2:AG$500),
  _xlfn.IFNA(_xlpm.result, "")
)</f>
        <v/>
      </c>
      <c r="AI90" t="str">
        <f>_xlfn.LET(
  _xlpm.result, _xlfn.XLOOKUP($B90, Result_Database!$A$2:$A$500, Result_Database!AH$2:AH$500),
  _xlfn.IFNA(_xlpm.result, "")
)</f>
        <v/>
      </c>
      <c r="AJ90" t="str">
        <f>_xlfn.LET(
  _xlpm.result, _xlfn.XLOOKUP($B90, Result_Database!$A$2:$A$500, Result_Database!AI$2:AI$500),
  _xlfn.IFNA(_xlpm.result, "")
)</f>
        <v/>
      </c>
      <c r="AK90" t="str">
        <f>_xlfn.LET(
  _xlpm.result, _xlfn.XLOOKUP($B90, Result_Database!$A$2:$A$500, Result_Database!AJ$2:AJ$500),
  _xlfn.IFNA(_xlpm.result, "")
)</f>
        <v/>
      </c>
      <c r="AL90" t="str">
        <f>_xlfn.LET(
  _xlpm.result, _xlfn.XLOOKUP($B90, Result_Database!$A$2:$A$500, Result_Database!AK$2:AK$500),
  _xlfn.IFNA(_xlpm.result, "")
)</f>
        <v/>
      </c>
      <c r="AM9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9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9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9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9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9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9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9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9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90" t="str">
        <f>IF(SUM(Table5[[#This Row],[A1]:[C6]])&lt;&gt;0,SUM(Table5[[#This Row],[A1]:[C6]]),"")</f>
        <v/>
      </c>
      <c r="AW90" t="str">
        <f>IF(SUM(Table5[[#This Row],[D7]:[F9]])=0,"",SUM(Table5[[#This Row],[D7]:[F9]]))</f>
        <v/>
      </c>
      <c r="AX9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9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9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9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9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9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90" t="str">
        <f>IF(COUNTIF(Table5[[#This Row],[English Language]:[Electrical/ Electronics]],"WITHHELD")=0,"",COUNTIF(Table5[[#This Row],[English Language]:[Electrical/ Electronics]],"WITHHELD"))</f>
        <v/>
      </c>
      <c r="BE90" t="str">
        <f>IF(SUM(Table5[[#This Row],[NO OF CREDITS]:[BELOW CREDITS]])=0,"",SUM(Table5[[#This Row],[NO OF CREDITS]:[BELOW CREDITS]]))</f>
        <v/>
      </c>
    </row>
    <row r="91" spans="1:57" x14ac:dyDescent="0.3">
      <c r="A91" t="str">
        <f>IF(B91&lt;&gt;"",COUNTA($B$6:B91),"")</f>
        <v/>
      </c>
      <c r="B91" t="str">
        <f>IF(Result_Database!A87="","",Result_Database!A87)</f>
        <v/>
      </c>
      <c r="C91" t="str">
        <f>_xlfn.LET(
_xlpm.result,_xlfn.XLOOKUP($B91,Result_Database!$A$2:$A$500,Result_Database!$B$2:$B$500),
_xlfn.IFNA(_xlpm.result,"")
)</f>
        <v/>
      </c>
      <c r="D91" t="str">
        <f>_xlfn.LET(
  _xlpm.result, _xlfn.XLOOKUP($B91, Result_Database!$A$2:$A$500, Result_Database!C$2:C$500),
  _xlfn.IFNA(_xlpm.result, "")
)</f>
        <v/>
      </c>
      <c r="E91" t="str">
        <f>_xlfn.LET(
  _xlpm.result, _xlfn.XLOOKUP($B91, Result_Database!$A$2:$A$500, Result_Database!D$2:D$500),
  _xlfn.IFNA(_xlpm.result, "")
)</f>
        <v/>
      </c>
      <c r="F91" t="str">
        <f>_xlfn.LET(
  _xlpm.result, _xlfn.XLOOKUP($B91, Result_Database!$A$2:$A$500, Result_Database!E$2:E$500),
  _xlfn.IFNA(_xlpm.result, "")
)</f>
        <v/>
      </c>
      <c r="G91" t="str">
        <f>_xlfn.LET(
  _xlpm.result, _xlfn.XLOOKUP($B91, Result_Database!$A$2:$A$500, Result_Database!F$2:F$500),
  _xlfn.IFNA(_xlpm.result, "")
)</f>
        <v/>
      </c>
      <c r="H91" t="str">
        <f>_xlfn.LET(
  _xlpm.result, _xlfn.XLOOKUP($B91, Result_Database!$A$2:$A$500, Result_Database!G$2:G$500),
  _xlfn.IFNA(_xlpm.result, "")
)</f>
        <v/>
      </c>
      <c r="I91" t="str">
        <f>_xlfn.LET(
  _xlpm.result, _xlfn.XLOOKUP($B91, Result_Database!$A$2:$A$500, Result_Database!H$2:H$500),
  _xlfn.IFNA(_xlpm.result, "")
)</f>
        <v/>
      </c>
      <c r="J91" t="str">
        <f>_xlfn.LET(
  _xlpm.result, _xlfn.XLOOKUP($B91, Result_Database!$A$2:$A$500, Result_Database!I$2:I$500),
  _xlfn.IFNA(_xlpm.result, "")
)</f>
        <v/>
      </c>
      <c r="K91" t="str">
        <f>_xlfn.LET(
  _xlpm.result, _xlfn.XLOOKUP($B91, Result_Database!$A$2:$A$500, Result_Database!J$2:J$500),
  _xlfn.IFNA(_xlpm.result, "")
)</f>
        <v/>
      </c>
      <c r="L91" t="str">
        <f>_xlfn.LET(
  _xlpm.result, _xlfn.XLOOKUP($B91, Result_Database!$A$2:$A$500, Result_Database!K$2:K$500),
  _xlfn.IFNA(_xlpm.result, "")
)</f>
        <v/>
      </c>
      <c r="M91" t="str">
        <f>_xlfn.LET(
  _xlpm.result, _xlfn.XLOOKUP($B91, Result_Database!$A$2:$A$500, Result_Database!L$2:L$500),
  _xlfn.IFNA(_xlpm.result, "")
)</f>
        <v/>
      </c>
      <c r="N91" t="str">
        <f>_xlfn.LET(
  _xlpm.result, _xlfn.XLOOKUP($B91, Result_Database!$A$2:$A$500, Result_Database!M$2:M$500),
  _xlfn.IFNA(_xlpm.result, "")
)</f>
        <v/>
      </c>
      <c r="O91" t="str">
        <f>_xlfn.LET(
  _xlpm.result, _xlfn.XLOOKUP($B91, Result_Database!$A$2:$A$500, Result_Database!N$2:N$500),
  _xlfn.IFNA(_xlpm.result, "")
)</f>
        <v/>
      </c>
      <c r="P91" t="str">
        <f>_xlfn.LET(
  _xlpm.result, _xlfn.XLOOKUP($B91, Result_Database!$A$2:$A$500, Result_Database!O$2:O$500),
  _xlfn.IFNA(_xlpm.result, "")
)</f>
        <v/>
      </c>
      <c r="Q91" t="str">
        <f>_xlfn.LET(
  _xlpm.result, _xlfn.XLOOKUP($B91, Result_Database!$A$2:$A$500, Result_Database!P$2:P$500),
  _xlfn.IFNA(_xlpm.result, "")
)</f>
        <v/>
      </c>
      <c r="R91" t="str">
        <f>_xlfn.LET(
  _xlpm.result, _xlfn.XLOOKUP($B91, Result_Database!$A$2:$A$500, Result_Database!Q$2:Q$500),
  _xlfn.IFNA(_xlpm.result, "")
)</f>
        <v/>
      </c>
      <c r="S91" t="str">
        <f>_xlfn.LET(
  _xlpm.result, _xlfn.XLOOKUP($B91, Result_Database!$A$2:$A$500, Result_Database!R$2:R$500),
  _xlfn.IFNA(_xlpm.result, "")
)</f>
        <v/>
      </c>
      <c r="T91" t="str">
        <f>_xlfn.LET(
  _xlpm.result, _xlfn.XLOOKUP($B91, Result_Database!$A$2:$A$500, Result_Database!S$2:S$500),
  _xlfn.IFNA(_xlpm.result, "")
)</f>
        <v/>
      </c>
      <c r="U91" t="str">
        <f>_xlfn.LET(
  _xlpm.result, _xlfn.XLOOKUP($B91, Result_Database!$A$2:$A$500, Result_Database!T$2:T$500),
  _xlfn.IFNA(_xlpm.result, "")
)</f>
        <v/>
      </c>
      <c r="V91" t="str">
        <f>_xlfn.LET(
  _xlpm.result, _xlfn.XLOOKUP($B91, Result_Database!$A$2:$A$500, Result_Database!U$2:U$500),
  _xlfn.IFNA(_xlpm.result, "")
)</f>
        <v/>
      </c>
      <c r="W91" t="str">
        <f>_xlfn.LET(
  _xlpm.result, _xlfn.XLOOKUP($B91, Result_Database!$A$2:$A$500, Result_Database!V$2:V$500),
  _xlfn.IFNA(_xlpm.result, "")
)</f>
        <v/>
      </c>
      <c r="X91" t="str">
        <f>_xlfn.LET(
  _xlpm.result, _xlfn.XLOOKUP($B91, Result_Database!$A$2:$A$500, Result_Database!W$2:W$500),
  _xlfn.IFNA(_xlpm.result, "")
)</f>
        <v/>
      </c>
      <c r="Y91" t="str">
        <f>_xlfn.LET(
  _xlpm.result, _xlfn.XLOOKUP($B91, Result_Database!$A$2:$A$500, Result_Database!X$2:X$500),
  _xlfn.IFNA(_xlpm.result, "")
)</f>
        <v/>
      </c>
      <c r="Z91" t="str">
        <f>_xlfn.LET(
  _xlpm.result, _xlfn.XLOOKUP($B91, Result_Database!$A$2:$A$500, Result_Database!Y$2:Y$500),
  _xlfn.IFNA(_xlpm.result, "")
)</f>
        <v/>
      </c>
      <c r="AA91" t="str">
        <f>_xlfn.LET(
  _xlpm.result, _xlfn.XLOOKUP($B91, Result_Database!$A$2:$A$500, Result_Database!Z$2:Z$500),
  _xlfn.IFNA(_xlpm.result, "")
)</f>
        <v/>
      </c>
      <c r="AB91" t="str">
        <f>_xlfn.LET(
  _xlpm.result, _xlfn.XLOOKUP($B91, Result_Database!$A$2:$A$500, Result_Database!AA$2:AA$500),
  _xlfn.IFNA(_xlpm.result, "")
)</f>
        <v/>
      </c>
      <c r="AC91" t="str">
        <f>_xlfn.LET(
  _xlpm.result, _xlfn.XLOOKUP($B91, Result_Database!$A$2:$A$500, Result_Database!AB$2:AB$500),
  _xlfn.IFNA(_xlpm.result, "")
)</f>
        <v/>
      </c>
      <c r="AD91" t="str">
        <f>_xlfn.LET(
  _xlpm.result, _xlfn.XLOOKUP($B91, Result_Database!$A$2:$A$500, Result_Database!AC$2:AC$500),
  _xlfn.IFNA(_xlpm.result, "")
)</f>
        <v/>
      </c>
      <c r="AE91" t="str">
        <f>_xlfn.LET(
  _xlpm.result, _xlfn.XLOOKUP($B91, Result_Database!$A$2:$A$500, Result_Database!AD$2:AD$500),
  _xlfn.IFNA(_xlpm.result, "")
)</f>
        <v/>
      </c>
      <c r="AF91" t="str">
        <f>_xlfn.LET(
  _xlpm.result, _xlfn.XLOOKUP($B91, Result_Database!$A$2:$A$500, Result_Database!AE$2:AE$500),
  _xlfn.IFNA(_xlpm.result, "")
)</f>
        <v/>
      </c>
      <c r="AG91" t="str">
        <f>_xlfn.LET(
  _xlpm.result, _xlfn.XLOOKUP($B91, Result_Database!$A$2:$A$500, Result_Database!AF$2:AF$500),
  _xlfn.IFNA(_xlpm.result, "")
)</f>
        <v/>
      </c>
      <c r="AH91" t="str">
        <f>_xlfn.LET(
  _xlpm.result, _xlfn.XLOOKUP($B91, Result_Database!$A$2:$A$500, Result_Database!AG$2:AG$500),
  _xlfn.IFNA(_xlpm.result, "")
)</f>
        <v/>
      </c>
      <c r="AI91" t="str">
        <f>_xlfn.LET(
  _xlpm.result, _xlfn.XLOOKUP($B91, Result_Database!$A$2:$A$500, Result_Database!AH$2:AH$500),
  _xlfn.IFNA(_xlpm.result, "")
)</f>
        <v/>
      </c>
      <c r="AJ91" t="str">
        <f>_xlfn.LET(
  _xlpm.result, _xlfn.XLOOKUP($B91, Result_Database!$A$2:$A$500, Result_Database!AI$2:AI$500),
  _xlfn.IFNA(_xlpm.result, "")
)</f>
        <v/>
      </c>
      <c r="AK91" t="str">
        <f>_xlfn.LET(
  _xlpm.result, _xlfn.XLOOKUP($B91, Result_Database!$A$2:$A$500, Result_Database!AJ$2:AJ$500),
  _xlfn.IFNA(_xlpm.result, "")
)</f>
        <v/>
      </c>
      <c r="AL91" t="str">
        <f>_xlfn.LET(
  _xlpm.result, _xlfn.XLOOKUP($B91, Result_Database!$A$2:$A$500, Result_Database!AK$2:AK$500),
  _xlfn.IFNA(_xlpm.result, "")
)</f>
        <v/>
      </c>
      <c r="AM9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9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9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9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9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9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9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9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9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91" t="str">
        <f>IF(SUM(Table5[[#This Row],[A1]:[C6]])&lt;&gt;0,SUM(Table5[[#This Row],[A1]:[C6]]),"")</f>
        <v/>
      </c>
      <c r="AW91" t="str">
        <f>IF(SUM(Table5[[#This Row],[D7]:[F9]])=0,"",SUM(Table5[[#This Row],[D7]:[F9]]))</f>
        <v/>
      </c>
      <c r="AX9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9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9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9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9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9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91" t="str">
        <f>IF(COUNTIF(Table5[[#This Row],[English Language]:[Electrical/ Electronics]],"WITHHELD")=0,"",COUNTIF(Table5[[#This Row],[English Language]:[Electrical/ Electronics]],"WITHHELD"))</f>
        <v/>
      </c>
      <c r="BE91" t="str">
        <f>IF(SUM(Table5[[#This Row],[NO OF CREDITS]:[BELOW CREDITS]])=0,"",SUM(Table5[[#This Row],[NO OF CREDITS]:[BELOW CREDITS]]))</f>
        <v/>
      </c>
    </row>
    <row r="92" spans="1:57" x14ac:dyDescent="0.3">
      <c r="A92" t="str">
        <f>IF(B92&lt;&gt;"",COUNTA($B$6:B92),"")</f>
        <v/>
      </c>
      <c r="B92" t="str">
        <f>IF(Result_Database!A88="","",Result_Database!A88)</f>
        <v/>
      </c>
      <c r="C92" t="str">
        <f>_xlfn.LET(
_xlpm.result,_xlfn.XLOOKUP($B92,Result_Database!$A$2:$A$500,Result_Database!$B$2:$B$500),
_xlfn.IFNA(_xlpm.result,"")
)</f>
        <v/>
      </c>
      <c r="D92" t="str">
        <f>_xlfn.LET(
  _xlpm.result, _xlfn.XLOOKUP($B92, Result_Database!$A$2:$A$500, Result_Database!C$2:C$500),
  _xlfn.IFNA(_xlpm.result, "")
)</f>
        <v/>
      </c>
      <c r="E92" t="str">
        <f>_xlfn.LET(
  _xlpm.result, _xlfn.XLOOKUP($B92, Result_Database!$A$2:$A$500, Result_Database!D$2:D$500),
  _xlfn.IFNA(_xlpm.result, "")
)</f>
        <v/>
      </c>
      <c r="F92" t="str">
        <f>_xlfn.LET(
  _xlpm.result, _xlfn.XLOOKUP($B92, Result_Database!$A$2:$A$500, Result_Database!E$2:E$500),
  _xlfn.IFNA(_xlpm.result, "")
)</f>
        <v/>
      </c>
      <c r="G92" t="str">
        <f>_xlfn.LET(
  _xlpm.result, _xlfn.XLOOKUP($B92, Result_Database!$A$2:$A$500, Result_Database!F$2:F$500),
  _xlfn.IFNA(_xlpm.result, "")
)</f>
        <v/>
      </c>
      <c r="H92" t="str">
        <f>_xlfn.LET(
  _xlpm.result, _xlfn.XLOOKUP($B92, Result_Database!$A$2:$A$500, Result_Database!G$2:G$500),
  _xlfn.IFNA(_xlpm.result, "")
)</f>
        <v/>
      </c>
      <c r="I92" t="str">
        <f>_xlfn.LET(
  _xlpm.result, _xlfn.XLOOKUP($B92, Result_Database!$A$2:$A$500, Result_Database!H$2:H$500),
  _xlfn.IFNA(_xlpm.result, "")
)</f>
        <v/>
      </c>
      <c r="J92" t="str">
        <f>_xlfn.LET(
  _xlpm.result, _xlfn.XLOOKUP($B92, Result_Database!$A$2:$A$500, Result_Database!I$2:I$500),
  _xlfn.IFNA(_xlpm.result, "")
)</f>
        <v/>
      </c>
      <c r="K92" t="str">
        <f>_xlfn.LET(
  _xlpm.result, _xlfn.XLOOKUP($B92, Result_Database!$A$2:$A$500, Result_Database!J$2:J$500),
  _xlfn.IFNA(_xlpm.result, "")
)</f>
        <v/>
      </c>
      <c r="L92" t="str">
        <f>_xlfn.LET(
  _xlpm.result, _xlfn.XLOOKUP($B92, Result_Database!$A$2:$A$500, Result_Database!K$2:K$500),
  _xlfn.IFNA(_xlpm.result, "")
)</f>
        <v/>
      </c>
      <c r="M92" t="str">
        <f>_xlfn.LET(
  _xlpm.result, _xlfn.XLOOKUP($B92, Result_Database!$A$2:$A$500, Result_Database!L$2:L$500),
  _xlfn.IFNA(_xlpm.result, "")
)</f>
        <v/>
      </c>
      <c r="N92" t="str">
        <f>_xlfn.LET(
  _xlpm.result, _xlfn.XLOOKUP($B92, Result_Database!$A$2:$A$500, Result_Database!M$2:M$500),
  _xlfn.IFNA(_xlpm.result, "")
)</f>
        <v/>
      </c>
      <c r="O92" t="str">
        <f>_xlfn.LET(
  _xlpm.result, _xlfn.XLOOKUP($B92, Result_Database!$A$2:$A$500, Result_Database!N$2:N$500),
  _xlfn.IFNA(_xlpm.result, "")
)</f>
        <v/>
      </c>
      <c r="P92" t="str">
        <f>_xlfn.LET(
  _xlpm.result, _xlfn.XLOOKUP($B92, Result_Database!$A$2:$A$500, Result_Database!O$2:O$500),
  _xlfn.IFNA(_xlpm.result, "")
)</f>
        <v/>
      </c>
      <c r="Q92" t="str">
        <f>_xlfn.LET(
  _xlpm.result, _xlfn.XLOOKUP($B92, Result_Database!$A$2:$A$500, Result_Database!P$2:P$500),
  _xlfn.IFNA(_xlpm.result, "")
)</f>
        <v/>
      </c>
      <c r="R92" t="str">
        <f>_xlfn.LET(
  _xlpm.result, _xlfn.XLOOKUP($B92, Result_Database!$A$2:$A$500, Result_Database!Q$2:Q$500),
  _xlfn.IFNA(_xlpm.result, "")
)</f>
        <v/>
      </c>
      <c r="S92" t="str">
        <f>_xlfn.LET(
  _xlpm.result, _xlfn.XLOOKUP($B92, Result_Database!$A$2:$A$500, Result_Database!R$2:R$500),
  _xlfn.IFNA(_xlpm.result, "")
)</f>
        <v/>
      </c>
      <c r="T92" t="str">
        <f>_xlfn.LET(
  _xlpm.result, _xlfn.XLOOKUP($B92, Result_Database!$A$2:$A$500, Result_Database!S$2:S$500),
  _xlfn.IFNA(_xlpm.result, "")
)</f>
        <v/>
      </c>
      <c r="U92" t="str">
        <f>_xlfn.LET(
  _xlpm.result, _xlfn.XLOOKUP($B92, Result_Database!$A$2:$A$500, Result_Database!T$2:T$500),
  _xlfn.IFNA(_xlpm.result, "")
)</f>
        <v/>
      </c>
      <c r="V92" t="str">
        <f>_xlfn.LET(
  _xlpm.result, _xlfn.XLOOKUP($B92, Result_Database!$A$2:$A$500, Result_Database!U$2:U$500),
  _xlfn.IFNA(_xlpm.result, "")
)</f>
        <v/>
      </c>
      <c r="W92" t="str">
        <f>_xlfn.LET(
  _xlpm.result, _xlfn.XLOOKUP($B92, Result_Database!$A$2:$A$500, Result_Database!V$2:V$500),
  _xlfn.IFNA(_xlpm.result, "")
)</f>
        <v/>
      </c>
      <c r="X92" t="str">
        <f>_xlfn.LET(
  _xlpm.result, _xlfn.XLOOKUP($B92, Result_Database!$A$2:$A$500, Result_Database!W$2:W$500),
  _xlfn.IFNA(_xlpm.result, "")
)</f>
        <v/>
      </c>
      <c r="Y92" t="str">
        <f>_xlfn.LET(
  _xlpm.result, _xlfn.XLOOKUP($B92, Result_Database!$A$2:$A$500, Result_Database!X$2:X$500),
  _xlfn.IFNA(_xlpm.result, "")
)</f>
        <v/>
      </c>
      <c r="Z92" t="str">
        <f>_xlfn.LET(
  _xlpm.result, _xlfn.XLOOKUP($B92, Result_Database!$A$2:$A$500, Result_Database!Y$2:Y$500),
  _xlfn.IFNA(_xlpm.result, "")
)</f>
        <v/>
      </c>
      <c r="AA92" t="str">
        <f>_xlfn.LET(
  _xlpm.result, _xlfn.XLOOKUP($B92, Result_Database!$A$2:$A$500, Result_Database!Z$2:Z$500),
  _xlfn.IFNA(_xlpm.result, "")
)</f>
        <v/>
      </c>
      <c r="AB92" t="str">
        <f>_xlfn.LET(
  _xlpm.result, _xlfn.XLOOKUP($B92, Result_Database!$A$2:$A$500, Result_Database!AA$2:AA$500),
  _xlfn.IFNA(_xlpm.result, "")
)</f>
        <v/>
      </c>
      <c r="AC92" t="str">
        <f>_xlfn.LET(
  _xlpm.result, _xlfn.XLOOKUP($B92, Result_Database!$A$2:$A$500, Result_Database!AB$2:AB$500),
  _xlfn.IFNA(_xlpm.result, "")
)</f>
        <v/>
      </c>
      <c r="AD92" t="str">
        <f>_xlfn.LET(
  _xlpm.result, _xlfn.XLOOKUP($B92, Result_Database!$A$2:$A$500, Result_Database!AC$2:AC$500),
  _xlfn.IFNA(_xlpm.result, "")
)</f>
        <v/>
      </c>
      <c r="AE92" t="str">
        <f>_xlfn.LET(
  _xlpm.result, _xlfn.XLOOKUP($B92, Result_Database!$A$2:$A$500, Result_Database!AD$2:AD$500),
  _xlfn.IFNA(_xlpm.result, "")
)</f>
        <v/>
      </c>
      <c r="AF92" t="str">
        <f>_xlfn.LET(
  _xlpm.result, _xlfn.XLOOKUP($B92, Result_Database!$A$2:$A$500, Result_Database!AE$2:AE$500),
  _xlfn.IFNA(_xlpm.result, "")
)</f>
        <v/>
      </c>
      <c r="AG92" t="str">
        <f>_xlfn.LET(
  _xlpm.result, _xlfn.XLOOKUP($B92, Result_Database!$A$2:$A$500, Result_Database!AF$2:AF$500),
  _xlfn.IFNA(_xlpm.result, "")
)</f>
        <v/>
      </c>
      <c r="AH92" t="str">
        <f>_xlfn.LET(
  _xlpm.result, _xlfn.XLOOKUP($B92, Result_Database!$A$2:$A$500, Result_Database!AG$2:AG$500),
  _xlfn.IFNA(_xlpm.result, "")
)</f>
        <v/>
      </c>
      <c r="AI92" t="str">
        <f>_xlfn.LET(
  _xlpm.result, _xlfn.XLOOKUP($B92, Result_Database!$A$2:$A$500, Result_Database!AH$2:AH$500),
  _xlfn.IFNA(_xlpm.result, "")
)</f>
        <v/>
      </c>
      <c r="AJ92" t="str">
        <f>_xlfn.LET(
  _xlpm.result, _xlfn.XLOOKUP($B92, Result_Database!$A$2:$A$500, Result_Database!AI$2:AI$500),
  _xlfn.IFNA(_xlpm.result, "")
)</f>
        <v/>
      </c>
      <c r="AK92" t="str">
        <f>_xlfn.LET(
  _xlpm.result, _xlfn.XLOOKUP($B92, Result_Database!$A$2:$A$500, Result_Database!AJ$2:AJ$500),
  _xlfn.IFNA(_xlpm.result, "")
)</f>
        <v/>
      </c>
      <c r="AL92" t="str">
        <f>_xlfn.LET(
  _xlpm.result, _xlfn.XLOOKUP($B92, Result_Database!$A$2:$A$500, Result_Database!AK$2:AK$500),
  _xlfn.IFNA(_xlpm.result, "")
)</f>
        <v/>
      </c>
      <c r="AM9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9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9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9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9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9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9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9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9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92" t="str">
        <f>IF(SUM(Table5[[#This Row],[A1]:[C6]])&lt;&gt;0,SUM(Table5[[#This Row],[A1]:[C6]]),"")</f>
        <v/>
      </c>
      <c r="AW92" t="str">
        <f>IF(SUM(Table5[[#This Row],[D7]:[F9]])=0,"",SUM(Table5[[#This Row],[D7]:[F9]]))</f>
        <v/>
      </c>
      <c r="AX9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9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9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9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9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9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92" t="str">
        <f>IF(COUNTIF(Table5[[#This Row],[English Language]:[Electrical/ Electronics]],"WITHHELD")=0,"",COUNTIF(Table5[[#This Row],[English Language]:[Electrical/ Electronics]],"WITHHELD"))</f>
        <v/>
      </c>
      <c r="BE92" t="str">
        <f>IF(SUM(Table5[[#This Row],[NO OF CREDITS]:[BELOW CREDITS]])=0,"",SUM(Table5[[#This Row],[NO OF CREDITS]:[BELOW CREDITS]]))</f>
        <v/>
      </c>
    </row>
    <row r="93" spans="1:57" x14ac:dyDescent="0.3">
      <c r="A93" t="str">
        <f>IF(B93&lt;&gt;"",COUNTA($B$6:B93),"")</f>
        <v/>
      </c>
      <c r="B93" t="str">
        <f>IF(Result_Database!A89="","",Result_Database!A89)</f>
        <v/>
      </c>
      <c r="C93" t="str">
        <f>_xlfn.LET(
_xlpm.result,_xlfn.XLOOKUP($B93,Result_Database!$A$2:$A$500,Result_Database!$B$2:$B$500),
_xlfn.IFNA(_xlpm.result,"")
)</f>
        <v/>
      </c>
      <c r="D93" t="str">
        <f>_xlfn.LET(
  _xlpm.result, _xlfn.XLOOKUP($B93, Result_Database!$A$2:$A$500, Result_Database!C$2:C$500),
  _xlfn.IFNA(_xlpm.result, "")
)</f>
        <v/>
      </c>
      <c r="E93" t="str">
        <f>_xlfn.LET(
  _xlpm.result, _xlfn.XLOOKUP($B93, Result_Database!$A$2:$A$500, Result_Database!D$2:D$500),
  _xlfn.IFNA(_xlpm.result, "")
)</f>
        <v/>
      </c>
      <c r="F93" t="str">
        <f>_xlfn.LET(
  _xlpm.result, _xlfn.XLOOKUP($B93, Result_Database!$A$2:$A$500, Result_Database!E$2:E$500),
  _xlfn.IFNA(_xlpm.result, "")
)</f>
        <v/>
      </c>
      <c r="G93" t="str">
        <f>_xlfn.LET(
  _xlpm.result, _xlfn.XLOOKUP($B93, Result_Database!$A$2:$A$500, Result_Database!F$2:F$500),
  _xlfn.IFNA(_xlpm.result, "")
)</f>
        <v/>
      </c>
      <c r="H93" t="str">
        <f>_xlfn.LET(
  _xlpm.result, _xlfn.XLOOKUP($B93, Result_Database!$A$2:$A$500, Result_Database!G$2:G$500),
  _xlfn.IFNA(_xlpm.result, "")
)</f>
        <v/>
      </c>
      <c r="I93" t="str">
        <f>_xlfn.LET(
  _xlpm.result, _xlfn.XLOOKUP($B93, Result_Database!$A$2:$A$500, Result_Database!H$2:H$500),
  _xlfn.IFNA(_xlpm.result, "")
)</f>
        <v/>
      </c>
      <c r="J93" t="str">
        <f>_xlfn.LET(
  _xlpm.result, _xlfn.XLOOKUP($B93, Result_Database!$A$2:$A$500, Result_Database!I$2:I$500),
  _xlfn.IFNA(_xlpm.result, "")
)</f>
        <v/>
      </c>
      <c r="K93" t="str">
        <f>_xlfn.LET(
  _xlpm.result, _xlfn.XLOOKUP($B93, Result_Database!$A$2:$A$500, Result_Database!J$2:J$500),
  _xlfn.IFNA(_xlpm.result, "")
)</f>
        <v/>
      </c>
      <c r="L93" t="str">
        <f>_xlfn.LET(
  _xlpm.result, _xlfn.XLOOKUP($B93, Result_Database!$A$2:$A$500, Result_Database!K$2:K$500),
  _xlfn.IFNA(_xlpm.result, "")
)</f>
        <v/>
      </c>
      <c r="M93" t="str">
        <f>_xlfn.LET(
  _xlpm.result, _xlfn.XLOOKUP($B93, Result_Database!$A$2:$A$500, Result_Database!L$2:L$500),
  _xlfn.IFNA(_xlpm.result, "")
)</f>
        <v/>
      </c>
      <c r="N93" t="str">
        <f>_xlfn.LET(
  _xlpm.result, _xlfn.XLOOKUP($B93, Result_Database!$A$2:$A$500, Result_Database!M$2:M$500),
  _xlfn.IFNA(_xlpm.result, "")
)</f>
        <v/>
      </c>
      <c r="O93" t="str">
        <f>_xlfn.LET(
  _xlpm.result, _xlfn.XLOOKUP($B93, Result_Database!$A$2:$A$500, Result_Database!N$2:N$500),
  _xlfn.IFNA(_xlpm.result, "")
)</f>
        <v/>
      </c>
      <c r="P93" t="str">
        <f>_xlfn.LET(
  _xlpm.result, _xlfn.XLOOKUP($B93, Result_Database!$A$2:$A$500, Result_Database!O$2:O$500),
  _xlfn.IFNA(_xlpm.result, "")
)</f>
        <v/>
      </c>
      <c r="Q93" t="str">
        <f>_xlfn.LET(
  _xlpm.result, _xlfn.XLOOKUP($B93, Result_Database!$A$2:$A$500, Result_Database!P$2:P$500),
  _xlfn.IFNA(_xlpm.result, "")
)</f>
        <v/>
      </c>
      <c r="R93" t="str">
        <f>_xlfn.LET(
  _xlpm.result, _xlfn.XLOOKUP($B93, Result_Database!$A$2:$A$500, Result_Database!Q$2:Q$500),
  _xlfn.IFNA(_xlpm.result, "")
)</f>
        <v/>
      </c>
      <c r="S93" t="str">
        <f>_xlfn.LET(
  _xlpm.result, _xlfn.XLOOKUP($B93, Result_Database!$A$2:$A$500, Result_Database!R$2:R$500),
  _xlfn.IFNA(_xlpm.result, "")
)</f>
        <v/>
      </c>
      <c r="T93" t="str">
        <f>_xlfn.LET(
  _xlpm.result, _xlfn.XLOOKUP($B93, Result_Database!$A$2:$A$500, Result_Database!S$2:S$500),
  _xlfn.IFNA(_xlpm.result, "")
)</f>
        <v/>
      </c>
      <c r="U93" t="str">
        <f>_xlfn.LET(
  _xlpm.result, _xlfn.XLOOKUP($B93, Result_Database!$A$2:$A$500, Result_Database!T$2:T$500),
  _xlfn.IFNA(_xlpm.result, "")
)</f>
        <v/>
      </c>
      <c r="V93" t="str">
        <f>_xlfn.LET(
  _xlpm.result, _xlfn.XLOOKUP($B93, Result_Database!$A$2:$A$500, Result_Database!U$2:U$500),
  _xlfn.IFNA(_xlpm.result, "")
)</f>
        <v/>
      </c>
      <c r="W93" t="str">
        <f>_xlfn.LET(
  _xlpm.result, _xlfn.XLOOKUP($B93, Result_Database!$A$2:$A$500, Result_Database!V$2:V$500),
  _xlfn.IFNA(_xlpm.result, "")
)</f>
        <v/>
      </c>
      <c r="X93" t="str">
        <f>_xlfn.LET(
  _xlpm.result, _xlfn.XLOOKUP($B93, Result_Database!$A$2:$A$500, Result_Database!W$2:W$500),
  _xlfn.IFNA(_xlpm.result, "")
)</f>
        <v/>
      </c>
      <c r="Y93" t="str">
        <f>_xlfn.LET(
  _xlpm.result, _xlfn.XLOOKUP($B93, Result_Database!$A$2:$A$500, Result_Database!X$2:X$500),
  _xlfn.IFNA(_xlpm.result, "")
)</f>
        <v/>
      </c>
      <c r="Z93" t="str">
        <f>_xlfn.LET(
  _xlpm.result, _xlfn.XLOOKUP($B93, Result_Database!$A$2:$A$500, Result_Database!Y$2:Y$500),
  _xlfn.IFNA(_xlpm.result, "")
)</f>
        <v/>
      </c>
      <c r="AA93" t="str">
        <f>_xlfn.LET(
  _xlpm.result, _xlfn.XLOOKUP($B93, Result_Database!$A$2:$A$500, Result_Database!Z$2:Z$500),
  _xlfn.IFNA(_xlpm.result, "")
)</f>
        <v/>
      </c>
      <c r="AB93" t="str">
        <f>_xlfn.LET(
  _xlpm.result, _xlfn.XLOOKUP($B93, Result_Database!$A$2:$A$500, Result_Database!AA$2:AA$500),
  _xlfn.IFNA(_xlpm.result, "")
)</f>
        <v/>
      </c>
      <c r="AC93" t="str">
        <f>_xlfn.LET(
  _xlpm.result, _xlfn.XLOOKUP($B93, Result_Database!$A$2:$A$500, Result_Database!AB$2:AB$500),
  _xlfn.IFNA(_xlpm.result, "")
)</f>
        <v/>
      </c>
      <c r="AD93" t="str">
        <f>_xlfn.LET(
  _xlpm.result, _xlfn.XLOOKUP($B93, Result_Database!$A$2:$A$500, Result_Database!AC$2:AC$500),
  _xlfn.IFNA(_xlpm.result, "")
)</f>
        <v/>
      </c>
      <c r="AE93" t="str">
        <f>_xlfn.LET(
  _xlpm.result, _xlfn.XLOOKUP($B93, Result_Database!$A$2:$A$500, Result_Database!AD$2:AD$500),
  _xlfn.IFNA(_xlpm.result, "")
)</f>
        <v/>
      </c>
      <c r="AF93" t="str">
        <f>_xlfn.LET(
  _xlpm.result, _xlfn.XLOOKUP($B93, Result_Database!$A$2:$A$500, Result_Database!AE$2:AE$500),
  _xlfn.IFNA(_xlpm.result, "")
)</f>
        <v/>
      </c>
      <c r="AG93" t="str">
        <f>_xlfn.LET(
  _xlpm.result, _xlfn.XLOOKUP($B93, Result_Database!$A$2:$A$500, Result_Database!AF$2:AF$500),
  _xlfn.IFNA(_xlpm.result, "")
)</f>
        <v/>
      </c>
      <c r="AH93" t="str">
        <f>_xlfn.LET(
  _xlpm.result, _xlfn.XLOOKUP($B93, Result_Database!$A$2:$A$500, Result_Database!AG$2:AG$500),
  _xlfn.IFNA(_xlpm.result, "")
)</f>
        <v/>
      </c>
      <c r="AI93" t="str">
        <f>_xlfn.LET(
  _xlpm.result, _xlfn.XLOOKUP($B93, Result_Database!$A$2:$A$500, Result_Database!AH$2:AH$500),
  _xlfn.IFNA(_xlpm.result, "")
)</f>
        <v/>
      </c>
      <c r="AJ93" t="str">
        <f>_xlfn.LET(
  _xlpm.result, _xlfn.XLOOKUP($B93, Result_Database!$A$2:$A$500, Result_Database!AI$2:AI$500),
  _xlfn.IFNA(_xlpm.result, "")
)</f>
        <v/>
      </c>
      <c r="AK93" t="str">
        <f>_xlfn.LET(
  _xlpm.result, _xlfn.XLOOKUP($B93, Result_Database!$A$2:$A$500, Result_Database!AJ$2:AJ$500),
  _xlfn.IFNA(_xlpm.result, "")
)</f>
        <v/>
      </c>
      <c r="AL93" t="str">
        <f>_xlfn.LET(
  _xlpm.result, _xlfn.XLOOKUP($B93, Result_Database!$A$2:$A$500, Result_Database!AK$2:AK$500),
  _xlfn.IFNA(_xlpm.result, "")
)</f>
        <v/>
      </c>
      <c r="AM9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9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9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9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9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9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9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9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9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93" t="str">
        <f>IF(SUM(Table5[[#This Row],[A1]:[C6]])&lt;&gt;0,SUM(Table5[[#This Row],[A1]:[C6]]),"")</f>
        <v/>
      </c>
      <c r="AW93" t="str">
        <f>IF(SUM(Table5[[#This Row],[D7]:[F9]])=0,"",SUM(Table5[[#This Row],[D7]:[F9]]))</f>
        <v/>
      </c>
      <c r="AX9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9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9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9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9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9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93" t="str">
        <f>IF(COUNTIF(Table5[[#This Row],[English Language]:[Electrical/ Electronics]],"WITHHELD")=0,"",COUNTIF(Table5[[#This Row],[English Language]:[Electrical/ Electronics]],"WITHHELD"))</f>
        <v/>
      </c>
      <c r="BE93" t="str">
        <f>IF(SUM(Table5[[#This Row],[NO OF CREDITS]:[BELOW CREDITS]])=0,"",SUM(Table5[[#This Row],[NO OF CREDITS]:[BELOW CREDITS]]))</f>
        <v/>
      </c>
    </row>
    <row r="94" spans="1:57" x14ac:dyDescent="0.3">
      <c r="A94" t="str">
        <f>IF(B94&lt;&gt;"",COUNTA($B$6:B94),"")</f>
        <v/>
      </c>
      <c r="B94" t="str">
        <f>IF(Result_Database!A90="","",Result_Database!A90)</f>
        <v/>
      </c>
      <c r="C94" t="str">
        <f>_xlfn.LET(
_xlpm.result,_xlfn.XLOOKUP($B94,Result_Database!$A$2:$A$500,Result_Database!$B$2:$B$500),
_xlfn.IFNA(_xlpm.result,"")
)</f>
        <v/>
      </c>
      <c r="D94" t="str">
        <f>_xlfn.LET(
  _xlpm.result, _xlfn.XLOOKUP($B94, Result_Database!$A$2:$A$500, Result_Database!C$2:C$500),
  _xlfn.IFNA(_xlpm.result, "")
)</f>
        <v/>
      </c>
      <c r="E94" t="str">
        <f>_xlfn.LET(
  _xlpm.result, _xlfn.XLOOKUP($B94, Result_Database!$A$2:$A$500, Result_Database!D$2:D$500),
  _xlfn.IFNA(_xlpm.result, "")
)</f>
        <v/>
      </c>
      <c r="F94" t="str">
        <f>_xlfn.LET(
  _xlpm.result, _xlfn.XLOOKUP($B94, Result_Database!$A$2:$A$500, Result_Database!E$2:E$500),
  _xlfn.IFNA(_xlpm.result, "")
)</f>
        <v/>
      </c>
      <c r="G94" t="str">
        <f>_xlfn.LET(
  _xlpm.result, _xlfn.XLOOKUP($B94, Result_Database!$A$2:$A$500, Result_Database!F$2:F$500),
  _xlfn.IFNA(_xlpm.result, "")
)</f>
        <v/>
      </c>
      <c r="H94" t="str">
        <f>_xlfn.LET(
  _xlpm.result, _xlfn.XLOOKUP($B94, Result_Database!$A$2:$A$500, Result_Database!G$2:G$500),
  _xlfn.IFNA(_xlpm.result, "")
)</f>
        <v/>
      </c>
      <c r="I94" t="str">
        <f>_xlfn.LET(
  _xlpm.result, _xlfn.XLOOKUP($B94, Result_Database!$A$2:$A$500, Result_Database!H$2:H$500),
  _xlfn.IFNA(_xlpm.result, "")
)</f>
        <v/>
      </c>
      <c r="J94" t="str">
        <f>_xlfn.LET(
  _xlpm.result, _xlfn.XLOOKUP($B94, Result_Database!$A$2:$A$500, Result_Database!I$2:I$500),
  _xlfn.IFNA(_xlpm.result, "")
)</f>
        <v/>
      </c>
      <c r="K94" t="str">
        <f>_xlfn.LET(
  _xlpm.result, _xlfn.XLOOKUP($B94, Result_Database!$A$2:$A$500, Result_Database!J$2:J$500),
  _xlfn.IFNA(_xlpm.result, "")
)</f>
        <v/>
      </c>
      <c r="L94" t="str">
        <f>_xlfn.LET(
  _xlpm.result, _xlfn.XLOOKUP($B94, Result_Database!$A$2:$A$500, Result_Database!K$2:K$500),
  _xlfn.IFNA(_xlpm.result, "")
)</f>
        <v/>
      </c>
      <c r="M94" t="str">
        <f>_xlfn.LET(
  _xlpm.result, _xlfn.XLOOKUP($B94, Result_Database!$A$2:$A$500, Result_Database!L$2:L$500),
  _xlfn.IFNA(_xlpm.result, "")
)</f>
        <v/>
      </c>
      <c r="N94" t="str">
        <f>_xlfn.LET(
  _xlpm.result, _xlfn.XLOOKUP($B94, Result_Database!$A$2:$A$500, Result_Database!M$2:M$500),
  _xlfn.IFNA(_xlpm.result, "")
)</f>
        <v/>
      </c>
      <c r="O94" t="str">
        <f>_xlfn.LET(
  _xlpm.result, _xlfn.XLOOKUP($B94, Result_Database!$A$2:$A$500, Result_Database!N$2:N$500),
  _xlfn.IFNA(_xlpm.result, "")
)</f>
        <v/>
      </c>
      <c r="P94" t="str">
        <f>_xlfn.LET(
  _xlpm.result, _xlfn.XLOOKUP($B94, Result_Database!$A$2:$A$500, Result_Database!O$2:O$500),
  _xlfn.IFNA(_xlpm.result, "")
)</f>
        <v/>
      </c>
      <c r="Q94" t="str">
        <f>_xlfn.LET(
  _xlpm.result, _xlfn.XLOOKUP($B94, Result_Database!$A$2:$A$500, Result_Database!P$2:P$500),
  _xlfn.IFNA(_xlpm.result, "")
)</f>
        <v/>
      </c>
      <c r="R94" t="str">
        <f>_xlfn.LET(
  _xlpm.result, _xlfn.XLOOKUP($B94, Result_Database!$A$2:$A$500, Result_Database!Q$2:Q$500),
  _xlfn.IFNA(_xlpm.result, "")
)</f>
        <v/>
      </c>
      <c r="S94" t="str">
        <f>_xlfn.LET(
  _xlpm.result, _xlfn.XLOOKUP($B94, Result_Database!$A$2:$A$500, Result_Database!R$2:R$500),
  _xlfn.IFNA(_xlpm.result, "")
)</f>
        <v/>
      </c>
      <c r="T94" t="str">
        <f>_xlfn.LET(
  _xlpm.result, _xlfn.XLOOKUP($B94, Result_Database!$A$2:$A$500, Result_Database!S$2:S$500),
  _xlfn.IFNA(_xlpm.result, "")
)</f>
        <v/>
      </c>
      <c r="U94" t="str">
        <f>_xlfn.LET(
  _xlpm.result, _xlfn.XLOOKUP($B94, Result_Database!$A$2:$A$500, Result_Database!T$2:T$500),
  _xlfn.IFNA(_xlpm.result, "")
)</f>
        <v/>
      </c>
      <c r="V94" t="str">
        <f>_xlfn.LET(
  _xlpm.result, _xlfn.XLOOKUP($B94, Result_Database!$A$2:$A$500, Result_Database!U$2:U$500),
  _xlfn.IFNA(_xlpm.result, "")
)</f>
        <v/>
      </c>
      <c r="W94" t="str">
        <f>_xlfn.LET(
  _xlpm.result, _xlfn.XLOOKUP($B94, Result_Database!$A$2:$A$500, Result_Database!V$2:V$500),
  _xlfn.IFNA(_xlpm.result, "")
)</f>
        <v/>
      </c>
      <c r="X94" t="str">
        <f>_xlfn.LET(
  _xlpm.result, _xlfn.XLOOKUP($B94, Result_Database!$A$2:$A$500, Result_Database!W$2:W$500),
  _xlfn.IFNA(_xlpm.result, "")
)</f>
        <v/>
      </c>
      <c r="Y94" t="str">
        <f>_xlfn.LET(
  _xlpm.result, _xlfn.XLOOKUP($B94, Result_Database!$A$2:$A$500, Result_Database!X$2:X$500),
  _xlfn.IFNA(_xlpm.result, "")
)</f>
        <v/>
      </c>
      <c r="Z94" t="str">
        <f>_xlfn.LET(
  _xlpm.result, _xlfn.XLOOKUP($B94, Result_Database!$A$2:$A$500, Result_Database!Y$2:Y$500),
  _xlfn.IFNA(_xlpm.result, "")
)</f>
        <v/>
      </c>
      <c r="AA94" t="str">
        <f>_xlfn.LET(
  _xlpm.result, _xlfn.XLOOKUP($B94, Result_Database!$A$2:$A$500, Result_Database!Z$2:Z$500),
  _xlfn.IFNA(_xlpm.result, "")
)</f>
        <v/>
      </c>
      <c r="AB94" t="str">
        <f>_xlfn.LET(
  _xlpm.result, _xlfn.XLOOKUP($B94, Result_Database!$A$2:$A$500, Result_Database!AA$2:AA$500),
  _xlfn.IFNA(_xlpm.result, "")
)</f>
        <v/>
      </c>
      <c r="AC94" t="str">
        <f>_xlfn.LET(
  _xlpm.result, _xlfn.XLOOKUP($B94, Result_Database!$A$2:$A$500, Result_Database!AB$2:AB$500),
  _xlfn.IFNA(_xlpm.result, "")
)</f>
        <v/>
      </c>
      <c r="AD94" t="str">
        <f>_xlfn.LET(
  _xlpm.result, _xlfn.XLOOKUP($B94, Result_Database!$A$2:$A$500, Result_Database!AC$2:AC$500),
  _xlfn.IFNA(_xlpm.result, "")
)</f>
        <v/>
      </c>
      <c r="AE94" t="str">
        <f>_xlfn.LET(
  _xlpm.result, _xlfn.XLOOKUP($B94, Result_Database!$A$2:$A$500, Result_Database!AD$2:AD$500),
  _xlfn.IFNA(_xlpm.result, "")
)</f>
        <v/>
      </c>
      <c r="AF94" t="str">
        <f>_xlfn.LET(
  _xlpm.result, _xlfn.XLOOKUP($B94, Result_Database!$A$2:$A$500, Result_Database!AE$2:AE$500),
  _xlfn.IFNA(_xlpm.result, "")
)</f>
        <v/>
      </c>
      <c r="AG94" t="str">
        <f>_xlfn.LET(
  _xlpm.result, _xlfn.XLOOKUP($B94, Result_Database!$A$2:$A$500, Result_Database!AF$2:AF$500),
  _xlfn.IFNA(_xlpm.result, "")
)</f>
        <v/>
      </c>
      <c r="AH94" t="str">
        <f>_xlfn.LET(
  _xlpm.result, _xlfn.XLOOKUP($B94, Result_Database!$A$2:$A$500, Result_Database!AG$2:AG$500),
  _xlfn.IFNA(_xlpm.result, "")
)</f>
        <v/>
      </c>
      <c r="AI94" t="str">
        <f>_xlfn.LET(
  _xlpm.result, _xlfn.XLOOKUP($B94, Result_Database!$A$2:$A$500, Result_Database!AH$2:AH$500),
  _xlfn.IFNA(_xlpm.result, "")
)</f>
        <v/>
      </c>
      <c r="AJ94" t="str">
        <f>_xlfn.LET(
  _xlpm.result, _xlfn.XLOOKUP($B94, Result_Database!$A$2:$A$500, Result_Database!AI$2:AI$500),
  _xlfn.IFNA(_xlpm.result, "")
)</f>
        <v/>
      </c>
      <c r="AK94" t="str">
        <f>_xlfn.LET(
  _xlpm.result, _xlfn.XLOOKUP($B94, Result_Database!$A$2:$A$500, Result_Database!AJ$2:AJ$500),
  _xlfn.IFNA(_xlpm.result, "")
)</f>
        <v/>
      </c>
      <c r="AL94" t="str">
        <f>_xlfn.LET(
  _xlpm.result, _xlfn.XLOOKUP($B94, Result_Database!$A$2:$A$500, Result_Database!AK$2:AK$500),
  _xlfn.IFNA(_xlpm.result, "")
)</f>
        <v/>
      </c>
      <c r="AM9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9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9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9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9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9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9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9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9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94" t="str">
        <f>IF(SUM(Table5[[#This Row],[A1]:[C6]])&lt;&gt;0,SUM(Table5[[#This Row],[A1]:[C6]]),"")</f>
        <v/>
      </c>
      <c r="AW94" t="str">
        <f>IF(SUM(Table5[[#This Row],[D7]:[F9]])=0,"",SUM(Table5[[#This Row],[D7]:[F9]]))</f>
        <v/>
      </c>
      <c r="AX9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9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9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9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9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9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94" t="str">
        <f>IF(COUNTIF(Table5[[#This Row],[English Language]:[Electrical/ Electronics]],"WITHHELD")=0,"",COUNTIF(Table5[[#This Row],[English Language]:[Electrical/ Electronics]],"WITHHELD"))</f>
        <v/>
      </c>
      <c r="BE94" t="str">
        <f>IF(SUM(Table5[[#This Row],[NO OF CREDITS]:[BELOW CREDITS]])=0,"",SUM(Table5[[#This Row],[NO OF CREDITS]:[BELOW CREDITS]]))</f>
        <v/>
      </c>
    </row>
    <row r="95" spans="1:57" x14ac:dyDescent="0.3">
      <c r="A95" t="str">
        <f>IF(B95&lt;&gt;"",COUNTA($B$6:B95),"")</f>
        <v/>
      </c>
      <c r="B95" t="str">
        <f>IF(Result_Database!A91="","",Result_Database!A91)</f>
        <v/>
      </c>
      <c r="C95" t="str">
        <f>_xlfn.LET(
_xlpm.result,_xlfn.XLOOKUP($B95,Result_Database!$A$2:$A$500,Result_Database!$B$2:$B$500),
_xlfn.IFNA(_xlpm.result,"")
)</f>
        <v/>
      </c>
      <c r="D95" t="str">
        <f>_xlfn.LET(
  _xlpm.result, _xlfn.XLOOKUP($B95, Result_Database!$A$2:$A$500, Result_Database!C$2:C$500),
  _xlfn.IFNA(_xlpm.result, "")
)</f>
        <v/>
      </c>
      <c r="E95" t="str">
        <f>_xlfn.LET(
  _xlpm.result, _xlfn.XLOOKUP($B95, Result_Database!$A$2:$A$500, Result_Database!D$2:D$500),
  _xlfn.IFNA(_xlpm.result, "")
)</f>
        <v/>
      </c>
      <c r="F95" t="str">
        <f>_xlfn.LET(
  _xlpm.result, _xlfn.XLOOKUP($B95, Result_Database!$A$2:$A$500, Result_Database!E$2:E$500),
  _xlfn.IFNA(_xlpm.result, "")
)</f>
        <v/>
      </c>
      <c r="G95" t="str">
        <f>_xlfn.LET(
  _xlpm.result, _xlfn.XLOOKUP($B95, Result_Database!$A$2:$A$500, Result_Database!F$2:F$500),
  _xlfn.IFNA(_xlpm.result, "")
)</f>
        <v/>
      </c>
      <c r="H95" t="str">
        <f>_xlfn.LET(
  _xlpm.result, _xlfn.XLOOKUP($B95, Result_Database!$A$2:$A$500, Result_Database!G$2:G$500),
  _xlfn.IFNA(_xlpm.result, "")
)</f>
        <v/>
      </c>
      <c r="I95" t="str">
        <f>_xlfn.LET(
  _xlpm.result, _xlfn.XLOOKUP($B95, Result_Database!$A$2:$A$500, Result_Database!H$2:H$500),
  _xlfn.IFNA(_xlpm.result, "")
)</f>
        <v/>
      </c>
      <c r="J95" t="str">
        <f>_xlfn.LET(
  _xlpm.result, _xlfn.XLOOKUP($B95, Result_Database!$A$2:$A$500, Result_Database!I$2:I$500),
  _xlfn.IFNA(_xlpm.result, "")
)</f>
        <v/>
      </c>
      <c r="K95" t="str">
        <f>_xlfn.LET(
  _xlpm.result, _xlfn.XLOOKUP($B95, Result_Database!$A$2:$A$500, Result_Database!J$2:J$500),
  _xlfn.IFNA(_xlpm.result, "")
)</f>
        <v/>
      </c>
      <c r="L95" t="str">
        <f>_xlfn.LET(
  _xlpm.result, _xlfn.XLOOKUP($B95, Result_Database!$A$2:$A$500, Result_Database!K$2:K$500),
  _xlfn.IFNA(_xlpm.result, "")
)</f>
        <v/>
      </c>
      <c r="M95" t="str">
        <f>_xlfn.LET(
  _xlpm.result, _xlfn.XLOOKUP($B95, Result_Database!$A$2:$A$500, Result_Database!L$2:L$500),
  _xlfn.IFNA(_xlpm.result, "")
)</f>
        <v/>
      </c>
      <c r="N95" t="str">
        <f>_xlfn.LET(
  _xlpm.result, _xlfn.XLOOKUP($B95, Result_Database!$A$2:$A$500, Result_Database!M$2:M$500),
  _xlfn.IFNA(_xlpm.result, "")
)</f>
        <v/>
      </c>
      <c r="O95" t="str">
        <f>_xlfn.LET(
  _xlpm.result, _xlfn.XLOOKUP($B95, Result_Database!$A$2:$A$500, Result_Database!N$2:N$500),
  _xlfn.IFNA(_xlpm.result, "")
)</f>
        <v/>
      </c>
      <c r="P95" t="str">
        <f>_xlfn.LET(
  _xlpm.result, _xlfn.XLOOKUP($B95, Result_Database!$A$2:$A$500, Result_Database!O$2:O$500),
  _xlfn.IFNA(_xlpm.result, "")
)</f>
        <v/>
      </c>
      <c r="Q95" t="str">
        <f>_xlfn.LET(
  _xlpm.result, _xlfn.XLOOKUP($B95, Result_Database!$A$2:$A$500, Result_Database!P$2:P$500),
  _xlfn.IFNA(_xlpm.result, "")
)</f>
        <v/>
      </c>
      <c r="R95" t="str">
        <f>_xlfn.LET(
  _xlpm.result, _xlfn.XLOOKUP($B95, Result_Database!$A$2:$A$500, Result_Database!Q$2:Q$500),
  _xlfn.IFNA(_xlpm.result, "")
)</f>
        <v/>
      </c>
      <c r="S95" t="str">
        <f>_xlfn.LET(
  _xlpm.result, _xlfn.XLOOKUP($B95, Result_Database!$A$2:$A$500, Result_Database!R$2:R$500),
  _xlfn.IFNA(_xlpm.result, "")
)</f>
        <v/>
      </c>
      <c r="T95" t="str">
        <f>_xlfn.LET(
  _xlpm.result, _xlfn.XLOOKUP($B95, Result_Database!$A$2:$A$500, Result_Database!S$2:S$500),
  _xlfn.IFNA(_xlpm.result, "")
)</f>
        <v/>
      </c>
      <c r="U95" t="str">
        <f>_xlfn.LET(
  _xlpm.result, _xlfn.XLOOKUP($B95, Result_Database!$A$2:$A$500, Result_Database!T$2:T$500),
  _xlfn.IFNA(_xlpm.result, "")
)</f>
        <v/>
      </c>
      <c r="V95" t="str">
        <f>_xlfn.LET(
  _xlpm.result, _xlfn.XLOOKUP($B95, Result_Database!$A$2:$A$500, Result_Database!U$2:U$500),
  _xlfn.IFNA(_xlpm.result, "")
)</f>
        <v/>
      </c>
      <c r="W95" t="str">
        <f>_xlfn.LET(
  _xlpm.result, _xlfn.XLOOKUP($B95, Result_Database!$A$2:$A$500, Result_Database!V$2:V$500),
  _xlfn.IFNA(_xlpm.result, "")
)</f>
        <v/>
      </c>
      <c r="X95" t="str">
        <f>_xlfn.LET(
  _xlpm.result, _xlfn.XLOOKUP($B95, Result_Database!$A$2:$A$500, Result_Database!W$2:W$500),
  _xlfn.IFNA(_xlpm.result, "")
)</f>
        <v/>
      </c>
      <c r="Y95" t="str">
        <f>_xlfn.LET(
  _xlpm.result, _xlfn.XLOOKUP($B95, Result_Database!$A$2:$A$500, Result_Database!X$2:X$500),
  _xlfn.IFNA(_xlpm.result, "")
)</f>
        <v/>
      </c>
      <c r="Z95" t="str">
        <f>_xlfn.LET(
  _xlpm.result, _xlfn.XLOOKUP($B95, Result_Database!$A$2:$A$500, Result_Database!Y$2:Y$500),
  _xlfn.IFNA(_xlpm.result, "")
)</f>
        <v/>
      </c>
      <c r="AA95" t="str">
        <f>_xlfn.LET(
  _xlpm.result, _xlfn.XLOOKUP($B95, Result_Database!$A$2:$A$500, Result_Database!Z$2:Z$500),
  _xlfn.IFNA(_xlpm.result, "")
)</f>
        <v/>
      </c>
      <c r="AB95" t="str">
        <f>_xlfn.LET(
  _xlpm.result, _xlfn.XLOOKUP($B95, Result_Database!$A$2:$A$500, Result_Database!AA$2:AA$500),
  _xlfn.IFNA(_xlpm.result, "")
)</f>
        <v/>
      </c>
      <c r="AC95" t="str">
        <f>_xlfn.LET(
  _xlpm.result, _xlfn.XLOOKUP($B95, Result_Database!$A$2:$A$500, Result_Database!AB$2:AB$500),
  _xlfn.IFNA(_xlpm.result, "")
)</f>
        <v/>
      </c>
      <c r="AD95" t="str">
        <f>_xlfn.LET(
  _xlpm.result, _xlfn.XLOOKUP($B95, Result_Database!$A$2:$A$500, Result_Database!AC$2:AC$500),
  _xlfn.IFNA(_xlpm.result, "")
)</f>
        <v/>
      </c>
      <c r="AE95" t="str">
        <f>_xlfn.LET(
  _xlpm.result, _xlfn.XLOOKUP($B95, Result_Database!$A$2:$A$500, Result_Database!AD$2:AD$500),
  _xlfn.IFNA(_xlpm.result, "")
)</f>
        <v/>
      </c>
      <c r="AF95" t="str">
        <f>_xlfn.LET(
  _xlpm.result, _xlfn.XLOOKUP($B95, Result_Database!$A$2:$A$500, Result_Database!AE$2:AE$500),
  _xlfn.IFNA(_xlpm.result, "")
)</f>
        <v/>
      </c>
      <c r="AG95" t="str">
        <f>_xlfn.LET(
  _xlpm.result, _xlfn.XLOOKUP($B95, Result_Database!$A$2:$A$500, Result_Database!AF$2:AF$500),
  _xlfn.IFNA(_xlpm.result, "")
)</f>
        <v/>
      </c>
      <c r="AH95" t="str">
        <f>_xlfn.LET(
  _xlpm.result, _xlfn.XLOOKUP($B95, Result_Database!$A$2:$A$500, Result_Database!AG$2:AG$500),
  _xlfn.IFNA(_xlpm.result, "")
)</f>
        <v/>
      </c>
      <c r="AI95" t="str">
        <f>_xlfn.LET(
  _xlpm.result, _xlfn.XLOOKUP($B95, Result_Database!$A$2:$A$500, Result_Database!AH$2:AH$500),
  _xlfn.IFNA(_xlpm.result, "")
)</f>
        <v/>
      </c>
      <c r="AJ95" t="str">
        <f>_xlfn.LET(
  _xlpm.result, _xlfn.XLOOKUP($B95, Result_Database!$A$2:$A$500, Result_Database!AI$2:AI$500),
  _xlfn.IFNA(_xlpm.result, "")
)</f>
        <v/>
      </c>
      <c r="AK95" t="str">
        <f>_xlfn.LET(
  _xlpm.result, _xlfn.XLOOKUP($B95, Result_Database!$A$2:$A$500, Result_Database!AJ$2:AJ$500),
  _xlfn.IFNA(_xlpm.result, "")
)</f>
        <v/>
      </c>
      <c r="AL95" t="str">
        <f>_xlfn.LET(
  _xlpm.result, _xlfn.XLOOKUP($B95, Result_Database!$A$2:$A$500, Result_Database!AK$2:AK$500),
  _xlfn.IFNA(_xlpm.result, "")
)</f>
        <v/>
      </c>
      <c r="AM9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9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9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9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9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9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9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9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9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95" t="str">
        <f>IF(SUM(Table5[[#This Row],[A1]:[C6]])&lt;&gt;0,SUM(Table5[[#This Row],[A1]:[C6]]),"")</f>
        <v/>
      </c>
      <c r="AW95" t="str">
        <f>IF(SUM(Table5[[#This Row],[D7]:[F9]])=0,"",SUM(Table5[[#This Row],[D7]:[F9]]))</f>
        <v/>
      </c>
      <c r="AX9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9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9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9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9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9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95" t="str">
        <f>IF(COUNTIF(Table5[[#This Row],[English Language]:[Electrical/ Electronics]],"WITHHELD")=0,"",COUNTIF(Table5[[#This Row],[English Language]:[Electrical/ Electronics]],"WITHHELD"))</f>
        <v/>
      </c>
      <c r="BE95" t="str">
        <f>IF(SUM(Table5[[#This Row],[NO OF CREDITS]:[BELOW CREDITS]])=0,"",SUM(Table5[[#This Row],[NO OF CREDITS]:[BELOW CREDITS]]))</f>
        <v/>
      </c>
    </row>
    <row r="96" spans="1:57" x14ac:dyDescent="0.3">
      <c r="A96" t="str">
        <f>IF(B96&lt;&gt;"",COUNTA($B$6:B96),"")</f>
        <v/>
      </c>
      <c r="B96" t="str">
        <f>IF(Result_Database!A92="","",Result_Database!A92)</f>
        <v/>
      </c>
      <c r="C96" t="str">
        <f>_xlfn.LET(
_xlpm.result,_xlfn.XLOOKUP($B96,Result_Database!$A$2:$A$500,Result_Database!$B$2:$B$500),
_xlfn.IFNA(_xlpm.result,"")
)</f>
        <v/>
      </c>
      <c r="D96" t="str">
        <f>_xlfn.LET(
  _xlpm.result, _xlfn.XLOOKUP($B96, Result_Database!$A$2:$A$500, Result_Database!C$2:C$500),
  _xlfn.IFNA(_xlpm.result, "")
)</f>
        <v/>
      </c>
      <c r="E96" t="str">
        <f>_xlfn.LET(
  _xlpm.result, _xlfn.XLOOKUP($B96, Result_Database!$A$2:$A$500, Result_Database!D$2:D$500),
  _xlfn.IFNA(_xlpm.result, "")
)</f>
        <v/>
      </c>
      <c r="F96" t="str">
        <f>_xlfn.LET(
  _xlpm.result, _xlfn.XLOOKUP($B96, Result_Database!$A$2:$A$500, Result_Database!E$2:E$500),
  _xlfn.IFNA(_xlpm.result, "")
)</f>
        <v/>
      </c>
      <c r="G96" t="str">
        <f>_xlfn.LET(
  _xlpm.result, _xlfn.XLOOKUP($B96, Result_Database!$A$2:$A$500, Result_Database!F$2:F$500),
  _xlfn.IFNA(_xlpm.result, "")
)</f>
        <v/>
      </c>
      <c r="H96" t="str">
        <f>_xlfn.LET(
  _xlpm.result, _xlfn.XLOOKUP($B96, Result_Database!$A$2:$A$500, Result_Database!G$2:G$500),
  _xlfn.IFNA(_xlpm.result, "")
)</f>
        <v/>
      </c>
      <c r="I96" t="str">
        <f>_xlfn.LET(
  _xlpm.result, _xlfn.XLOOKUP($B96, Result_Database!$A$2:$A$500, Result_Database!H$2:H$500),
  _xlfn.IFNA(_xlpm.result, "")
)</f>
        <v/>
      </c>
      <c r="J96" t="str">
        <f>_xlfn.LET(
  _xlpm.result, _xlfn.XLOOKUP($B96, Result_Database!$A$2:$A$500, Result_Database!I$2:I$500),
  _xlfn.IFNA(_xlpm.result, "")
)</f>
        <v/>
      </c>
      <c r="K96" t="str">
        <f>_xlfn.LET(
  _xlpm.result, _xlfn.XLOOKUP($B96, Result_Database!$A$2:$A$500, Result_Database!J$2:J$500),
  _xlfn.IFNA(_xlpm.result, "")
)</f>
        <v/>
      </c>
      <c r="L96" t="str">
        <f>_xlfn.LET(
  _xlpm.result, _xlfn.XLOOKUP($B96, Result_Database!$A$2:$A$500, Result_Database!K$2:K$500),
  _xlfn.IFNA(_xlpm.result, "")
)</f>
        <v/>
      </c>
      <c r="M96" t="str">
        <f>_xlfn.LET(
  _xlpm.result, _xlfn.XLOOKUP($B96, Result_Database!$A$2:$A$500, Result_Database!L$2:L$500),
  _xlfn.IFNA(_xlpm.result, "")
)</f>
        <v/>
      </c>
      <c r="N96" t="str">
        <f>_xlfn.LET(
  _xlpm.result, _xlfn.XLOOKUP($B96, Result_Database!$A$2:$A$500, Result_Database!M$2:M$500),
  _xlfn.IFNA(_xlpm.result, "")
)</f>
        <v/>
      </c>
      <c r="O96" t="str">
        <f>_xlfn.LET(
  _xlpm.result, _xlfn.XLOOKUP($B96, Result_Database!$A$2:$A$500, Result_Database!N$2:N$500),
  _xlfn.IFNA(_xlpm.result, "")
)</f>
        <v/>
      </c>
      <c r="P96" t="str">
        <f>_xlfn.LET(
  _xlpm.result, _xlfn.XLOOKUP($B96, Result_Database!$A$2:$A$500, Result_Database!O$2:O$500),
  _xlfn.IFNA(_xlpm.result, "")
)</f>
        <v/>
      </c>
      <c r="Q96" t="str">
        <f>_xlfn.LET(
  _xlpm.result, _xlfn.XLOOKUP($B96, Result_Database!$A$2:$A$500, Result_Database!P$2:P$500),
  _xlfn.IFNA(_xlpm.result, "")
)</f>
        <v/>
      </c>
      <c r="R96" t="str">
        <f>_xlfn.LET(
  _xlpm.result, _xlfn.XLOOKUP($B96, Result_Database!$A$2:$A$500, Result_Database!Q$2:Q$500),
  _xlfn.IFNA(_xlpm.result, "")
)</f>
        <v/>
      </c>
      <c r="S96" t="str">
        <f>_xlfn.LET(
  _xlpm.result, _xlfn.XLOOKUP($B96, Result_Database!$A$2:$A$500, Result_Database!R$2:R$500),
  _xlfn.IFNA(_xlpm.result, "")
)</f>
        <v/>
      </c>
      <c r="T96" t="str">
        <f>_xlfn.LET(
  _xlpm.result, _xlfn.XLOOKUP($B96, Result_Database!$A$2:$A$500, Result_Database!S$2:S$500),
  _xlfn.IFNA(_xlpm.result, "")
)</f>
        <v/>
      </c>
      <c r="U96" t="str">
        <f>_xlfn.LET(
  _xlpm.result, _xlfn.XLOOKUP($B96, Result_Database!$A$2:$A$500, Result_Database!T$2:T$500),
  _xlfn.IFNA(_xlpm.result, "")
)</f>
        <v/>
      </c>
      <c r="V96" t="str">
        <f>_xlfn.LET(
  _xlpm.result, _xlfn.XLOOKUP($B96, Result_Database!$A$2:$A$500, Result_Database!U$2:U$500),
  _xlfn.IFNA(_xlpm.result, "")
)</f>
        <v/>
      </c>
      <c r="W96" t="str">
        <f>_xlfn.LET(
  _xlpm.result, _xlfn.XLOOKUP($B96, Result_Database!$A$2:$A$500, Result_Database!V$2:V$500),
  _xlfn.IFNA(_xlpm.result, "")
)</f>
        <v/>
      </c>
      <c r="X96" t="str">
        <f>_xlfn.LET(
  _xlpm.result, _xlfn.XLOOKUP($B96, Result_Database!$A$2:$A$500, Result_Database!W$2:W$500),
  _xlfn.IFNA(_xlpm.result, "")
)</f>
        <v/>
      </c>
      <c r="Y96" t="str">
        <f>_xlfn.LET(
  _xlpm.result, _xlfn.XLOOKUP($B96, Result_Database!$A$2:$A$500, Result_Database!X$2:X$500),
  _xlfn.IFNA(_xlpm.result, "")
)</f>
        <v/>
      </c>
      <c r="Z96" t="str">
        <f>_xlfn.LET(
  _xlpm.result, _xlfn.XLOOKUP($B96, Result_Database!$A$2:$A$500, Result_Database!Y$2:Y$500),
  _xlfn.IFNA(_xlpm.result, "")
)</f>
        <v/>
      </c>
      <c r="AA96" t="str">
        <f>_xlfn.LET(
  _xlpm.result, _xlfn.XLOOKUP($B96, Result_Database!$A$2:$A$500, Result_Database!Z$2:Z$500),
  _xlfn.IFNA(_xlpm.result, "")
)</f>
        <v/>
      </c>
      <c r="AB96" t="str">
        <f>_xlfn.LET(
  _xlpm.result, _xlfn.XLOOKUP($B96, Result_Database!$A$2:$A$500, Result_Database!AA$2:AA$500),
  _xlfn.IFNA(_xlpm.result, "")
)</f>
        <v/>
      </c>
      <c r="AC96" t="str">
        <f>_xlfn.LET(
  _xlpm.result, _xlfn.XLOOKUP($B96, Result_Database!$A$2:$A$500, Result_Database!AB$2:AB$500),
  _xlfn.IFNA(_xlpm.result, "")
)</f>
        <v/>
      </c>
      <c r="AD96" t="str">
        <f>_xlfn.LET(
  _xlpm.result, _xlfn.XLOOKUP($B96, Result_Database!$A$2:$A$500, Result_Database!AC$2:AC$500),
  _xlfn.IFNA(_xlpm.result, "")
)</f>
        <v/>
      </c>
      <c r="AE96" t="str">
        <f>_xlfn.LET(
  _xlpm.result, _xlfn.XLOOKUP($B96, Result_Database!$A$2:$A$500, Result_Database!AD$2:AD$500),
  _xlfn.IFNA(_xlpm.result, "")
)</f>
        <v/>
      </c>
      <c r="AF96" t="str">
        <f>_xlfn.LET(
  _xlpm.result, _xlfn.XLOOKUP($B96, Result_Database!$A$2:$A$500, Result_Database!AE$2:AE$500),
  _xlfn.IFNA(_xlpm.result, "")
)</f>
        <v/>
      </c>
      <c r="AG96" t="str">
        <f>_xlfn.LET(
  _xlpm.result, _xlfn.XLOOKUP($B96, Result_Database!$A$2:$A$500, Result_Database!AF$2:AF$500),
  _xlfn.IFNA(_xlpm.result, "")
)</f>
        <v/>
      </c>
      <c r="AH96" t="str">
        <f>_xlfn.LET(
  _xlpm.result, _xlfn.XLOOKUP($B96, Result_Database!$A$2:$A$500, Result_Database!AG$2:AG$500),
  _xlfn.IFNA(_xlpm.result, "")
)</f>
        <v/>
      </c>
      <c r="AI96" t="str">
        <f>_xlfn.LET(
  _xlpm.result, _xlfn.XLOOKUP($B96, Result_Database!$A$2:$A$500, Result_Database!AH$2:AH$500),
  _xlfn.IFNA(_xlpm.result, "")
)</f>
        <v/>
      </c>
      <c r="AJ96" t="str">
        <f>_xlfn.LET(
  _xlpm.result, _xlfn.XLOOKUP($B96, Result_Database!$A$2:$A$500, Result_Database!AI$2:AI$500),
  _xlfn.IFNA(_xlpm.result, "")
)</f>
        <v/>
      </c>
      <c r="AK96" t="str">
        <f>_xlfn.LET(
  _xlpm.result, _xlfn.XLOOKUP($B96, Result_Database!$A$2:$A$500, Result_Database!AJ$2:AJ$500),
  _xlfn.IFNA(_xlpm.result, "")
)</f>
        <v/>
      </c>
      <c r="AL96" t="str">
        <f>_xlfn.LET(
  _xlpm.result, _xlfn.XLOOKUP($B96, Result_Database!$A$2:$A$500, Result_Database!AK$2:AK$500),
  _xlfn.IFNA(_xlpm.result, "")
)</f>
        <v/>
      </c>
      <c r="AM9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9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9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9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9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9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9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9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9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96" t="str">
        <f>IF(SUM(Table5[[#This Row],[A1]:[C6]])&lt;&gt;0,SUM(Table5[[#This Row],[A1]:[C6]]),"")</f>
        <v/>
      </c>
      <c r="AW96" t="str">
        <f>IF(SUM(Table5[[#This Row],[D7]:[F9]])=0,"",SUM(Table5[[#This Row],[D7]:[F9]]))</f>
        <v/>
      </c>
      <c r="AX9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9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9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9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9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9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96" t="str">
        <f>IF(COUNTIF(Table5[[#This Row],[English Language]:[Electrical/ Electronics]],"WITHHELD")=0,"",COUNTIF(Table5[[#This Row],[English Language]:[Electrical/ Electronics]],"WITHHELD"))</f>
        <v/>
      </c>
      <c r="BE96" t="str">
        <f>IF(SUM(Table5[[#This Row],[NO OF CREDITS]:[BELOW CREDITS]])=0,"",SUM(Table5[[#This Row],[NO OF CREDITS]:[BELOW CREDITS]]))</f>
        <v/>
      </c>
    </row>
    <row r="97" spans="1:57" x14ac:dyDescent="0.3">
      <c r="A97" t="str">
        <f>IF(B97&lt;&gt;"",COUNTA($B$6:B97),"")</f>
        <v/>
      </c>
      <c r="B97" t="str">
        <f>IF(Result_Database!A93="","",Result_Database!A93)</f>
        <v/>
      </c>
      <c r="C97" t="str">
        <f>_xlfn.LET(
_xlpm.result,_xlfn.XLOOKUP($B97,Result_Database!$A$2:$A$500,Result_Database!$B$2:$B$500),
_xlfn.IFNA(_xlpm.result,"")
)</f>
        <v/>
      </c>
      <c r="D97" t="str">
        <f>_xlfn.LET(
  _xlpm.result, _xlfn.XLOOKUP($B97, Result_Database!$A$2:$A$500, Result_Database!C$2:C$500),
  _xlfn.IFNA(_xlpm.result, "")
)</f>
        <v/>
      </c>
      <c r="E97" t="str">
        <f>_xlfn.LET(
  _xlpm.result, _xlfn.XLOOKUP($B97, Result_Database!$A$2:$A$500, Result_Database!D$2:D$500),
  _xlfn.IFNA(_xlpm.result, "")
)</f>
        <v/>
      </c>
      <c r="F97" t="str">
        <f>_xlfn.LET(
  _xlpm.result, _xlfn.XLOOKUP($B97, Result_Database!$A$2:$A$500, Result_Database!E$2:E$500),
  _xlfn.IFNA(_xlpm.result, "")
)</f>
        <v/>
      </c>
      <c r="G97" t="str">
        <f>_xlfn.LET(
  _xlpm.result, _xlfn.XLOOKUP($B97, Result_Database!$A$2:$A$500, Result_Database!F$2:F$500),
  _xlfn.IFNA(_xlpm.result, "")
)</f>
        <v/>
      </c>
      <c r="H97" t="str">
        <f>_xlfn.LET(
  _xlpm.result, _xlfn.XLOOKUP($B97, Result_Database!$A$2:$A$500, Result_Database!G$2:G$500),
  _xlfn.IFNA(_xlpm.result, "")
)</f>
        <v/>
      </c>
      <c r="I97" t="str">
        <f>_xlfn.LET(
  _xlpm.result, _xlfn.XLOOKUP($B97, Result_Database!$A$2:$A$500, Result_Database!H$2:H$500),
  _xlfn.IFNA(_xlpm.result, "")
)</f>
        <v/>
      </c>
      <c r="J97" t="str">
        <f>_xlfn.LET(
  _xlpm.result, _xlfn.XLOOKUP($B97, Result_Database!$A$2:$A$500, Result_Database!I$2:I$500),
  _xlfn.IFNA(_xlpm.result, "")
)</f>
        <v/>
      </c>
      <c r="K97" t="str">
        <f>_xlfn.LET(
  _xlpm.result, _xlfn.XLOOKUP($B97, Result_Database!$A$2:$A$500, Result_Database!J$2:J$500),
  _xlfn.IFNA(_xlpm.result, "")
)</f>
        <v/>
      </c>
      <c r="L97" t="str">
        <f>_xlfn.LET(
  _xlpm.result, _xlfn.XLOOKUP($B97, Result_Database!$A$2:$A$500, Result_Database!K$2:K$500),
  _xlfn.IFNA(_xlpm.result, "")
)</f>
        <v/>
      </c>
      <c r="M97" t="str">
        <f>_xlfn.LET(
  _xlpm.result, _xlfn.XLOOKUP($B97, Result_Database!$A$2:$A$500, Result_Database!L$2:L$500),
  _xlfn.IFNA(_xlpm.result, "")
)</f>
        <v/>
      </c>
      <c r="N97" t="str">
        <f>_xlfn.LET(
  _xlpm.result, _xlfn.XLOOKUP($B97, Result_Database!$A$2:$A$500, Result_Database!M$2:M$500),
  _xlfn.IFNA(_xlpm.result, "")
)</f>
        <v/>
      </c>
      <c r="O97" t="str">
        <f>_xlfn.LET(
  _xlpm.result, _xlfn.XLOOKUP($B97, Result_Database!$A$2:$A$500, Result_Database!N$2:N$500),
  _xlfn.IFNA(_xlpm.result, "")
)</f>
        <v/>
      </c>
      <c r="P97" t="str">
        <f>_xlfn.LET(
  _xlpm.result, _xlfn.XLOOKUP($B97, Result_Database!$A$2:$A$500, Result_Database!O$2:O$500),
  _xlfn.IFNA(_xlpm.result, "")
)</f>
        <v/>
      </c>
      <c r="Q97" t="str">
        <f>_xlfn.LET(
  _xlpm.result, _xlfn.XLOOKUP($B97, Result_Database!$A$2:$A$500, Result_Database!P$2:P$500),
  _xlfn.IFNA(_xlpm.result, "")
)</f>
        <v/>
      </c>
      <c r="R97" t="str">
        <f>_xlfn.LET(
  _xlpm.result, _xlfn.XLOOKUP($B97, Result_Database!$A$2:$A$500, Result_Database!Q$2:Q$500),
  _xlfn.IFNA(_xlpm.result, "")
)</f>
        <v/>
      </c>
      <c r="S97" t="str">
        <f>_xlfn.LET(
  _xlpm.result, _xlfn.XLOOKUP($B97, Result_Database!$A$2:$A$500, Result_Database!R$2:R$500),
  _xlfn.IFNA(_xlpm.result, "")
)</f>
        <v/>
      </c>
      <c r="T97" t="str">
        <f>_xlfn.LET(
  _xlpm.result, _xlfn.XLOOKUP($B97, Result_Database!$A$2:$A$500, Result_Database!S$2:S$500),
  _xlfn.IFNA(_xlpm.result, "")
)</f>
        <v/>
      </c>
      <c r="U97" t="str">
        <f>_xlfn.LET(
  _xlpm.result, _xlfn.XLOOKUP($B97, Result_Database!$A$2:$A$500, Result_Database!T$2:T$500),
  _xlfn.IFNA(_xlpm.result, "")
)</f>
        <v/>
      </c>
      <c r="V97" t="str">
        <f>_xlfn.LET(
  _xlpm.result, _xlfn.XLOOKUP($B97, Result_Database!$A$2:$A$500, Result_Database!U$2:U$500),
  _xlfn.IFNA(_xlpm.result, "")
)</f>
        <v/>
      </c>
      <c r="W97" t="str">
        <f>_xlfn.LET(
  _xlpm.result, _xlfn.XLOOKUP($B97, Result_Database!$A$2:$A$500, Result_Database!V$2:V$500),
  _xlfn.IFNA(_xlpm.result, "")
)</f>
        <v/>
      </c>
      <c r="X97" t="str">
        <f>_xlfn.LET(
  _xlpm.result, _xlfn.XLOOKUP($B97, Result_Database!$A$2:$A$500, Result_Database!W$2:W$500),
  _xlfn.IFNA(_xlpm.result, "")
)</f>
        <v/>
      </c>
      <c r="Y97" t="str">
        <f>_xlfn.LET(
  _xlpm.result, _xlfn.XLOOKUP($B97, Result_Database!$A$2:$A$500, Result_Database!X$2:X$500),
  _xlfn.IFNA(_xlpm.result, "")
)</f>
        <v/>
      </c>
      <c r="Z97" t="str">
        <f>_xlfn.LET(
  _xlpm.result, _xlfn.XLOOKUP($B97, Result_Database!$A$2:$A$500, Result_Database!Y$2:Y$500),
  _xlfn.IFNA(_xlpm.result, "")
)</f>
        <v/>
      </c>
      <c r="AA97" t="str">
        <f>_xlfn.LET(
  _xlpm.result, _xlfn.XLOOKUP($B97, Result_Database!$A$2:$A$500, Result_Database!Z$2:Z$500),
  _xlfn.IFNA(_xlpm.result, "")
)</f>
        <v/>
      </c>
      <c r="AB97" t="str">
        <f>_xlfn.LET(
  _xlpm.result, _xlfn.XLOOKUP($B97, Result_Database!$A$2:$A$500, Result_Database!AA$2:AA$500),
  _xlfn.IFNA(_xlpm.result, "")
)</f>
        <v/>
      </c>
      <c r="AC97" t="str">
        <f>_xlfn.LET(
  _xlpm.result, _xlfn.XLOOKUP($B97, Result_Database!$A$2:$A$500, Result_Database!AB$2:AB$500),
  _xlfn.IFNA(_xlpm.result, "")
)</f>
        <v/>
      </c>
      <c r="AD97" t="str">
        <f>_xlfn.LET(
  _xlpm.result, _xlfn.XLOOKUP($B97, Result_Database!$A$2:$A$500, Result_Database!AC$2:AC$500),
  _xlfn.IFNA(_xlpm.result, "")
)</f>
        <v/>
      </c>
      <c r="AE97" t="str">
        <f>_xlfn.LET(
  _xlpm.result, _xlfn.XLOOKUP($B97, Result_Database!$A$2:$A$500, Result_Database!AD$2:AD$500),
  _xlfn.IFNA(_xlpm.result, "")
)</f>
        <v/>
      </c>
      <c r="AF97" t="str">
        <f>_xlfn.LET(
  _xlpm.result, _xlfn.XLOOKUP($B97, Result_Database!$A$2:$A$500, Result_Database!AE$2:AE$500),
  _xlfn.IFNA(_xlpm.result, "")
)</f>
        <v/>
      </c>
      <c r="AG97" t="str">
        <f>_xlfn.LET(
  _xlpm.result, _xlfn.XLOOKUP($B97, Result_Database!$A$2:$A$500, Result_Database!AF$2:AF$500),
  _xlfn.IFNA(_xlpm.result, "")
)</f>
        <v/>
      </c>
      <c r="AH97" t="str">
        <f>_xlfn.LET(
  _xlpm.result, _xlfn.XLOOKUP($B97, Result_Database!$A$2:$A$500, Result_Database!AG$2:AG$500),
  _xlfn.IFNA(_xlpm.result, "")
)</f>
        <v/>
      </c>
      <c r="AI97" t="str">
        <f>_xlfn.LET(
  _xlpm.result, _xlfn.XLOOKUP($B97, Result_Database!$A$2:$A$500, Result_Database!AH$2:AH$500),
  _xlfn.IFNA(_xlpm.result, "")
)</f>
        <v/>
      </c>
      <c r="AJ97" t="str">
        <f>_xlfn.LET(
  _xlpm.result, _xlfn.XLOOKUP($B97, Result_Database!$A$2:$A$500, Result_Database!AI$2:AI$500),
  _xlfn.IFNA(_xlpm.result, "")
)</f>
        <v/>
      </c>
      <c r="AK97" t="str">
        <f>_xlfn.LET(
  _xlpm.result, _xlfn.XLOOKUP($B97, Result_Database!$A$2:$A$500, Result_Database!AJ$2:AJ$500),
  _xlfn.IFNA(_xlpm.result, "")
)</f>
        <v/>
      </c>
      <c r="AL97" t="str">
        <f>_xlfn.LET(
  _xlpm.result, _xlfn.XLOOKUP($B97, Result_Database!$A$2:$A$500, Result_Database!AK$2:AK$500),
  _xlfn.IFNA(_xlpm.result, "")
)</f>
        <v/>
      </c>
      <c r="AM9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9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9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9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9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9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9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9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9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97" t="str">
        <f>IF(SUM(Table5[[#This Row],[A1]:[C6]])&lt;&gt;0,SUM(Table5[[#This Row],[A1]:[C6]]),"")</f>
        <v/>
      </c>
      <c r="AW97" t="str">
        <f>IF(SUM(Table5[[#This Row],[D7]:[F9]])=0,"",SUM(Table5[[#This Row],[D7]:[F9]]))</f>
        <v/>
      </c>
      <c r="AX9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9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9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9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9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9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97" t="str">
        <f>IF(COUNTIF(Table5[[#This Row],[English Language]:[Electrical/ Electronics]],"WITHHELD")=0,"",COUNTIF(Table5[[#This Row],[English Language]:[Electrical/ Electronics]],"WITHHELD"))</f>
        <v/>
      </c>
      <c r="BE97" t="str">
        <f>IF(SUM(Table5[[#This Row],[NO OF CREDITS]:[BELOW CREDITS]])=0,"",SUM(Table5[[#This Row],[NO OF CREDITS]:[BELOW CREDITS]]))</f>
        <v/>
      </c>
    </row>
    <row r="98" spans="1:57" x14ac:dyDescent="0.3">
      <c r="A98" t="str">
        <f>IF(B98&lt;&gt;"",COUNTA($B$6:B98),"")</f>
        <v/>
      </c>
      <c r="B98" t="str">
        <f>IF(Result_Database!A94="","",Result_Database!A94)</f>
        <v/>
      </c>
      <c r="C98" t="str">
        <f>_xlfn.LET(
_xlpm.result,_xlfn.XLOOKUP($B98,Result_Database!$A$2:$A$500,Result_Database!$B$2:$B$500),
_xlfn.IFNA(_xlpm.result,"")
)</f>
        <v/>
      </c>
      <c r="D98" t="str">
        <f>_xlfn.LET(
  _xlpm.result, _xlfn.XLOOKUP($B98, Result_Database!$A$2:$A$500, Result_Database!C$2:C$500),
  _xlfn.IFNA(_xlpm.result, "")
)</f>
        <v/>
      </c>
      <c r="E98" t="str">
        <f>_xlfn.LET(
  _xlpm.result, _xlfn.XLOOKUP($B98, Result_Database!$A$2:$A$500, Result_Database!D$2:D$500),
  _xlfn.IFNA(_xlpm.result, "")
)</f>
        <v/>
      </c>
      <c r="F98" t="str">
        <f>_xlfn.LET(
  _xlpm.result, _xlfn.XLOOKUP($B98, Result_Database!$A$2:$A$500, Result_Database!E$2:E$500),
  _xlfn.IFNA(_xlpm.result, "")
)</f>
        <v/>
      </c>
      <c r="G98" t="str">
        <f>_xlfn.LET(
  _xlpm.result, _xlfn.XLOOKUP($B98, Result_Database!$A$2:$A$500, Result_Database!F$2:F$500),
  _xlfn.IFNA(_xlpm.result, "")
)</f>
        <v/>
      </c>
      <c r="H98" t="str">
        <f>_xlfn.LET(
  _xlpm.result, _xlfn.XLOOKUP($B98, Result_Database!$A$2:$A$500, Result_Database!G$2:G$500),
  _xlfn.IFNA(_xlpm.result, "")
)</f>
        <v/>
      </c>
      <c r="I98" t="str">
        <f>_xlfn.LET(
  _xlpm.result, _xlfn.XLOOKUP($B98, Result_Database!$A$2:$A$500, Result_Database!H$2:H$500),
  _xlfn.IFNA(_xlpm.result, "")
)</f>
        <v/>
      </c>
      <c r="J98" t="str">
        <f>_xlfn.LET(
  _xlpm.result, _xlfn.XLOOKUP($B98, Result_Database!$A$2:$A$500, Result_Database!I$2:I$500),
  _xlfn.IFNA(_xlpm.result, "")
)</f>
        <v/>
      </c>
      <c r="K98" t="str">
        <f>_xlfn.LET(
  _xlpm.result, _xlfn.XLOOKUP($B98, Result_Database!$A$2:$A$500, Result_Database!J$2:J$500),
  _xlfn.IFNA(_xlpm.result, "")
)</f>
        <v/>
      </c>
      <c r="L98" t="str">
        <f>_xlfn.LET(
  _xlpm.result, _xlfn.XLOOKUP($B98, Result_Database!$A$2:$A$500, Result_Database!K$2:K$500),
  _xlfn.IFNA(_xlpm.result, "")
)</f>
        <v/>
      </c>
      <c r="M98" t="str">
        <f>_xlfn.LET(
  _xlpm.result, _xlfn.XLOOKUP($B98, Result_Database!$A$2:$A$500, Result_Database!L$2:L$500),
  _xlfn.IFNA(_xlpm.result, "")
)</f>
        <v/>
      </c>
      <c r="N98" t="str">
        <f>_xlfn.LET(
  _xlpm.result, _xlfn.XLOOKUP($B98, Result_Database!$A$2:$A$500, Result_Database!M$2:M$500),
  _xlfn.IFNA(_xlpm.result, "")
)</f>
        <v/>
      </c>
      <c r="O98" t="str">
        <f>_xlfn.LET(
  _xlpm.result, _xlfn.XLOOKUP($B98, Result_Database!$A$2:$A$500, Result_Database!N$2:N$500),
  _xlfn.IFNA(_xlpm.result, "")
)</f>
        <v/>
      </c>
      <c r="P98" t="str">
        <f>_xlfn.LET(
  _xlpm.result, _xlfn.XLOOKUP($B98, Result_Database!$A$2:$A$500, Result_Database!O$2:O$500),
  _xlfn.IFNA(_xlpm.result, "")
)</f>
        <v/>
      </c>
      <c r="Q98" t="str">
        <f>_xlfn.LET(
  _xlpm.result, _xlfn.XLOOKUP($B98, Result_Database!$A$2:$A$500, Result_Database!P$2:P$500),
  _xlfn.IFNA(_xlpm.result, "")
)</f>
        <v/>
      </c>
      <c r="R98" t="str">
        <f>_xlfn.LET(
  _xlpm.result, _xlfn.XLOOKUP($B98, Result_Database!$A$2:$A$500, Result_Database!Q$2:Q$500),
  _xlfn.IFNA(_xlpm.result, "")
)</f>
        <v/>
      </c>
      <c r="S98" t="str">
        <f>_xlfn.LET(
  _xlpm.result, _xlfn.XLOOKUP($B98, Result_Database!$A$2:$A$500, Result_Database!R$2:R$500),
  _xlfn.IFNA(_xlpm.result, "")
)</f>
        <v/>
      </c>
      <c r="T98" t="str">
        <f>_xlfn.LET(
  _xlpm.result, _xlfn.XLOOKUP($B98, Result_Database!$A$2:$A$500, Result_Database!S$2:S$500),
  _xlfn.IFNA(_xlpm.result, "")
)</f>
        <v/>
      </c>
      <c r="U98" t="str">
        <f>_xlfn.LET(
  _xlpm.result, _xlfn.XLOOKUP($B98, Result_Database!$A$2:$A$500, Result_Database!T$2:T$500),
  _xlfn.IFNA(_xlpm.result, "")
)</f>
        <v/>
      </c>
      <c r="V98" t="str">
        <f>_xlfn.LET(
  _xlpm.result, _xlfn.XLOOKUP($B98, Result_Database!$A$2:$A$500, Result_Database!U$2:U$500),
  _xlfn.IFNA(_xlpm.result, "")
)</f>
        <v/>
      </c>
      <c r="W98" t="str">
        <f>_xlfn.LET(
  _xlpm.result, _xlfn.XLOOKUP($B98, Result_Database!$A$2:$A$500, Result_Database!V$2:V$500),
  _xlfn.IFNA(_xlpm.result, "")
)</f>
        <v/>
      </c>
      <c r="X98" t="str">
        <f>_xlfn.LET(
  _xlpm.result, _xlfn.XLOOKUP($B98, Result_Database!$A$2:$A$500, Result_Database!W$2:W$500),
  _xlfn.IFNA(_xlpm.result, "")
)</f>
        <v/>
      </c>
      <c r="Y98" t="str">
        <f>_xlfn.LET(
  _xlpm.result, _xlfn.XLOOKUP($B98, Result_Database!$A$2:$A$500, Result_Database!X$2:X$500),
  _xlfn.IFNA(_xlpm.result, "")
)</f>
        <v/>
      </c>
      <c r="Z98" t="str">
        <f>_xlfn.LET(
  _xlpm.result, _xlfn.XLOOKUP($B98, Result_Database!$A$2:$A$500, Result_Database!Y$2:Y$500),
  _xlfn.IFNA(_xlpm.result, "")
)</f>
        <v/>
      </c>
      <c r="AA98" t="str">
        <f>_xlfn.LET(
  _xlpm.result, _xlfn.XLOOKUP($B98, Result_Database!$A$2:$A$500, Result_Database!Z$2:Z$500),
  _xlfn.IFNA(_xlpm.result, "")
)</f>
        <v/>
      </c>
      <c r="AB98" t="str">
        <f>_xlfn.LET(
  _xlpm.result, _xlfn.XLOOKUP($B98, Result_Database!$A$2:$A$500, Result_Database!AA$2:AA$500),
  _xlfn.IFNA(_xlpm.result, "")
)</f>
        <v/>
      </c>
      <c r="AC98" t="str">
        <f>_xlfn.LET(
  _xlpm.result, _xlfn.XLOOKUP($B98, Result_Database!$A$2:$A$500, Result_Database!AB$2:AB$500),
  _xlfn.IFNA(_xlpm.result, "")
)</f>
        <v/>
      </c>
      <c r="AD98" t="str">
        <f>_xlfn.LET(
  _xlpm.result, _xlfn.XLOOKUP($B98, Result_Database!$A$2:$A$500, Result_Database!AC$2:AC$500),
  _xlfn.IFNA(_xlpm.result, "")
)</f>
        <v/>
      </c>
      <c r="AE98" t="str">
        <f>_xlfn.LET(
  _xlpm.result, _xlfn.XLOOKUP($B98, Result_Database!$A$2:$A$500, Result_Database!AD$2:AD$500),
  _xlfn.IFNA(_xlpm.result, "")
)</f>
        <v/>
      </c>
      <c r="AF98" t="str">
        <f>_xlfn.LET(
  _xlpm.result, _xlfn.XLOOKUP($B98, Result_Database!$A$2:$A$500, Result_Database!AE$2:AE$500),
  _xlfn.IFNA(_xlpm.result, "")
)</f>
        <v/>
      </c>
      <c r="AG98" t="str">
        <f>_xlfn.LET(
  _xlpm.result, _xlfn.XLOOKUP($B98, Result_Database!$A$2:$A$500, Result_Database!AF$2:AF$500),
  _xlfn.IFNA(_xlpm.result, "")
)</f>
        <v/>
      </c>
      <c r="AH98" t="str">
        <f>_xlfn.LET(
  _xlpm.result, _xlfn.XLOOKUP($B98, Result_Database!$A$2:$A$500, Result_Database!AG$2:AG$500),
  _xlfn.IFNA(_xlpm.result, "")
)</f>
        <v/>
      </c>
      <c r="AI98" t="str">
        <f>_xlfn.LET(
  _xlpm.result, _xlfn.XLOOKUP($B98, Result_Database!$A$2:$A$500, Result_Database!AH$2:AH$500),
  _xlfn.IFNA(_xlpm.result, "")
)</f>
        <v/>
      </c>
      <c r="AJ98" t="str">
        <f>_xlfn.LET(
  _xlpm.result, _xlfn.XLOOKUP($B98, Result_Database!$A$2:$A$500, Result_Database!AI$2:AI$500),
  _xlfn.IFNA(_xlpm.result, "")
)</f>
        <v/>
      </c>
      <c r="AK98" t="str">
        <f>_xlfn.LET(
  _xlpm.result, _xlfn.XLOOKUP($B98, Result_Database!$A$2:$A$500, Result_Database!AJ$2:AJ$500),
  _xlfn.IFNA(_xlpm.result, "")
)</f>
        <v/>
      </c>
      <c r="AL98" t="str">
        <f>_xlfn.LET(
  _xlpm.result, _xlfn.XLOOKUP($B98, Result_Database!$A$2:$A$500, Result_Database!AK$2:AK$500),
  _xlfn.IFNA(_xlpm.result, "")
)</f>
        <v/>
      </c>
      <c r="AM9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9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9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9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9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9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9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9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9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98" t="str">
        <f>IF(SUM(Table5[[#This Row],[A1]:[C6]])&lt;&gt;0,SUM(Table5[[#This Row],[A1]:[C6]]),"")</f>
        <v/>
      </c>
      <c r="AW98" t="str">
        <f>IF(SUM(Table5[[#This Row],[D7]:[F9]])=0,"",SUM(Table5[[#This Row],[D7]:[F9]]))</f>
        <v/>
      </c>
      <c r="AX9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9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9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9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9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9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98" t="str">
        <f>IF(COUNTIF(Table5[[#This Row],[English Language]:[Electrical/ Electronics]],"WITHHELD")=0,"",COUNTIF(Table5[[#This Row],[English Language]:[Electrical/ Electronics]],"WITHHELD"))</f>
        <v/>
      </c>
      <c r="BE98" t="str">
        <f>IF(SUM(Table5[[#This Row],[NO OF CREDITS]:[BELOW CREDITS]])=0,"",SUM(Table5[[#This Row],[NO OF CREDITS]:[BELOW CREDITS]]))</f>
        <v/>
      </c>
    </row>
    <row r="99" spans="1:57" x14ac:dyDescent="0.3">
      <c r="A99" t="str">
        <f>IF(B99&lt;&gt;"",COUNTA($B$6:B99),"")</f>
        <v/>
      </c>
      <c r="B99" t="str">
        <f>IF(Result_Database!A95="","",Result_Database!A95)</f>
        <v/>
      </c>
      <c r="C99" t="str">
        <f>_xlfn.LET(
_xlpm.result,_xlfn.XLOOKUP($B99,Result_Database!$A$2:$A$500,Result_Database!$B$2:$B$500),
_xlfn.IFNA(_xlpm.result,"")
)</f>
        <v/>
      </c>
      <c r="D99" t="str">
        <f>_xlfn.LET(
  _xlpm.result, _xlfn.XLOOKUP($B99, Result_Database!$A$2:$A$500, Result_Database!C$2:C$500),
  _xlfn.IFNA(_xlpm.result, "")
)</f>
        <v/>
      </c>
      <c r="E99" t="str">
        <f>_xlfn.LET(
  _xlpm.result, _xlfn.XLOOKUP($B99, Result_Database!$A$2:$A$500, Result_Database!D$2:D$500),
  _xlfn.IFNA(_xlpm.result, "")
)</f>
        <v/>
      </c>
      <c r="F99" t="str">
        <f>_xlfn.LET(
  _xlpm.result, _xlfn.XLOOKUP($B99, Result_Database!$A$2:$A$500, Result_Database!E$2:E$500),
  _xlfn.IFNA(_xlpm.result, "")
)</f>
        <v/>
      </c>
      <c r="G99" t="str">
        <f>_xlfn.LET(
  _xlpm.result, _xlfn.XLOOKUP($B99, Result_Database!$A$2:$A$500, Result_Database!F$2:F$500),
  _xlfn.IFNA(_xlpm.result, "")
)</f>
        <v/>
      </c>
      <c r="H99" t="str">
        <f>_xlfn.LET(
  _xlpm.result, _xlfn.XLOOKUP($B99, Result_Database!$A$2:$A$500, Result_Database!G$2:G$500),
  _xlfn.IFNA(_xlpm.result, "")
)</f>
        <v/>
      </c>
      <c r="I99" t="str">
        <f>_xlfn.LET(
  _xlpm.result, _xlfn.XLOOKUP($B99, Result_Database!$A$2:$A$500, Result_Database!H$2:H$500),
  _xlfn.IFNA(_xlpm.result, "")
)</f>
        <v/>
      </c>
      <c r="J99" t="str">
        <f>_xlfn.LET(
  _xlpm.result, _xlfn.XLOOKUP($B99, Result_Database!$A$2:$A$500, Result_Database!I$2:I$500),
  _xlfn.IFNA(_xlpm.result, "")
)</f>
        <v/>
      </c>
      <c r="K99" t="str">
        <f>_xlfn.LET(
  _xlpm.result, _xlfn.XLOOKUP($B99, Result_Database!$A$2:$A$500, Result_Database!J$2:J$500),
  _xlfn.IFNA(_xlpm.result, "")
)</f>
        <v/>
      </c>
      <c r="L99" t="str">
        <f>_xlfn.LET(
  _xlpm.result, _xlfn.XLOOKUP($B99, Result_Database!$A$2:$A$500, Result_Database!K$2:K$500),
  _xlfn.IFNA(_xlpm.result, "")
)</f>
        <v/>
      </c>
      <c r="M99" t="str">
        <f>_xlfn.LET(
  _xlpm.result, _xlfn.XLOOKUP($B99, Result_Database!$A$2:$A$500, Result_Database!L$2:L$500),
  _xlfn.IFNA(_xlpm.result, "")
)</f>
        <v/>
      </c>
      <c r="N99" t="str">
        <f>_xlfn.LET(
  _xlpm.result, _xlfn.XLOOKUP($B99, Result_Database!$A$2:$A$500, Result_Database!M$2:M$500),
  _xlfn.IFNA(_xlpm.result, "")
)</f>
        <v/>
      </c>
      <c r="O99" t="str">
        <f>_xlfn.LET(
  _xlpm.result, _xlfn.XLOOKUP($B99, Result_Database!$A$2:$A$500, Result_Database!N$2:N$500),
  _xlfn.IFNA(_xlpm.result, "")
)</f>
        <v/>
      </c>
      <c r="P99" t="str">
        <f>_xlfn.LET(
  _xlpm.result, _xlfn.XLOOKUP($B99, Result_Database!$A$2:$A$500, Result_Database!O$2:O$500),
  _xlfn.IFNA(_xlpm.result, "")
)</f>
        <v/>
      </c>
      <c r="Q99" t="str">
        <f>_xlfn.LET(
  _xlpm.result, _xlfn.XLOOKUP($B99, Result_Database!$A$2:$A$500, Result_Database!P$2:P$500),
  _xlfn.IFNA(_xlpm.result, "")
)</f>
        <v/>
      </c>
      <c r="R99" t="str">
        <f>_xlfn.LET(
  _xlpm.result, _xlfn.XLOOKUP($B99, Result_Database!$A$2:$A$500, Result_Database!Q$2:Q$500),
  _xlfn.IFNA(_xlpm.result, "")
)</f>
        <v/>
      </c>
      <c r="S99" t="str">
        <f>_xlfn.LET(
  _xlpm.result, _xlfn.XLOOKUP($B99, Result_Database!$A$2:$A$500, Result_Database!R$2:R$500),
  _xlfn.IFNA(_xlpm.result, "")
)</f>
        <v/>
      </c>
      <c r="T99" t="str">
        <f>_xlfn.LET(
  _xlpm.result, _xlfn.XLOOKUP($B99, Result_Database!$A$2:$A$500, Result_Database!S$2:S$500),
  _xlfn.IFNA(_xlpm.result, "")
)</f>
        <v/>
      </c>
      <c r="U99" t="str">
        <f>_xlfn.LET(
  _xlpm.result, _xlfn.XLOOKUP($B99, Result_Database!$A$2:$A$500, Result_Database!T$2:T$500),
  _xlfn.IFNA(_xlpm.result, "")
)</f>
        <v/>
      </c>
      <c r="V99" t="str">
        <f>_xlfn.LET(
  _xlpm.result, _xlfn.XLOOKUP($B99, Result_Database!$A$2:$A$500, Result_Database!U$2:U$500),
  _xlfn.IFNA(_xlpm.result, "")
)</f>
        <v/>
      </c>
      <c r="W99" t="str">
        <f>_xlfn.LET(
  _xlpm.result, _xlfn.XLOOKUP($B99, Result_Database!$A$2:$A$500, Result_Database!V$2:V$500),
  _xlfn.IFNA(_xlpm.result, "")
)</f>
        <v/>
      </c>
      <c r="X99" t="str">
        <f>_xlfn.LET(
  _xlpm.result, _xlfn.XLOOKUP($B99, Result_Database!$A$2:$A$500, Result_Database!W$2:W$500),
  _xlfn.IFNA(_xlpm.result, "")
)</f>
        <v/>
      </c>
      <c r="Y99" t="str">
        <f>_xlfn.LET(
  _xlpm.result, _xlfn.XLOOKUP($B99, Result_Database!$A$2:$A$500, Result_Database!X$2:X$500),
  _xlfn.IFNA(_xlpm.result, "")
)</f>
        <v/>
      </c>
      <c r="Z99" t="str">
        <f>_xlfn.LET(
  _xlpm.result, _xlfn.XLOOKUP($B99, Result_Database!$A$2:$A$500, Result_Database!Y$2:Y$500),
  _xlfn.IFNA(_xlpm.result, "")
)</f>
        <v/>
      </c>
      <c r="AA99" t="str">
        <f>_xlfn.LET(
  _xlpm.result, _xlfn.XLOOKUP($B99, Result_Database!$A$2:$A$500, Result_Database!Z$2:Z$500),
  _xlfn.IFNA(_xlpm.result, "")
)</f>
        <v/>
      </c>
      <c r="AB99" t="str">
        <f>_xlfn.LET(
  _xlpm.result, _xlfn.XLOOKUP($B99, Result_Database!$A$2:$A$500, Result_Database!AA$2:AA$500),
  _xlfn.IFNA(_xlpm.result, "")
)</f>
        <v/>
      </c>
      <c r="AC99" t="str">
        <f>_xlfn.LET(
  _xlpm.result, _xlfn.XLOOKUP($B99, Result_Database!$A$2:$A$500, Result_Database!AB$2:AB$500),
  _xlfn.IFNA(_xlpm.result, "")
)</f>
        <v/>
      </c>
      <c r="AD99" t="str">
        <f>_xlfn.LET(
  _xlpm.result, _xlfn.XLOOKUP($B99, Result_Database!$A$2:$A$500, Result_Database!AC$2:AC$500),
  _xlfn.IFNA(_xlpm.result, "")
)</f>
        <v/>
      </c>
      <c r="AE99" t="str">
        <f>_xlfn.LET(
  _xlpm.result, _xlfn.XLOOKUP($B99, Result_Database!$A$2:$A$500, Result_Database!AD$2:AD$500),
  _xlfn.IFNA(_xlpm.result, "")
)</f>
        <v/>
      </c>
      <c r="AF99" t="str">
        <f>_xlfn.LET(
  _xlpm.result, _xlfn.XLOOKUP($B99, Result_Database!$A$2:$A$500, Result_Database!AE$2:AE$500),
  _xlfn.IFNA(_xlpm.result, "")
)</f>
        <v/>
      </c>
      <c r="AG99" t="str">
        <f>_xlfn.LET(
  _xlpm.result, _xlfn.XLOOKUP($B99, Result_Database!$A$2:$A$500, Result_Database!AF$2:AF$500),
  _xlfn.IFNA(_xlpm.result, "")
)</f>
        <v/>
      </c>
      <c r="AH99" t="str">
        <f>_xlfn.LET(
  _xlpm.result, _xlfn.XLOOKUP($B99, Result_Database!$A$2:$A$500, Result_Database!AG$2:AG$500),
  _xlfn.IFNA(_xlpm.result, "")
)</f>
        <v/>
      </c>
      <c r="AI99" t="str">
        <f>_xlfn.LET(
  _xlpm.result, _xlfn.XLOOKUP($B99, Result_Database!$A$2:$A$500, Result_Database!AH$2:AH$500),
  _xlfn.IFNA(_xlpm.result, "")
)</f>
        <v/>
      </c>
      <c r="AJ99" t="str">
        <f>_xlfn.LET(
  _xlpm.result, _xlfn.XLOOKUP($B99, Result_Database!$A$2:$A$500, Result_Database!AI$2:AI$500),
  _xlfn.IFNA(_xlpm.result, "")
)</f>
        <v/>
      </c>
      <c r="AK99" t="str">
        <f>_xlfn.LET(
  _xlpm.result, _xlfn.XLOOKUP($B99, Result_Database!$A$2:$A$500, Result_Database!AJ$2:AJ$500),
  _xlfn.IFNA(_xlpm.result, "")
)</f>
        <v/>
      </c>
      <c r="AL99" t="str">
        <f>_xlfn.LET(
  _xlpm.result, _xlfn.XLOOKUP($B99, Result_Database!$A$2:$A$500, Result_Database!AK$2:AK$500),
  _xlfn.IFNA(_xlpm.result, "")
)</f>
        <v/>
      </c>
      <c r="AM9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9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9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9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9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9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9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9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9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99" t="str">
        <f>IF(SUM(Table5[[#This Row],[A1]:[C6]])&lt;&gt;0,SUM(Table5[[#This Row],[A1]:[C6]]),"")</f>
        <v/>
      </c>
      <c r="AW99" t="str">
        <f>IF(SUM(Table5[[#This Row],[D7]:[F9]])=0,"",SUM(Table5[[#This Row],[D7]:[F9]]))</f>
        <v/>
      </c>
      <c r="AX9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9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9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9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9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9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99" t="str">
        <f>IF(COUNTIF(Table5[[#This Row],[English Language]:[Electrical/ Electronics]],"WITHHELD")=0,"",COUNTIF(Table5[[#This Row],[English Language]:[Electrical/ Electronics]],"WITHHELD"))</f>
        <v/>
      </c>
      <c r="BE99" t="str">
        <f>IF(SUM(Table5[[#This Row],[NO OF CREDITS]:[BELOW CREDITS]])=0,"",SUM(Table5[[#This Row],[NO OF CREDITS]:[BELOW CREDITS]]))</f>
        <v/>
      </c>
    </row>
    <row r="100" spans="1:57" x14ac:dyDescent="0.3">
      <c r="A100" t="str">
        <f>IF(B100&lt;&gt;"",COUNTA($B$6:B100),"")</f>
        <v/>
      </c>
      <c r="B100" t="str">
        <f>IF(Result_Database!A96="","",Result_Database!A96)</f>
        <v/>
      </c>
      <c r="C100" t="str">
        <f>_xlfn.LET(
_xlpm.result,_xlfn.XLOOKUP($B100,Result_Database!$A$2:$A$500,Result_Database!$B$2:$B$500),
_xlfn.IFNA(_xlpm.result,"")
)</f>
        <v/>
      </c>
      <c r="D100" t="str">
        <f>_xlfn.LET(
  _xlpm.result, _xlfn.XLOOKUP($B100, Result_Database!$A$2:$A$500, Result_Database!C$2:C$500),
  _xlfn.IFNA(_xlpm.result, "")
)</f>
        <v/>
      </c>
      <c r="E100" t="str">
        <f>_xlfn.LET(
  _xlpm.result, _xlfn.XLOOKUP($B100, Result_Database!$A$2:$A$500, Result_Database!D$2:D$500),
  _xlfn.IFNA(_xlpm.result, "")
)</f>
        <v/>
      </c>
      <c r="F100" t="str">
        <f>_xlfn.LET(
  _xlpm.result, _xlfn.XLOOKUP($B100, Result_Database!$A$2:$A$500, Result_Database!E$2:E$500),
  _xlfn.IFNA(_xlpm.result, "")
)</f>
        <v/>
      </c>
      <c r="G100" t="str">
        <f>_xlfn.LET(
  _xlpm.result, _xlfn.XLOOKUP($B100, Result_Database!$A$2:$A$500, Result_Database!F$2:F$500),
  _xlfn.IFNA(_xlpm.result, "")
)</f>
        <v/>
      </c>
      <c r="H100" t="str">
        <f>_xlfn.LET(
  _xlpm.result, _xlfn.XLOOKUP($B100, Result_Database!$A$2:$A$500, Result_Database!G$2:G$500),
  _xlfn.IFNA(_xlpm.result, "")
)</f>
        <v/>
      </c>
      <c r="I100" t="str">
        <f>_xlfn.LET(
  _xlpm.result, _xlfn.XLOOKUP($B100, Result_Database!$A$2:$A$500, Result_Database!H$2:H$500),
  _xlfn.IFNA(_xlpm.result, "")
)</f>
        <v/>
      </c>
      <c r="J100" t="str">
        <f>_xlfn.LET(
  _xlpm.result, _xlfn.XLOOKUP($B100, Result_Database!$A$2:$A$500, Result_Database!I$2:I$500),
  _xlfn.IFNA(_xlpm.result, "")
)</f>
        <v/>
      </c>
      <c r="K100" t="str">
        <f>_xlfn.LET(
  _xlpm.result, _xlfn.XLOOKUP($B100, Result_Database!$A$2:$A$500, Result_Database!J$2:J$500),
  _xlfn.IFNA(_xlpm.result, "")
)</f>
        <v/>
      </c>
      <c r="L100" t="str">
        <f>_xlfn.LET(
  _xlpm.result, _xlfn.XLOOKUP($B100, Result_Database!$A$2:$A$500, Result_Database!K$2:K$500),
  _xlfn.IFNA(_xlpm.result, "")
)</f>
        <v/>
      </c>
      <c r="M100" t="str">
        <f>_xlfn.LET(
  _xlpm.result, _xlfn.XLOOKUP($B100, Result_Database!$A$2:$A$500, Result_Database!L$2:L$500),
  _xlfn.IFNA(_xlpm.result, "")
)</f>
        <v/>
      </c>
      <c r="N100" t="str">
        <f>_xlfn.LET(
  _xlpm.result, _xlfn.XLOOKUP($B100, Result_Database!$A$2:$A$500, Result_Database!M$2:M$500),
  _xlfn.IFNA(_xlpm.result, "")
)</f>
        <v/>
      </c>
      <c r="O100" t="str">
        <f>_xlfn.LET(
  _xlpm.result, _xlfn.XLOOKUP($B100, Result_Database!$A$2:$A$500, Result_Database!N$2:N$500),
  _xlfn.IFNA(_xlpm.result, "")
)</f>
        <v/>
      </c>
      <c r="P100" t="str">
        <f>_xlfn.LET(
  _xlpm.result, _xlfn.XLOOKUP($B100, Result_Database!$A$2:$A$500, Result_Database!O$2:O$500),
  _xlfn.IFNA(_xlpm.result, "")
)</f>
        <v/>
      </c>
      <c r="Q100" t="str">
        <f>_xlfn.LET(
  _xlpm.result, _xlfn.XLOOKUP($B100, Result_Database!$A$2:$A$500, Result_Database!P$2:P$500),
  _xlfn.IFNA(_xlpm.result, "")
)</f>
        <v/>
      </c>
      <c r="R100" t="str">
        <f>_xlfn.LET(
  _xlpm.result, _xlfn.XLOOKUP($B100, Result_Database!$A$2:$A$500, Result_Database!Q$2:Q$500),
  _xlfn.IFNA(_xlpm.result, "")
)</f>
        <v/>
      </c>
      <c r="S100" t="str">
        <f>_xlfn.LET(
  _xlpm.result, _xlfn.XLOOKUP($B100, Result_Database!$A$2:$A$500, Result_Database!R$2:R$500),
  _xlfn.IFNA(_xlpm.result, "")
)</f>
        <v/>
      </c>
      <c r="T100" t="str">
        <f>_xlfn.LET(
  _xlpm.result, _xlfn.XLOOKUP($B100, Result_Database!$A$2:$A$500, Result_Database!S$2:S$500),
  _xlfn.IFNA(_xlpm.result, "")
)</f>
        <v/>
      </c>
      <c r="U100" t="str">
        <f>_xlfn.LET(
  _xlpm.result, _xlfn.XLOOKUP($B100, Result_Database!$A$2:$A$500, Result_Database!T$2:T$500),
  _xlfn.IFNA(_xlpm.result, "")
)</f>
        <v/>
      </c>
      <c r="V100" t="str">
        <f>_xlfn.LET(
  _xlpm.result, _xlfn.XLOOKUP($B100, Result_Database!$A$2:$A$500, Result_Database!U$2:U$500),
  _xlfn.IFNA(_xlpm.result, "")
)</f>
        <v/>
      </c>
      <c r="W100" t="str">
        <f>_xlfn.LET(
  _xlpm.result, _xlfn.XLOOKUP($B100, Result_Database!$A$2:$A$500, Result_Database!V$2:V$500),
  _xlfn.IFNA(_xlpm.result, "")
)</f>
        <v/>
      </c>
      <c r="X100" t="str">
        <f>_xlfn.LET(
  _xlpm.result, _xlfn.XLOOKUP($B100, Result_Database!$A$2:$A$500, Result_Database!W$2:W$500),
  _xlfn.IFNA(_xlpm.result, "")
)</f>
        <v/>
      </c>
      <c r="Y100" t="str">
        <f>_xlfn.LET(
  _xlpm.result, _xlfn.XLOOKUP($B100, Result_Database!$A$2:$A$500, Result_Database!X$2:X$500),
  _xlfn.IFNA(_xlpm.result, "")
)</f>
        <v/>
      </c>
      <c r="Z100" t="str">
        <f>_xlfn.LET(
  _xlpm.result, _xlfn.XLOOKUP($B100, Result_Database!$A$2:$A$500, Result_Database!Y$2:Y$500),
  _xlfn.IFNA(_xlpm.result, "")
)</f>
        <v/>
      </c>
      <c r="AA100" t="str">
        <f>_xlfn.LET(
  _xlpm.result, _xlfn.XLOOKUP($B100, Result_Database!$A$2:$A$500, Result_Database!Z$2:Z$500),
  _xlfn.IFNA(_xlpm.result, "")
)</f>
        <v/>
      </c>
      <c r="AB100" t="str">
        <f>_xlfn.LET(
  _xlpm.result, _xlfn.XLOOKUP($B100, Result_Database!$A$2:$A$500, Result_Database!AA$2:AA$500),
  _xlfn.IFNA(_xlpm.result, "")
)</f>
        <v/>
      </c>
      <c r="AC100" t="str">
        <f>_xlfn.LET(
  _xlpm.result, _xlfn.XLOOKUP($B100, Result_Database!$A$2:$A$500, Result_Database!AB$2:AB$500),
  _xlfn.IFNA(_xlpm.result, "")
)</f>
        <v/>
      </c>
      <c r="AD100" t="str">
        <f>_xlfn.LET(
  _xlpm.result, _xlfn.XLOOKUP($B100, Result_Database!$A$2:$A$500, Result_Database!AC$2:AC$500),
  _xlfn.IFNA(_xlpm.result, "")
)</f>
        <v/>
      </c>
      <c r="AE100" t="str">
        <f>_xlfn.LET(
  _xlpm.result, _xlfn.XLOOKUP($B100, Result_Database!$A$2:$A$500, Result_Database!AD$2:AD$500),
  _xlfn.IFNA(_xlpm.result, "")
)</f>
        <v/>
      </c>
      <c r="AF100" t="str">
        <f>_xlfn.LET(
  _xlpm.result, _xlfn.XLOOKUP($B100, Result_Database!$A$2:$A$500, Result_Database!AE$2:AE$500),
  _xlfn.IFNA(_xlpm.result, "")
)</f>
        <v/>
      </c>
      <c r="AG100" t="str">
        <f>_xlfn.LET(
  _xlpm.result, _xlfn.XLOOKUP($B100, Result_Database!$A$2:$A$500, Result_Database!AF$2:AF$500),
  _xlfn.IFNA(_xlpm.result, "")
)</f>
        <v/>
      </c>
      <c r="AH100" t="str">
        <f>_xlfn.LET(
  _xlpm.result, _xlfn.XLOOKUP($B100, Result_Database!$A$2:$A$500, Result_Database!AG$2:AG$500),
  _xlfn.IFNA(_xlpm.result, "")
)</f>
        <v/>
      </c>
      <c r="AI100" t="str">
        <f>_xlfn.LET(
  _xlpm.result, _xlfn.XLOOKUP($B100, Result_Database!$A$2:$A$500, Result_Database!AH$2:AH$500),
  _xlfn.IFNA(_xlpm.result, "")
)</f>
        <v/>
      </c>
      <c r="AJ100" t="str">
        <f>_xlfn.LET(
  _xlpm.result, _xlfn.XLOOKUP($B100, Result_Database!$A$2:$A$500, Result_Database!AI$2:AI$500),
  _xlfn.IFNA(_xlpm.result, "")
)</f>
        <v/>
      </c>
      <c r="AK100" t="str">
        <f>_xlfn.LET(
  _xlpm.result, _xlfn.XLOOKUP($B100, Result_Database!$A$2:$A$500, Result_Database!AJ$2:AJ$500),
  _xlfn.IFNA(_xlpm.result, "")
)</f>
        <v/>
      </c>
      <c r="AL100" t="str">
        <f>_xlfn.LET(
  _xlpm.result, _xlfn.XLOOKUP($B100, Result_Database!$A$2:$A$500, Result_Database!AK$2:AK$500),
  _xlfn.IFNA(_xlpm.result, "")
)</f>
        <v/>
      </c>
      <c r="AM10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0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0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0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0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0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0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0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0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00" t="str">
        <f>IF(SUM(Table5[[#This Row],[A1]:[C6]])&lt;&gt;0,SUM(Table5[[#This Row],[A1]:[C6]]),"")</f>
        <v/>
      </c>
      <c r="AW100" t="str">
        <f>IF(SUM(Table5[[#This Row],[D7]:[F9]])=0,"",SUM(Table5[[#This Row],[D7]:[F9]]))</f>
        <v/>
      </c>
      <c r="AX10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0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0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0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0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0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00" t="str">
        <f>IF(COUNTIF(Table5[[#This Row],[English Language]:[Electrical/ Electronics]],"WITHHELD")=0,"",COUNTIF(Table5[[#This Row],[English Language]:[Electrical/ Electronics]],"WITHHELD"))</f>
        <v/>
      </c>
      <c r="BE100" t="str">
        <f>IF(SUM(Table5[[#This Row],[NO OF CREDITS]:[BELOW CREDITS]])=0,"",SUM(Table5[[#This Row],[NO OF CREDITS]:[BELOW CREDITS]]))</f>
        <v/>
      </c>
    </row>
    <row r="101" spans="1:57" x14ac:dyDescent="0.3">
      <c r="A101" t="str">
        <f>IF(B101&lt;&gt;"",COUNTA($B$6:B101),"")</f>
        <v/>
      </c>
      <c r="B101" t="str">
        <f>IF(Result_Database!A97="","",Result_Database!A97)</f>
        <v/>
      </c>
      <c r="C101" t="str">
        <f>_xlfn.LET(
_xlpm.result,_xlfn.XLOOKUP($B101,Result_Database!$A$2:$A$500,Result_Database!$B$2:$B$500),
_xlfn.IFNA(_xlpm.result,"")
)</f>
        <v/>
      </c>
      <c r="D101" t="str">
        <f>_xlfn.LET(
  _xlpm.result, _xlfn.XLOOKUP($B101, Result_Database!$A$2:$A$500, Result_Database!C$2:C$500),
  _xlfn.IFNA(_xlpm.result, "")
)</f>
        <v/>
      </c>
      <c r="E101" t="str">
        <f>_xlfn.LET(
  _xlpm.result, _xlfn.XLOOKUP($B101, Result_Database!$A$2:$A$500, Result_Database!D$2:D$500),
  _xlfn.IFNA(_xlpm.result, "")
)</f>
        <v/>
      </c>
      <c r="F101" t="str">
        <f>_xlfn.LET(
  _xlpm.result, _xlfn.XLOOKUP($B101, Result_Database!$A$2:$A$500, Result_Database!E$2:E$500),
  _xlfn.IFNA(_xlpm.result, "")
)</f>
        <v/>
      </c>
      <c r="G101" t="str">
        <f>_xlfn.LET(
  _xlpm.result, _xlfn.XLOOKUP($B101, Result_Database!$A$2:$A$500, Result_Database!F$2:F$500),
  _xlfn.IFNA(_xlpm.result, "")
)</f>
        <v/>
      </c>
      <c r="H101" t="str">
        <f>_xlfn.LET(
  _xlpm.result, _xlfn.XLOOKUP($B101, Result_Database!$A$2:$A$500, Result_Database!G$2:G$500),
  _xlfn.IFNA(_xlpm.result, "")
)</f>
        <v/>
      </c>
      <c r="I101" t="str">
        <f>_xlfn.LET(
  _xlpm.result, _xlfn.XLOOKUP($B101, Result_Database!$A$2:$A$500, Result_Database!H$2:H$500),
  _xlfn.IFNA(_xlpm.result, "")
)</f>
        <v/>
      </c>
      <c r="J101" t="str">
        <f>_xlfn.LET(
  _xlpm.result, _xlfn.XLOOKUP($B101, Result_Database!$A$2:$A$500, Result_Database!I$2:I$500),
  _xlfn.IFNA(_xlpm.result, "")
)</f>
        <v/>
      </c>
      <c r="K101" t="str">
        <f>_xlfn.LET(
  _xlpm.result, _xlfn.XLOOKUP($B101, Result_Database!$A$2:$A$500, Result_Database!J$2:J$500),
  _xlfn.IFNA(_xlpm.result, "")
)</f>
        <v/>
      </c>
      <c r="L101" t="str">
        <f>_xlfn.LET(
  _xlpm.result, _xlfn.XLOOKUP($B101, Result_Database!$A$2:$A$500, Result_Database!K$2:K$500),
  _xlfn.IFNA(_xlpm.result, "")
)</f>
        <v/>
      </c>
      <c r="M101" t="str">
        <f>_xlfn.LET(
  _xlpm.result, _xlfn.XLOOKUP($B101, Result_Database!$A$2:$A$500, Result_Database!L$2:L$500),
  _xlfn.IFNA(_xlpm.result, "")
)</f>
        <v/>
      </c>
      <c r="N101" t="str">
        <f>_xlfn.LET(
  _xlpm.result, _xlfn.XLOOKUP($B101, Result_Database!$A$2:$A$500, Result_Database!M$2:M$500),
  _xlfn.IFNA(_xlpm.result, "")
)</f>
        <v/>
      </c>
      <c r="O101" t="str">
        <f>_xlfn.LET(
  _xlpm.result, _xlfn.XLOOKUP($B101, Result_Database!$A$2:$A$500, Result_Database!N$2:N$500),
  _xlfn.IFNA(_xlpm.result, "")
)</f>
        <v/>
      </c>
      <c r="P101" t="str">
        <f>_xlfn.LET(
  _xlpm.result, _xlfn.XLOOKUP($B101, Result_Database!$A$2:$A$500, Result_Database!O$2:O$500),
  _xlfn.IFNA(_xlpm.result, "")
)</f>
        <v/>
      </c>
      <c r="Q101" t="str">
        <f>_xlfn.LET(
  _xlpm.result, _xlfn.XLOOKUP($B101, Result_Database!$A$2:$A$500, Result_Database!P$2:P$500),
  _xlfn.IFNA(_xlpm.result, "")
)</f>
        <v/>
      </c>
      <c r="R101" t="str">
        <f>_xlfn.LET(
  _xlpm.result, _xlfn.XLOOKUP($B101, Result_Database!$A$2:$A$500, Result_Database!Q$2:Q$500),
  _xlfn.IFNA(_xlpm.result, "")
)</f>
        <v/>
      </c>
      <c r="S101" t="str">
        <f>_xlfn.LET(
  _xlpm.result, _xlfn.XLOOKUP($B101, Result_Database!$A$2:$A$500, Result_Database!R$2:R$500),
  _xlfn.IFNA(_xlpm.result, "")
)</f>
        <v/>
      </c>
      <c r="T101" t="str">
        <f>_xlfn.LET(
  _xlpm.result, _xlfn.XLOOKUP($B101, Result_Database!$A$2:$A$500, Result_Database!S$2:S$500),
  _xlfn.IFNA(_xlpm.result, "")
)</f>
        <v/>
      </c>
      <c r="U101" t="str">
        <f>_xlfn.LET(
  _xlpm.result, _xlfn.XLOOKUP($B101, Result_Database!$A$2:$A$500, Result_Database!T$2:T$500),
  _xlfn.IFNA(_xlpm.result, "")
)</f>
        <v/>
      </c>
      <c r="V101" t="str">
        <f>_xlfn.LET(
  _xlpm.result, _xlfn.XLOOKUP($B101, Result_Database!$A$2:$A$500, Result_Database!U$2:U$500),
  _xlfn.IFNA(_xlpm.result, "")
)</f>
        <v/>
      </c>
      <c r="W101" t="str">
        <f>_xlfn.LET(
  _xlpm.result, _xlfn.XLOOKUP($B101, Result_Database!$A$2:$A$500, Result_Database!V$2:V$500),
  _xlfn.IFNA(_xlpm.result, "")
)</f>
        <v/>
      </c>
      <c r="X101" t="str">
        <f>_xlfn.LET(
  _xlpm.result, _xlfn.XLOOKUP($B101, Result_Database!$A$2:$A$500, Result_Database!W$2:W$500),
  _xlfn.IFNA(_xlpm.result, "")
)</f>
        <v/>
      </c>
      <c r="Y101" t="str">
        <f>_xlfn.LET(
  _xlpm.result, _xlfn.XLOOKUP($B101, Result_Database!$A$2:$A$500, Result_Database!X$2:X$500),
  _xlfn.IFNA(_xlpm.result, "")
)</f>
        <v/>
      </c>
      <c r="Z101" t="str">
        <f>_xlfn.LET(
  _xlpm.result, _xlfn.XLOOKUP($B101, Result_Database!$A$2:$A$500, Result_Database!Y$2:Y$500),
  _xlfn.IFNA(_xlpm.result, "")
)</f>
        <v/>
      </c>
      <c r="AA101" t="str">
        <f>_xlfn.LET(
  _xlpm.result, _xlfn.XLOOKUP($B101, Result_Database!$A$2:$A$500, Result_Database!Z$2:Z$500),
  _xlfn.IFNA(_xlpm.result, "")
)</f>
        <v/>
      </c>
      <c r="AB101" t="str">
        <f>_xlfn.LET(
  _xlpm.result, _xlfn.XLOOKUP($B101, Result_Database!$A$2:$A$500, Result_Database!AA$2:AA$500),
  _xlfn.IFNA(_xlpm.result, "")
)</f>
        <v/>
      </c>
      <c r="AC101" t="str">
        <f>_xlfn.LET(
  _xlpm.result, _xlfn.XLOOKUP($B101, Result_Database!$A$2:$A$500, Result_Database!AB$2:AB$500),
  _xlfn.IFNA(_xlpm.result, "")
)</f>
        <v/>
      </c>
      <c r="AD101" t="str">
        <f>_xlfn.LET(
  _xlpm.result, _xlfn.XLOOKUP($B101, Result_Database!$A$2:$A$500, Result_Database!AC$2:AC$500),
  _xlfn.IFNA(_xlpm.result, "")
)</f>
        <v/>
      </c>
      <c r="AE101" t="str">
        <f>_xlfn.LET(
  _xlpm.result, _xlfn.XLOOKUP($B101, Result_Database!$A$2:$A$500, Result_Database!AD$2:AD$500),
  _xlfn.IFNA(_xlpm.result, "")
)</f>
        <v/>
      </c>
      <c r="AF101" t="str">
        <f>_xlfn.LET(
  _xlpm.result, _xlfn.XLOOKUP($B101, Result_Database!$A$2:$A$500, Result_Database!AE$2:AE$500),
  _xlfn.IFNA(_xlpm.result, "")
)</f>
        <v/>
      </c>
      <c r="AG101" t="str">
        <f>_xlfn.LET(
  _xlpm.result, _xlfn.XLOOKUP($B101, Result_Database!$A$2:$A$500, Result_Database!AF$2:AF$500),
  _xlfn.IFNA(_xlpm.result, "")
)</f>
        <v/>
      </c>
      <c r="AH101" t="str">
        <f>_xlfn.LET(
  _xlpm.result, _xlfn.XLOOKUP($B101, Result_Database!$A$2:$A$500, Result_Database!AG$2:AG$500),
  _xlfn.IFNA(_xlpm.result, "")
)</f>
        <v/>
      </c>
      <c r="AI101" t="str">
        <f>_xlfn.LET(
  _xlpm.result, _xlfn.XLOOKUP($B101, Result_Database!$A$2:$A$500, Result_Database!AH$2:AH$500),
  _xlfn.IFNA(_xlpm.result, "")
)</f>
        <v/>
      </c>
      <c r="AJ101" t="str">
        <f>_xlfn.LET(
  _xlpm.result, _xlfn.XLOOKUP($B101, Result_Database!$A$2:$A$500, Result_Database!AI$2:AI$500),
  _xlfn.IFNA(_xlpm.result, "")
)</f>
        <v/>
      </c>
      <c r="AK101" t="str">
        <f>_xlfn.LET(
  _xlpm.result, _xlfn.XLOOKUP($B101, Result_Database!$A$2:$A$500, Result_Database!AJ$2:AJ$500),
  _xlfn.IFNA(_xlpm.result, "")
)</f>
        <v/>
      </c>
      <c r="AL101" t="str">
        <f>_xlfn.LET(
  _xlpm.result, _xlfn.XLOOKUP($B101, Result_Database!$A$2:$A$500, Result_Database!AK$2:AK$500),
  _xlfn.IFNA(_xlpm.result, "")
)</f>
        <v/>
      </c>
      <c r="AM10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0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0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0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0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0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0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0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0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01" t="str">
        <f>IF(SUM(Table5[[#This Row],[A1]:[C6]])&lt;&gt;0,SUM(Table5[[#This Row],[A1]:[C6]]),"")</f>
        <v/>
      </c>
      <c r="AW101" t="str">
        <f>IF(SUM(Table5[[#This Row],[D7]:[F9]])=0,"",SUM(Table5[[#This Row],[D7]:[F9]]))</f>
        <v/>
      </c>
      <c r="AX10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0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0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0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0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0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01" t="str">
        <f>IF(COUNTIF(Table5[[#This Row],[English Language]:[Electrical/ Electronics]],"WITHHELD")=0,"",COUNTIF(Table5[[#This Row],[English Language]:[Electrical/ Electronics]],"WITHHELD"))</f>
        <v/>
      </c>
      <c r="BE101" t="str">
        <f>IF(SUM(Table5[[#This Row],[NO OF CREDITS]:[BELOW CREDITS]])=0,"",SUM(Table5[[#This Row],[NO OF CREDITS]:[BELOW CREDITS]]))</f>
        <v/>
      </c>
    </row>
    <row r="102" spans="1:57" x14ac:dyDescent="0.3">
      <c r="A102" t="str">
        <f>IF(B102&lt;&gt;"",COUNTA($B$6:B102),"")</f>
        <v/>
      </c>
      <c r="B102" t="str">
        <f>IF(Result_Database!A98="","",Result_Database!A98)</f>
        <v/>
      </c>
      <c r="C102" t="str">
        <f>_xlfn.LET(
_xlpm.result,_xlfn.XLOOKUP($B102,Result_Database!$A$2:$A$500,Result_Database!$B$2:$B$500),
_xlfn.IFNA(_xlpm.result,"")
)</f>
        <v/>
      </c>
      <c r="D102" t="str">
        <f>_xlfn.LET(
  _xlpm.result, _xlfn.XLOOKUP($B102, Result_Database!$A$2:$A$500, Result_Database!C$2:C$500),
  _xlfn.IFNA(_xlpm.result, "")
)</f>
        <v/>
      </c>
      <c r="E102" t="str">
        <f>_xlfn.LET(
  _xlpm.result, _xlfn.XLOOKUP($B102, Result_Database!$A$2:$A$500, Result_Database!D$2:D$500),
  _xlfn.IFNA(_xlpm.result, "")
)</f>
        <v/>
      </c>
      <c r="F102" t="str">
        <f>_xlfn.LET(
  _xlpm.result, _xlfn.XLOOKUP($B102, Result_Database!$A$2:$A$500, Result_Database!E$2:E$500),
  _xlfn.IFNA(_xlpm.result, "")
)</f>
        <v/>
      </c>
      <c r="G102" t="str">
        <f>_xlfn.LET(
  _xlpm.result, _xlfn.XLOOKUP($B102, Result_Database!$A$2:$A$500, Result_Database!F$2:F$500),
  _xlfn.IFNA(_xlpm.result, "")
)</f>
        <v/>
      </c>
      <c r="H102" t="str">
        <f>_xlfn.LET(
  _xlpm.result, _xlfn.XLOOKUP($B102, Result_Database!$A$2:$A$500, Result_Database!G$2:G$500),
  _xlfn.IFNA(_xlpm.result, "")
)</f>
        <v/>
      </c>
      <c r="I102" t="str">
        <f>_xlfn.LET(
  _xlpm.result, _xlfn.XLOOKUP($B102, Result_Database!$A$2:$A$500, Result_Database!H$2:H$500),
  _xlfn.IFNA(_xlpm.result, "")
)</f>
        <v/>
      </c>
      <c r="J102" t="str">
        <f>_xlfn.LET(
  _xlpm.result, _xlfn.XLOOKUP($B102, Result_Database!$A$2:$A$500, Result_Database!I$2:I$500),
  _xlfn.IFNA(_xlpm.result, "")
)</f>
        <v/>
      </c>
      <c r="K102" t="str">
        <f>_xlfn.LET(
  _xlpm.result, _xlfn.XLOOKUP($B102, Result_Database!$A$2:$A$500, Result_Database!J$2:J$500),
  _xlfn.IFNA(_xlpm.result, "")
)</f>
        <v/>
      </c>
      <c r="L102" t="str">
        <f>_xlfn.LET(
  _xlpm.result, _xlfn.XLOOKUP($B102, Result_Database!$A$2:$A$500, Result_Database!K$2:K$500),
  _xlfn.IFNA(_xlpm.result, "")
)</f>
        <v/>
      </c>
      <c r="M102" t="str">
        <f>_xlfn.LET(
  _xlpm.result, _xlfn.XLOOKUP($B102, Result_Database!$A$2:$A$500, Result_Database!L$2:L$500),
  _xlfn.IFNA(_xlpm.result, "")
)</f>
        <v/>
      </c>
      <c r="N102" t="str">
        <f>_xlfn.LET(
  _xlpm.result, _xlfn.XLOOKUP($B102, Result_Database!$A$2:$A$500, Result_Database!M$2:M$500),
  _xlfn.IFNA(_xlpm.result, "")
)</f>
        <v/>
      </c>
      <c r="O102" t="str">
        <f>_xlfn.LET(
  _xlpm.result, _xlfn.XLOOKUP($B102, Result_Database!$A$2:$A$500, Result_Database!N$2:N$500),
  _xlfn.IFNA(_xlpm.result, "")
)</f>
        <v/>
      </c>
      <c r="P102" t="str">
        <f>_xlfn.LET(
  _xlpm.result, _xlfn.XLOOKUP($B102, Result_Database!$A$2:$A$500, Result_Database!O$2:O$500),
  _xlfn.IFNA(_xlpm.result, "")
)</f>
        <v/>
      </c>
      <c r="Q102" t="str">
        <f>_xlfn.LET(
  _xlpm.result, _xlfn.XLOOKUP($B102, Result_Database!$A$2:$A$500, Result_Database!P$2:P$500),
  _xlfn.IFNA(_xlpm.result, "")
)</f>
        <v/>
      </c>
      <c r="R102" t="str">
        <f>_xlfn.LET(
  _xlpm.result, _xlfn.XLOOKUP($B102, Result_Database!$A$2:$A$500, Result_Database!Q$2:Q$500),
  _xlfn.IFNA(_xlpm.result, "")
)</f>
        <v/>
      </c>
      <c r="S102" t="str">
        <f>_xlfn.LET(
  _xlpm.result, _xlfn.XLOOKUP($B102, Result_Database!$A$2:$A$500, Result_Database!R$2:R$500),
  _xlfn.IFNA(_xlpm.result, "")
)</f>
        <v/>
      </c>
      <c r="T102" t="str">
        <f>_xlfn.LET(
  _xlpm.result, _xlfn.XLOOKUP($B102, Result_Database!$A$2:$A$500, Result_Database!S$2:S$500),
  _xlfn.IFNA(_xlpm.result, "")
)</f>
        <v/>
      </c>
      <c r="U102" t="str">
        <f>_xlfn.LET(
  _xlpm.result, _xlfn.XLOOKUP($B102, Result_Database!$A$2:$A$500, Result_Database!T$2:T$500),
  _xlfn.IFNA(_xlpm.result, "")
)</f>
        <v/>
      </c>
      <c r="V102" t="str">
        <f>_xlfn.LET(
  _xlpm.result, _xlfn.XLOOKUP($B102, Result_Database!$A$2:$A$500, Result_Database!U$2:U$500),
  _xlfn.IFNA(_xlpm.result, "")
)</f>
        <v/>
      </c>
      <c r="W102" t="str">
        <f>_xlfn.LET(
  _xlpm.result, _xlfn.XLOOKUP($B102, Result_Database!$A$2:$A$500, Result_Database!V$2:V$500),
  _xlfn.IFNA(_xlpm.result, "")
)</f>
        <v/>
      </c>
      <c r="X102" t="str">
        <f>_xlfn.LET(
  _xlpm.result, _xlfn.XLOOKUP($B102, Result_Database!$A$2:$A$500, Result_Database!W$2:W$500),
  _xlfn.IFNA(_xlpm.result, "")
)</f>
        <v/>
      </c>
      <c r="Y102" t="str">
        <f>_xlfn.LET(
  _xlpm.result, _xlfn.XLOOKUP($B102, Result_Database!$A$2:$A$500, Result_Database!X$2:X$500),
  _xlfn.IFNA(_xlpm.result, "")
)</f>
        <v/>
      </c>
      <c r="Z102" t="str">
        <f>_xlfn.LET(
  _xlpm.result, _xlfn.XLOOKUP($B102, Result_Database!$A$2:$A$500, Result_Database!Y$2:Y$500),
  _xlfn.IFNA(_xlpm.result, "")
)</f>
        <v/>
      </c>
      <c r="AA102" t="str">
        <f>_xlfn.LET(
  _xlpm.result, _xlfn.XLOOKUP($B102, Result_Database!$A$2:$A$500, Result_Database!Z$2:Z$500),
  _xlfn.IFNA(_xlpm.result, "")
)</f>
        <v/>
      </c>
      <c r="AB102" t="str">
        <f>_xlfn.LET(
  _xlpm.result, _xlfn.XLOOKUP($B102, Result_Database!$A$2:$A$500, Result_Database!AA$2:AA$500),
  _xlfn.IFNA(_xlpm.result, "")
)</f>
        <v/>
      </c>
      <c r="AC102" t="str">
        <f>_xlfn.LET(
  _xlpm.result, _xlfn.XLOOKUP($B102, Result_Database!$A$2:$A$500, Result_Database!AB$2:AB$500),
  _xlfn.IFNA(_xlpm.result, "")
)</f>
        <v/>
      </c>
      <c r="AD102" t="str">
        <f>_xlfn.LET(
  _xlpm.result, _xlfn.XLOOKUP($B102, Result_Database!$A$2:$A$500, Result_Database!AC$2:AC$500),
  _xlfn.IFNA(_xlpm.result, "")
)</f>
        <v/>
      </c>
      <c r="AE102" t="str">
        <f>_xlfn.LET(
  _xlpm.result, _xlfn.XLOOKUP($B102, Result_Database!$A$2:$A$500, Result_Database!AD$2:AD$500),
  _xlfn.IFNA(_xlpm.result, "")
)</f>
        <v/>
      </c>
      <c r="AF102" t="str">
        <f>_xlfn.LET(
  _xlpm.result, _xlfn.XLOOKUP($B102, Result_Database!$A$2:$A$500, Result_Database!AE$2:AE$500),
  _xlfn.IFNA(_xlpm.result, "")
)</f>
        <v/>
      </c>
      <c r="AG102" t="str">
        <f>_xlfn.LET(
  _xlpm.result, _xlfn.XLOOKUP($B102, Result_Database!$A$2:$A$500, Result_Database!AF$2:AF$500),
  _xlfn.IFNA(_xlpm.result, "")
)</f>
        <v/>
      </c>
      <c r="AH102" t="str">
        <f>_xlfn.LET(
  _xlpm.result, _xlfn.XLOOKUP($B102, Result_Database!$A$2:$A$500, Result_Database!AG$2:AG$500),
  _xlfn.IFNA(_xlpm.result, "")
)</f>
        <v/>
      </c>
      <c r="AI102" t="str">
        <f>_xlfn.LET(
  _xlpm.result, _xlfn.XLOOKUP($B102, Result_Database!$A$2:$A$500, Result_Database!AH$2:AH$500),
  _xlfn.IFNA(_xlpm.result, "")
)</f>
        <v/>
      </c>
      <c r="AJ102" t="str">
        <f>_xlfn.LET(
  _xlpm.result, _xlfn.XLOOKUP($B102, Result_Database!$A$2:$A$500, Result_Database!AI$2:AI$500),
  _xlfn.IFNA(_xlpm.result, "")
)</f>
        <v/>
      </c>
      <c r="AK102" t="str">
        <f>_xlfn.LET(
  _xlpm.result, _xlfn.XLOOKUP($B102, Result_Database!$A$2:$A$500, Result_Database!AJ$2:AJ$500),
  _xlfn.IFNA(_xlpm.result, "")
)</f>
        <v/>
      </c>
      <c r="AL102" t="str">
        <f>_xlfn.LET(
  _xlpm.result, _xlfn.XLOOKUP($B102, Result_Database!$A$2:$A$500, Result_Database!AK$2:AK$500),
  _xlfn.IFNA(_xlpm.result, "")
)</f>
        <v/>
      </c>
      <c r="AM10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0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0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0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0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0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0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0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0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02" t="str">
        <f>IF(SUM(Table5[[#This Row],[A1]:[C6]])&lt;&gt;0,SUM(Table5[[#This Row],[A1]:[C6]]),"")</f>
        <v/>
      </c>
      <c r="AW102" t="str">
        <f>IF(SUM(Table5[[#This Row],[D7]:[F9]])=0,"",SUM(Table5[[#This Row],[D7]:[F9]]))</f>
        <v/>
      </c>
      <c r="AX10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0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0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0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0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0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02" t="str">
        <f>IF(COUNTIF(Table5[[#This Row],[English Language]:[Electrical/ Electronics]],"WITHHELD")=0,"",COUNTIF(Table5[[#This Row],[English Language]:[Electrical/ Electronics]],"WITHHELD"))</f>
        <v/>
      </c>
      <c r="BE102" t="str">
        <f>IF(SUM(Table5[[#This Row],[NO OF CREDITS]:[BELOW CREDITS]])=0,"",SUM(Table5[[#This Row],[NO OF CREDITS]:[BELOW CREDITS]]))</f>
        <v/>
      </c>
    </row>
    <row r="103" spans="1:57" x14ac:dyDescent="0.3">
      <c r="A103" t="str">
        <f>IF(B103&lt;&gt;"",COUNTA($B$6:B103),"")</f>
        <v/>
      </c>
      <c r="B103" t="str">
        <f>IF(Result_Database!A99="","",Result_Database!A99)</f>
        <v/>
      </c>
      <c r="C103" t="str">
        <f>_xlfn.LET(
_xlpm.result,_xlfn.XLOOKUP($B103,Result_Database!$A$2:$A$500,Result_Database!$B$2:$B$500),
_xlfn.IFNA(_xlpm.result,"")
)</f>
        <v/>
      </c>
      <c r="D103" t="str">
        <f>_xlfn.LET(
  _xlpm.result, _xlfn.XLOOKUP($B103, Result_Database!$A$2:$A$500, Result_Database!C$2:C$500),
  _xlfn.IFNA(_xlpm.result, "")
)</f>
        <v/>
      </c>
      <c r="E103" t="str">
        <f>_xlfn.LET(
  _xlpm.result, _xlfn.XLOOKUP($B103, Result_Database!$A$2:$A$500, Result_Database!D$2:D$500),
  _xlfn.IFNA(_xlpm.result, "")
)</f>
        <v/>
      </c>
      <c r="F103" t="str">
        <f>_xlfn.LET(
  _xlpm.result, _xlfn.XLOOKUP($B103, Result_Database!$A$2:$A$500, Result_Database!E$2:E$500),
  _xlfn.IFNA(_xlpm.result, "")
)</f>
        <v/>
      </c>
      <c r="G103" t="str">
        <f>_xlfn.LET(
  _xlpm.result, _xlfn.XLOOKUP($B103, Result_Database!$A$2:$A$500, Result_Database!F$2:F$500),
  _xlfn.IFNA(_xlpm.result, "")
)</f>
        <v/>
      </c>
      <c r="H103" t="str">
        <f>_xlfn.LET(
  _xlpm.result, _xlfn.XLOOKUP($B103, Result_Database!$A$2:$A$500, Result_Database!G$2:G$500),
  _xlfn.IFNA(_xlpm.result, "")
)</f>
        <v/>
      </c>
      <c r="I103" t="str">
        <f>_xlfn.LET(
  _xlpm.result, _xlfn.XLOOKUP($B103, Result_Database!$A$2:$A$500, Result_Database!H$2:H$500),
  _xlfn.IFNA(_xlpm.result, "")
)</f>
        <v/>
      </c>
      <c r="J103" t="str">
        <f>_xlfn.LET(
  _xlpm.result, _xlfn.XLOOKUP($B103, Result_Database!$A$2:$A$500, Result_Database!I$2:I$500),
  _xlfn.IFNA(_xlpm.result, "")
)</f>
        <v/>
      </c>
      <c r="K103" t="str">
        <f>_xlfn.LET(
  _xlpm.result, _xlfn.XLOOKUP($B103, Result_Database!$A$2:$A$500, Result_Database!J$2:J$500),
  _xlfn.IFNA(_xlpm.result, "")
)</f>
        <v/>
      </c>
      <c r="L103" t="str">
        <f>_xlfn.LET(
  _xlpm.result, _xlfn.XLOOKUP($B103, Result_Database!$A$2:$A$500, Result_Database!K$2:K$500),
  _xlfn.IFNA(_xlpm.result, "")
)</f>
        <v/>
      </c>
      <c r="M103" t="str">
        <f>_xlfn.LET(
  _xlpm.result, _xlfn.XLOOKUP($B103, Result_Database!$A$2:$A$500, Result_Database!L$2:L$500),
  _xlfn.IFNA(_xlpm.result, "")
)</f>
        <v/>
      </c>
      <c r="N103" t="str">
        <f>_xlfn.LET(
  _xlpm.result, _xlfn.XLOOKUP($B103, Result_Database!$A$2:$A$500, Result_Database!M$2:M$500),
  _xlfn.IFNA(_xlpm.result, "")
)</f>
        <v/>
      </c>
      <c r="O103" t="str">
        <f>_xlfn.LET(
  _xlpm.result, _xlfn.XLOOKUP($B103, Result_Database!$A$2:$A$500, Result_Database!N$2:N$500),
  _xlfn.IFNA(_xlpm.result, "")
)</f>
        <v/>
      </c>
      <c r="P103" t="str">
        <f>_xlfn.LET(
  _xlpm.result, _xlfn.XLOOKUP($B103, Result_Database!$A$2:$A$500, Result_Database!O$2:O$500),
  _xlfn.IFNA(_xlpm.result, "")
)</f>
        <v/>
      </c>
      <c r="Q103" t="str">
        <f>_xlfn.LET(
  _xlpm.result, _xlfn.XLOOKUP($B103, Result_Database!$A$2:$A$500, Result_Database!P$2:P$500),
  _xlfn.IFNA(_xlpm.result, "")
)</f>
        <v/>
      </c>
      <c r="R103" t="str">
        <f>_xlfn.LET(
  _xlpm.result, _xlfn.XLOOKUP($B103, Result_Database!$A$2:$A$500, Result_Database!Q$2:Q$500),
  _xlfn.IFNA(_xlpm.result, "")
)</f>
        <v/>
      </c>
      <c r="S103" t="str">
        <f>_xlfn.LET(
  _xlpm.result, _xlfn.XLOOKUP($B103, Result_Database!$A$2:$A$500, Result_Database!R$2:R$500),
  _xlfn.IFNA(_xlpm.result, "")
)</f>
        <v/>
      </c>
      <c r="T103" t="str">
        <f>_xlfn.LET(
  _xlpm.result, _xlfn.XLOOKUP($B103, Result_Database!$A$2:$A$500, Result_Database!S$2:S$500),
  _xlfn.IFNA(_xlpm.result, "")
)</f>
        <v/>
      </c>
      <c r="U103" t="str">
        <f>_xlfn.LET(
  _xlpm.result, _xlfn.XLOOKUP($B103, Result_Database!$A$2:$A$500, Result_Database!T$2:T$500),
  _xlfn.IFNA(_xlpm.result, "")
)</f>
        <v/>
      </c>
      <c r="V103" t="str">
        <f>_xlfn.LET(
  _xlpm.result, _xlfn.XLOOKUP($B103, Result_Database!$A$2:$A$500, Result_Database!U$2:U$500),
  _xlfn.IFNA(_xlpm.result, "")
)</f>
        <v/>
      </c>
      <c r="W103" t="str">
        <f>_xlfn.LET(
  _xlpm.result, _xlfn.XLOOKUP($B103, Result_Database!$A$2:$A$500, Result_Database!V$2:V$500),
  _xlfn.IFNA(_xlpm.result, "")
)</f>
        <v/>
      </c>
      <c r="X103" t="str">
        <f>_xlfn.LET(
  _xlpm.result, _xlfn.XLOOKUP($B103, Result_Database!$A$2:$A$500, Result_Database!W$2:W$500),
  _xlfn.IFNA(_xlpm.result, "")
)</f>
        <v/>
      </c>
      <c r="Y103" t="str">
        <f>_xlfn.LET(
  _xlpm.result, _xlfn.XLOOKUP($B103, Result_Database!$A$2:$A$500, Result_Database!X$2:X$500),
  _xlfn.IFNA(_xlpm.result, "")
)</f>
        <v/>
      </c>
      <c r="Z103" t="str">
        <f>_xlfn.LET(
  _xlpm.result, _xlfn.XLOOKUP($B103, Result_Database!$A$2:$A$500, Result_Database!Y$2:Y$500),
  _xlfn.IFNA(_xlpm.result, "")
)</f>
        <v/>
      </c>
      <c r="AA103" t="str">
        <f>_xlfn.LET(
  _xlpm.result, _xlfn.XLOOKUP($B103, Result_Database!$A$2:$A$500, Result_Database!Z$2:Z$500),
  _xlfn.IFNA(_xlpm.result, "")
)</f>
        <v/>
      </c>
      <c r="AB103" t="str">
        <f>_xlfn.LET(
  _xlpm.result, _xlfn.XLOOKUP($B103, Result_Database!$A$2:$A$500, Result_Database!AA$2:AA$500),
  _xlfn.IFNA(_xlpm.result, "")
)</f>
        <v/>
      </c>
      <c r="AC103" t="str">
        <f>_xlfn.LET(
  _xlpm.result, _xlfn.XLOOKUP($B103, Result_Database!$A$2:$A$500, Result_Database!AB$2:AB$500),
  _xlfn.IFNA(_xlpm.result, "")
)</f>
        <v/>
      </c>
      <c r="AD103" t="str">
        <f>_xlfn.LET(
  _xlpm.result, _xlfn.XLOOKUP($B103, Result_Database!$A$2:$A$500, Result_Database!AC$2:AC$500),
  _xlfn.IFNA(_xlpm.result, "")
)</f>
        <v/>
      </c>
      <c r="AE103" t="str">
        <f>_xlfn.LET(
  _xlpm.result, _xlfn.XLOOKUP($B103, Result_Database!$A$2:$A$500, Result_Database!AD$2:AD$500),
  _xlfn.IFNA(_xlpm.result, "")
)</f>
        <v/>
      </c>
      <c r="AF103" t="str">
        <f>_xlfn.LET(
  _xlpm.result, _xlfn.XLOOKUP($B103, Result_Database!$A$2:$A$500, Result_Database!AE$2:AE$500),
  _xlfn.IFNA(_xlpm.result, "")
)</f>
        <v/>
      </c>
      <c r="AG103" t="str">
        <f>_xlfn.LET(
  _xlpm.result, _xlfn.XLOOKUP($B103, Result_Database!$A$2:$A$500, Result_Database!AF$2:AF$500),
  _xlfn.IFNA(_xlpm.result, "")
)</f>
        <v/>
      </c>
      <c r="AH103" t="str">
        <f>_xlfn.LET(
  _xlpm.result, _xlfn.XLOOKUP($B103, Result_Database!$A$2:$A$500, Result_Database!AG$2:AG$500),
  _xlfn.IFNA(_xlpm.result, "")
)</f>
        <v/>
      </c>
      <c r="AI103" t="str">
        <f>_xlfn.LET(
  _xlpm.result, _xlfn.XLOOKUP($B103, Result_Database!$A$2:$A$500, Result_Database!AH$2:AH$500),
  _xlfn.IFNA(_xlpm.result, "")
)</f>
        <v/>
      </c>
      <c r="AJ103" t="str">
        <f>_xlfn.LET(
  _xlpm.result, _xlfn.XLOOKUP($B103, Result_Database!$A$2:$A$500, Result_Database!AI$2:AI$500),
  _xlfn.IFNA(_xlpm.result, "")
)</f>
        <v/>
      </c>
      <c r="AK103" t="str">
        <f>_xlfn.LET(
  _xlpm.result, _xlfn.XLOOKUP($B103, Result_Database!$A$2:$A$500, Result_Database!AJ$2:AJ$500),
  _xlfn.IFNA(_xlpm.result, "")
)</f>
        <v/>
      </c>
      <c r="AL103" t="str">
        <f>_xlfn.LET(
  _xlpm.result, _xlfn.XLOOKUP($B103, Result_Database!$A$2:$A$500, Result_Database!AK$2:AK$500),
  _xlfn.IFNA(_xlpm.result, "")
)</f>
        <v/>
      </c>
      <c r="AM10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0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0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0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0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0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0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0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0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03" t="str">
        <f>IF(SUM(Table5[[#This Row],[A1]:[C6]])&lt;&gt;0,SUM(Table5[[#This Row],[A1]:[C6]]),"")</f>
        <v/>
      </c>
      <c r="AW103" t="str">
        <f>IF(SUM(Table5[[#This Row],[D7]:[F9]])=0,"",SUM(Table5[[#This Row],[D7]:[F9]]))</f>
        <v/>
      </c>
      <c r="AX10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0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0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0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0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0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03" t="str">
        <f>IF(COUNTIF(Table5[[#This Row],[English Language]:[Electrical/ Electronics]],"WITHHELD")=0,"",COUNTIF(Table5[[#This Row],[English Language]:[Electrical/ Electronics]],"WITHHELD"))</f>
        <v/>
      </c>
      <c r="BE103" t="str">
        <f>IF(SUM(Table5[[#This Row],[NO OF CREDITS]:[BELOW CREDITS]])=0,"",SUM(Table5[[#This Row],[NO OF CREDITS]:[BELOW CREDITS]]))</f>
        <v/>
      </c>
    </row>
    <row r="104" spans="1:57" x14ac:dyDescent="0.3">
      <c r="A104" t="str">
        <f>IF(B104&lt;&gt;"",COUNTA($B$6:B104),"")</f>
        <v/>
      </c>
      <c r="B104" t="str">
        <f>IF(Result_Database!A100="","",Result_Database!A100)</f>
        <v/>
      </c>
      <c r="C104" t="str">
        <f>_xlfn.LET(
_xlpm.result,_xlfn.XLOOKUP($B104,Result_Database!$A$2:$A$500,Result_Database!$B$2:$B$500),
_xlfn.IFNA(_xlpm.result,"")
)</f>
        <v/>
      </c>
      <c r="D104" t="str">
        <f>_xlfn.LET(
  _xlpm.result, _xlfn.XLOOKUP($B104, Result_Database!$A$2:$A$500, Result_Database!C$2:C$500),
  _xlfn.IFNA(_xlpm.result, "")
)</f>
        <v/>
      </c>
      <c r="E104" t="str">
        <f>_xlfn.LET(
  _xlpm.result, _xlfn.XLOOKUP($B104, Result_Database!$A$2:$A$500, Result_Database!D$2:D$500),
  _xlfn.IFNA(_xlpm.result, "")
)</f>
        <v/>
      </c>
      <c r="F104" t="str">
        <f>_xlfn.LET(
  _xlpm.result, _xlfn.XLOOKUP($B104, Result_Database!$A$2:$A$500, Result_Database!E$2:E$500),
  _xlfn.IFNA(_xlpm.result, "")
)</f>
        <v/>
      </c>
      <c r="G104" t="str">
        <f>_xlfn.LET(
  _xlpm.result, _xlfn.XLOOKUP($B104, Result_Database!$A$2:$A$500, Result_Database!F$2:F$500),
  _xlfn.IFNA(_xlpm.result, "")
)</f>
        <v/>
      </c>
      <c r="H104" t="str">
        <f>_xlfn.LET(
  _xlpm.result, _xlfn.XLOOKUP($B104, Result_Database!$A$2:$A$500, Result_Database!G$2:G$500),
  _xlfn.IFNA(_xlpm.result, "")
)</f>
        <v/>
      </c>
      <c r="I104" t="str">
        <f>_xlfn.LET(
  _xlpm.result, _xlfn.XLOOKUP($B104, Result_Database!$A$2:$A$500, Result_Database!H$2:H$500),
  _xlfn.IFNA(_xlpm.result, "")
)</f>
        <v/>
      </c>
      <c r="J104" t="str">
        <f>_xlfn.LET(
  _xlpm.result, _xlfn.XLOOKUP($B104, Result_Database!$A$2:$A$500, Result_Database!I$2:I$500),
  _xlfn.IFNA(_xlpm.result, "")
)</f>
        <v/>
      </c>
      <c r="K104" t="str">
        <f>_xlfn.LET(
  _xlpm.result, _xlfn.XLOOKUP($B104, Result_Database!$A$2:$A$500, Result_Database!J$2:J$500),
  _xlfn.IFNA(_xlpm.result, "")
)</f>
        <v/>
      </c>
      <c r="L104" t="str">
        <f>_xlfn.LET(
  _xlpm.result, _xlfn.XLOOKUP($B104, Result_Database!$A$2:$A$500, Result_Database!K$2:K$500),
  _xlfn.IFNA(_xlpm.result, "")
)</f>
        <v/>
      </c>
      <c r="M104" t="str">
        <f>_xlfn.LET(
  _xlpm.result, _xlfn.XLOOKUP($B104, Result_Database!$A$2:$A$500, Result_Database!L$2:L$500),
  _xlfn.IFNA(_xlpm.result, "")
)</f>
        <v/>
      </c>
      <c r="N104" t="str">
        <f>_xlfn.LET(
  _xlpm.result, _xlfn.XLOOKUP($B104, Result_Database!$A$2:$A$500, Result_Database!M$2:M$500),
  _xlfn.IFNA(_xlpm.result, "")
)</f>
        <v/>
      </c>
      <c r="O104" t="str">
        <f>_xlfn.LET(
  _xlpm.result, _xlfn.XLOOKUP($B104, Result_Database!$A$2:$A$500, Result_Database!N$2:N$500),
  _xlfn.IFNA(_xlpm.result, "")
)</f>
        <v/>
      </c>
      <c r="P104" t="str">
        <f>_xlfn.LET(
  _xlpm.result, _xlfn.XLOOKUP($B104, Result_Database!$A$2:$A$500, Result_Database!O$2:O$500),
  _xlfn.IFNA(_xlpm.result, "")
)</f>
        <v/>
      </c>
      <c r="Q104" t="str">
        <f>_xlfn.LET(
  _xlpm.result, _xlfn.XLOOKUP($B104, Result_Database!$A$2:$A$500, Result_Database!P$2:P$500),
  _xlfn.IFNA(_xlpm.result, "")
)</f>
        <v/>
      </c>
      <c r="R104" t="str">
        <f>_xlfn.LET(
  _xlpm.result, _xlfn.XLOOKUP($B104, Result_Database!$A$2:$A$500, Result_Database!Q$2:Q$500),
  _xlfn.IFNA(_xlpm.result, "")
)</f>
        <v/>
      </c>
      <c r="S104" t="str">
        <f>_xlfn.LET(
  _xlpm.result, _xlfn.XLOOKUP($B104, Result_Database!$A$2:$A$500, Result_Database!R$2:R$500),
  _xlfn.IFNA(_xlpm.result, "")
)</f>
        <v/>
      </c>
      <c r="T104" t="str">
        <f>_xlfn.LET(
  _xlpm.result, _xlfn.XLOOKUP($B104, Result_Database!$A$2:$A$500, Result_Database!S$2:S$500),
  _xlfn.IFNA(_xlpm.result, "")
)</f>
        <v/>
      </c>
      <c r="U104" t="str">
        <f>_xlfn.LET(
  _xlpm.result, _xlfn.XLOOKUP($B104, Result_Database!$A$2:$A$500, Result_Database!T$2:T$500),
  _xlfn.IFNA(_xlpm.result, "")
)</f>
        <v/>
      </c>
      <c r="V104" t="str">
        <f>_xlfn.LET(
  _xlpm.result, _xlfn.XLOOKUP($B104, Result_Database!$A$2:$A$500, Result_Database!U$2:U$500),
  _xlfn.IFNA(_xlpm.result, "")
)</f>
        <v/>
      </c>
      <c r="W104" t="str">
        <f>_xlfn.LET(
  _xlpm.result, _xlfn.XLOOKUP($B104, Result_Database!$A$2:$A$500, Result_Database!V$2:V$500),
  _xlfn.IFNA(_xlpm.result, "")
)</f>
        <v/>
      </c>
      <c r="X104" t="str">
        <f>_xlfn.LET(
  _xlpm.result, _xlfn.XLOOKUP($B104, Result_Database!$A$2:$A$500, Result_Database!W$2:W$500),
  _xlfn.IFNA(_xlpm.result, "")
)</f>
        <v/>
      </c>
      <c r="Y104" t="str">
        <f>_xlfn.LET(
  _xlpm.result, _xlfn.XLOOKUP($B104, Result_Database!$A$2:$A$500, Result_Database!X$2:X$500),
  _xlfn.IFNA(_xlpm.result, "")
)</f>
        <v/>
      </c>
      <c r="Z104" t="str">
        <f>_xlfn.LET(
  _xlpm.result, _xlfn.XLOOKUP($B104, Result_Database!$A$2:$A$500, Result_Database!Y$2:Y$500),
  _xlfn.IFNA(_xlpm.result, "")
)</f>
        <v/>
      </c>
      <c r="AA104" t="str">
        <f>_xlfn.LET(
  _xlpm.result, _xlfn.XLOOKUP($B104, Result_Database!$A$2:$A$500, Result_Database!Z$2:Z$500),
  _xlfn.IFNA(_xlpm.result, "")
)</f>
        <v/>
      </c>
      <c r="AB104" t="str">
        <f>_xlfn.LET(
  _xlpm.result, _xlfn.XLOOKUP($B104, Result_Database!$A$2:$A$500, Result_Database!AA$2:AA$500),
  _xlfn.IFNA(_xlpm.result, "")
)</f>
        <v/>
      </c>
      <c r="AC104" t="str">
        <f>_xlfn.LET(
  _xlpm.result, _xlfn.XLOOKUP($B104, Result_Database!$A$2:$A$500, Result_Database!AB$2:AB$500),
  _xlfn.IFNA(_xlpm.result, "")
)</f>
        <v/>
      </c>
      <c r="AD104" t="str">
        <f>_xlfn.LET(
  _xlpm.result, _xlfn.XLOOKUP($B104, Result_Database!$A$2:$A$500, Result_Database!AC$2:AC$500),
  _xlfn.IFNA(_xlpm.result, "")
)</f>
        <v/>
      </c>
      <c r="AE104" t="str">
        <f>_xlfn.LET(
  _xlpm.result, _xlfn.XLOOKUP($B104, Result_Database!$A$2:$A$500, Result_Database!AD$2:AD$500),
  _xlfn.IFNA(_xlpm.result, "")
)</f>
        <v/>
      </c>
      <c r="AF104" t="str">
        <f>_xlfn.LET(
  _xlpm.result, _xlfn.XLOOKUP($B104, Result_Database!$A$2:$A$500, Result_Database!AE$2:AE$500),
  _xlfn.IFNA(_xlpm.result, "")
)</f>
        <v/>
      </c>
      <c r="AG104" t="str">
        <f>_xlfn.LET(
  _xlpm.result, _xlfn.XLOOKUP($B104, Result_Database!$A$2:$A$500, Result_Database!AF$2:AF$500),
  _xlfn.IFNA(_xlpm.result, "")
)</f>
        <v/>
      </c>
      <c r="AH104" t="str">
        <f>_xlfn.LET(
  _xlpm.result, _xlfn.XLOOKUP($B104, Result_Database!$A$2:$A$500, Result_Database!AG$2:AG$500),
  _xlfn.IFNA(_xlpm.result, "")
)</f>
        <v/>
      </c>
      <c r="AI104" t="str">
        <f>_xlfn.LET(
  _xlpm.result, _xlfn.XLOOKUP($B104, Result_Database!$A$2:$A$500, Result_Database!AH$2:AH$500),
  _xlfn.IFNA(_xlpm.result, "")
)</f>
        <v/>
      </c>
      <c r="AJ104" t="str">
        <f>_xlfn.LET(
  _xlpm.result, _xlfn.XLOOKUP($B104, Result_Database!$A$2:$A$500, Result_Database!AI$2:AI$500),
  _xlfn.IFNA(_xlpm.result, "")
)</f>
        <v/>
      </c>
      <c r="AK104" t="str">
        <f>_xlfn.LET(
  _xlpm.result, _xlfn.XLOOKUP($B104, Result_Database!$A$2:$A$500, Result_Database!AJ$2:AJ$500),
  _xlfn.IFNA(_xlpm.result, "")
)</f>
        <v/>
      </c>
      <c r="AL104" t="str">
        <f>_xlfn.LET(
  _xlpm.result, _xlfn.XLOOKUP($B104, Result_Database!$A$2:$A$500, Result_Database!AK$2:AK$500),
  _xlfn.IFNA(_xlpm.result, "")
)</f>
        <v/>
      </c>
      <c r="AM10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0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0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0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0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0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0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0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0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04" t="str">
        <f>IF(SUM(Table5[[#This Row],[A1]:[C6]])&lt;&gt;0,SUM(Table5[[#This Row],[A1]:[C6]]),"")</f>
        <v/>
      </c>
      <c r="AW104" t="str">
        <f>IF(SUM(Table5[[#This Row],[D7]:[F9]])=0,"",SUM(Table5[[#This Row],[D7]:[F9]]))</f>
        <v/>
      </c>
      <c r="AX10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0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0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0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0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0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04" t="str">
        <f>IF(COUNTIF(Table5[[#This Row],[English Language]:[Electrical/ Electronics]],"WITHHELD")=0,"",COUNTIF(Table5[[#This Row],[English Language]:[Electrical/ Electronics]],"WITHHELD"))</f>
        <v/>
      </c>
      <c r="BE104" t="str">
        <f>IF(SUM(Table5[[#This Row],[NO OF CREDITS]:[BELOW CREDITS]])=0,"",SUM(Table5[[#This Row],[NO OF CREDITS]:[BELOW CREDITS]]))</f>
        <v/>
      </c>
    </row>
    <row r="105" spans="1:57" x14ac:dyDescent="0.3">
      <c r="A105" t="str">
        <f>IF(B105&lt;&gt;"",COUNTA($B$6:B105),"")</f>
        <v/>
      </c>
      <c r="B105" t="str">
        <f>IF(Result_Database!A101="","",Result_Database!A101)</f>
        <v/>
      </c>
      <c r="C105" t="str">
        <f>_xlfn.LET(
_xlpm.result,_xlfn.XLOOKUP($B105,Result_Database!$A$2:$A$500,Result_Database!$B$2:$B$500),
_xlfn.IFNA(_xlpm.result,"")
)</f>
        <v/>
      </c>
      <c r="D105" t="str">
        <f>_xlfn.LET(
  _xlpm.result, _xlfn.XLOOKUP($B105, Result_Database!$A$2:$A$500, Result_Database!C$2:C$500),
  _xlfn.IFNA(_xlpm.result, "")
)</f>
        <v/>
      </c>
      <c r="E105" t="str">
        <f>_xlfn.LET(
  _xlpm.result, _xlfn.XLOOKUP($B105, Result_Database!$A$2:$A$500, Result_Database!D$2:D$500),
  _xlfn.IFNA(_xlpm.result, "")
)</f>
        <v/>
      </c>
      <c r="F105" t="str">
        <f>_xlfn.LET(
  _xlpm.result, _xlfn.XLOOKUP($B105, Result_Database!$A$2:$A$500, Result_Database!E$2:E$500),
  _xlfn.IFNA(_xlpm.result, "")
)</f>
        <v/>
      </c>
      <c r="G105" t="str">
        <f>_xlfn.LET(
  _xlpm.result, _xlfn.XLOOKUP($B105, Result_Database!$A$2:$A$500, Result_Database!F$2:F$500),
  _xlfn.IFNA(_xlpm.result, "")
)</f>
        <v/>
      </c>
      <c r="H105" t="str">
        <f>_xlfn.LET(
  _xlpm.result, _xlfn.XLOOKUP($B105, Result_Database!$A$2:$A$500, Result_Database!G$2:G$500),
  _xlfn.IFNA(_xlpm.result, "")
)</f>
        <v/>
      </c>
      <c r="I105" t="str">
        <f>_xlfn.LET(
  _xlpm.result, _xlfn.XLOOKUP($B105, Result_Database!$A$2:$A$500, Result_Database!H$2:H$500),
  _xlfn.IFNA(_xlpm.result, "")
)</f>
        <v/>
      </c>
      <c r="J105" t="str">
        <f>_xlfn.LET(
  _xlpm.result, _xlfn.XLOOKUP($B105, Result_Database!$A$2:$A$500, Result_Database!I$2:I$500),
  _xlfn.IFNA(_xlpm.result, "")
)</f>
        <v/>
      </c>
      <c r="K105" t="str">
        <f>_xlfn.LET(
  _xlpm.result, _xlfn.XLOOKUP($B105, Result_Database!$A$2:$A$500, Result_Database!J$2:J$500),
  _xlfn.IFNA(_xlpm.result, "")
)</f>
        <v/>
      </c>
      <c r="L105" t="str">
        <f>_xlfn.LET(
  _xlpm.result, _xlfn.XLOOKUP($B105, Result_Database!$A$2:$A$500, Result_Database!K$2:K$500),
  _xlfn.IFNA(_xlpm.result, "")
)</f>
        <v/>
      </c>
      <c r="M105" t="str">
        <f>_xlfn.LET(
  _xlpm.result, _xlfn.XLOOKUP($B105, Result_Database!$A$2:$A$500, Result_Database!L$2:L$500),
  _xlfn.IFNA(_xlpm.result, "")
)</f>
        <v/>
      </c>
      <c r="N105" t="str">
        <f>_xlfn.LET(
  _xlpm.result, _xlfn.XLOOKUP($B105, Result_Database!$A$2:$A$500, Result_Database!M$2:M$500),
  _xlfn.IFNA(_xlpm.result, "")
)</f>
        <v/>
      </c>
      <c r="O105" t="str">
        <f>_xlfn.LET(
  _xlpm.result, _xlfn.XLOOKUP($B105, Result_Database!$A$2:$A$500, Result_Database!N$2:N$500),
  _xlfn.IFNA(_xlpm.result, "")
)</f>
        <v/>
      </c>
      <c r="P105" t="str">
        <f>_xlfn.LET(
  _xlpm.result, _xlfn.XLOOKUP($B105, Result_Database!$A$2:$A$500, Result_Database!O$2:O$500),
  _xlfn.IFNA(_xlpm.result, "")
)</f>
        <v/>
      </c>
      <c r="Q105" t="str">
        <f>_xlfn.LET(
  _xlpm.result, _xlfn.XLOOKUP($B105, Result_Database!$A$2:$A$500, Result_Database!P$2:P$500),
  _xlfn.IFNA(_xlpm.result, "")
)</f>
        <v/>
      </c>
      <c r="R105" t="str">
        <f>_xlfn.LET(
  _xlpm.result, _xlfn.XLOOKUP($B105, Result_Database!$A$2:$A$500, Result_Database!Q$2:Q$500),
  _xlfn.IFNA(_xlpm.result, "")
)</f>
        <v/>
      </c>
      <c r="S105" t="str">
        <f>_xlfn.LET(
  _xlpm.result, _xlfn.XLOOKUP($B105, Result_Database!$A$2:$A$500, Result_Database!R$2:R$500),
  _xlfn.IFNA(_xlpm.result, "")
)</f>
        <v/>
      </c>
      <c r="T105" t="str">
        <f>_xlfn.LET(
  _xlpm.result, _xlfn.XLOOKUP($B105, Result_Database!$A$2:$A$500, Result_Database!S$2:S$500),
  _xlfn.IFNA(_xlpm.result, "")
)</f>
        <v/>
      </c>
      <c r="U105" t="str">
        <f>_xlfn.LET(
  _xlpm.result, _xlfn.XLOOKUP($B105, Result_Database!$A$2:$A$500, Result_Database!T$2:T$500),
  _xlfn.IFNA(_xlpm.result, "")
)</f>
        <v/>
      </c>
      <c r="V105" t="str">
        <f>_xlfn.LET(
  _xlpm.result, _xlfn.XLOOKUP($B105, Result_Database!$A$2:$A$500, Result_Database!U$2:U$500),
  _xlfn.IFNA(_xlpm.result, "")
)</f>
        <v/>
      </c>
      <c r="W105" t="str">
        <f>_xlfn.LET(
  _xlpm.result, _xlfn.XLOOKUP($B105, Result_Database!$A$2:$A$500, Result_Database!V$2:V$500),
  _xlfn.IFNA(_xlpm.result, "")
)</f>
        <v/>
      </c>
      <c r="X105" t="str">
        <f>_xlfn.LET(
  _xlpm.result, _xlfn.XLOOKUP($B105, Result_Database!$A$2:$A$500, Result_Database!W$2:W$500),
  _xlfn.IFNA(_xlpm.result, "")
)</f>
        <v/>
      </c>
      <c r="Y105" t="str">
        <f>_xlfn.LET(
  _xlpm.result, _xlfn.XLOOKUP($B105, Result_Database!$A$2:$A$500, Result_Database!X$2:X$500),
  _xlfn.IFNA(_xlpm.result, "")
)</f>
        <v/>
      </c>
      <c r="Z105" t="str">
        <f>_xlfn.LET(
  _xlpm.result, _xlfn.XLOOKUP($B105, Result_Database!$A$2:$A$500, Result_Database!Y$2:Y$500),
  _xlfn.IFNA(_xlpm.result, "")
)</f>
        <v/>
      </c>
      <c r="AA105" t="str">
        <f>_xlfn.LET(
  _xlpm.result, _xlfn.XLOOKUP($B105, Result_Database!$A$2:$A$500, Result_Database!Z$2:Z$500),
  _xlfn.IFNA(_xlpm.result, "")
)</f>
        <v/>
      </c>
      <c r="AB105" t="str">
        <f>_xlfn.LET(
  _xlpm.result, _xlfn.XLOOKUP($B105, Result_Database!$A$2:$A$500, Result_Database!AA$2:AA$500),
  _xlfn.IFNA(_xlpm.result, "")
)</f>
        <v/>
      </c>
      <c r="AC105" t="str">
        <f>_xlfn.LET(
  _xlpm.result, _xlfn.XLOOKUP($B105, Result_Database!$A$2:$A$500, Result_Database!AB$2:AB$500),
  _xlfn.IFNA(_xlpm.result, "")
)</f>
        <v/>
      </c>
      <c r="AD105" t="str">
        <f>_xlfn.LET(
  _xlpm.result, _xlfn.XLOOKUP($B105, Result_Database!$A$2:$A$500, Result_Database!AC$2:AC$500),
  _xlfn.IFNA(_xlpm.result, "")
)</f>
        <v/>
      </c>
      <c r="AE105" t="str">
        <f>_xlfn.LET(
  _xlpm.result, _xlfn.XLOOKUP($B105, Result_Database!$A$2:$A$500, Result_Database!AD$2:AD$500),
  _xlfn.IFNA(_xlpm.result, "")
)</f>
        <v/>
      </c>
      <c r="AF105" t="str">
        <f>_xlfn.LET(
  _xlpm.result, _xlfn.XLOOKUP($B105, Result_Database!$A$2:$A$500, Result_Database!AE$2:AE$500),
  _xlfn.IFNA(_xlpm.result, "")
)</f>
        <v/>
      </c>
      <c r="AG105" t="str">
        <f>_xlfn.LET(
  _xlpm.result, _xlfn.XLOOKUP($B105, Result_Database!$A$2:$A$500, Result_Database!AF$2:AF$500),
  _xlfn.IFNA(_xlpm.result, "")
)</f>
        <v/>
      </c>
      <c r="AH105" t="str">
        <f>_xlfn.LET(
  _xlpm.result, _xlfn.XLOOKUP($B105, Result_Database!$A$2:$A$500, Result_Database!AG$2:AG$500),
  _xlfn.IFNA(_xlpm.result, "")
)</f>
        <v/>
      </c>
      <c r="AI105" t="str">
        <f>_xlfn.LET(
  _xlpm.result, _xlfn.XLOOKUP($B105, Result_Database!$A$2:$A$500, Result_Database!AH$2:AH$500),
  _xlfn.IFNA(_xlpm.result, "")
)</f>
        <v/>
      </c>
      <c r="AJ105" t="str">
        <f>_xlfn.LET(
  _xlpm.result, _xlfn.XLOOKUP($B105, Result_Database!$A$2:$A$500, Result_Database!AI$2:AI$500),
  _xlfn.IFNA(_xlpm.result, "")
)</f>
        <v/>
      </c>
      <c r="AK105" t="str">
        <f>_xlfn.LET(
  _xlpm.result, _xlfn.XLOOKUP($B105, Result_Database!$A$2:$A$500, Result_Database!AJ$2:AJ$500),
  _xlfn.IFNA(_xlpm.result, "")
)</f>
        <v/>
      </c>
      <c r="AL105" t="str">
        <f>_xlfn.LET(
  _xlpm.result, _xlfn.XLOOKUP($B105, Result_Database!$A$2:$A$500, Result_Database!AK$2:AK$500),
  _xlfn.IFNA(_xlpm.result, "")
)</f>
        <v/>
      </c>
      <c r="AM10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0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0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0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0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0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0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0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0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05" t="str">
        <f>IF(SUM(Table5[[#This Row],[A1]:[C6]])&lt;&gt;0,SUM(Table5[[#This Row],[A1]:[C6]]),"")</f>
        <v/>
      </c>
      <c r="AW105" t="str">
        <f>IF(SUM(Table5[[#This Row],[D7]:[F9]])=0,"",SUM(Table5[[#This Row],[D7]:[F9]]))</f>
        <v/>
      </c>
      <c r="AX10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0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0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0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0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0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05" t="str">
        <f>IF(COUNTIF(Table5[[#This Row],[English Language]:[Electrical/ Electronics]],"WITHHELD")=0,"",COUNTIF(Table5[[#This Row],[English Language]:[Electrical/ Electronics]],"WITHHELD"))</f>
        <v/>
      </c>
      <c r="BE105" t="str">
        <f>IF(SUM(Table5[[#This Row],[NO OF CREDITS]:[BELOW CREDITS]])=0,"",SUM(Table5[[#This Row],[NO OF CREDITS]:[BELOW CREDITS]]))</f>
        <v/>
      </c>
    </row>
    <row r="106" spans="1:57" x14ac:dyDescent="0.3">
      <c r="A106" t="str">
        <f>IF(B106&lt;&gt;"",COUNTA($B$6:B106),"")</f>
        <v/>
      </c>
      <c r="B106" t="str">
        <f>IF(Result_Database!A102="","",Result_Database!A102)</f>
        <v/>
      </c>
      <c r="C106" t="str">
        <f>_xlfn.LET(
_xlpm.result,_xlfn.XLOOKUP($B106,Result_Database!$A$2:$A$500,Result_Database!$B$2:$B$500),
_xlfn.IFNA(_xlpm.result,"")
)</f>
        <v/>
      </c>
      <c r="D106" t="str">
        <f>_xlfn.LET(
  _xlpm.result, _xlfn.XLOOKUP($B106, Result_Database!$A$2:$A$500, Result_Database!C$2:C$500),
  _xlfn.IFNA(_xlpm.result, "")
)</f>
        <v/>
      </c>
      <c r="E106" t="str">
        <f>_xlfn.LET(
  _xlpm.result, _xlfn.XLOOKUP($B106, Result_Database!$A$2:$A$500, Result_Database!D$2:D$500),
  _xlfn.IFNA(_xlpm.result, "")
)</f>
        <v/>
      </c>
      <c r="F106" t="str">
        <f>_xlfn.LET(
  _xlpm.result, _xlfn.XLOOKUP($B106, Result_Database!$A$2:$A$500, Result_Database!E$2:E$500),
  _xlfn.IFNA(_xlpm.result, "")
)</f>
        <v/>
      </c>
      <c r="G106" t="str">
        <f>_xlfn.LET(
  _xlpm.result, _xlfn.XLOOKUP($B106, Result_Database!$A$2:$A$500, Result_Database!F$2:F$500),
  _xlfn.IFNA(_xlpm.result, "")
)</f>
        <v/>
      </c>
      <c r="H106" t="str">
        <f>_xlfn.LET(
  _xlpm.result, _xlfn.XLOOKUP($B106, Result_Database!$A$2:$A$500, Result_Database!G$2:G$500),
  _xlfn.IFNA(_xlpm.result, "")
)</f>
        <v/>
      </c>
      <c r="I106" t="str">
        <f>_xlfn.LET(
  _xlpm.result, _xlfn.XLOOKUP($B106, Result_Database!$A$2:$A$500, Result_Database!H$2:H$500),
  _xlfn.IFNA(_xlpm.result, "")
)</f>
        <v/>
      </c>
      <c r="J106" t="str">
        <f>_xlfn.LET(
  _xlpm.result, _xlfn.XLOOKUP($B106, Result_Database!$A$2:$A$500, Result_Database!I$2:I$500),
  _xlfn.IFNA(_xlpm.result, "")
)</f>
        <v/>
      </c>
      <c r="K106" t="str">
        <f>_xlfn.LET(
  _xlpm.result, _xlfn.XLOOKUP($B106, Result_Database!$A$2:$A$500, Result_Database!J$2:J$500),
  _xlfn.IFNA(_xlpm.result, "")
)</f>
        <v/>
      </c>
      <c r="L106" t="str">
        <f>_xlfn.LET(
  _xlpm.result, _xlfn.XLOOKUP($B106, Result_Database!$A$2:$A$500, Result_Database!K$2:K$500),
  _xlfn.IFNA(_xlpm.result, "")
)</f>
        <v/>
      </c>
      <c r="M106" t="str">
        <f>_xlfn.LET(
  _xlpm.result, _xlfn.XLOOKUP($B106, Result_Database!$A$2:$A$500, Result_Database!L$2:L$500),
  _xlfn.IFNA(_xlpm.result, "")
)</f>
        <v/>
      </c>
      <c r="N106" t="str">
        <f>_xlfn.LET(
  _xlpm.result, _xlfn.XLOOKUP($B106, Result_Database!$A$2:$A$500, Result_Database!M$2:M$500),
  _xlfn.IFNA(_xlpm.result, "")
)</f>
        <v/>
      </c>
      <c r="O106" t="str">
        <f>_xlfn.LET(
  _xlpm.result, _xlfn.XLOOKUP($B106, Result_Database!$A$2:$A$500, Result_Database!N$2:N$500),
  _xlfn.IFNA(_xlpm.result, "")
)</f>
        <v/>
      </c>
      <c r="P106" t="str">
        <f>_xlfn.LET(
  _xlpm.result, _xlfn.XLOOKUP($B106, Result_Database!$A$2:$A$500, Result_Database!O$2:O$500),
  _xlfn.IFNA(_xlpm.result, "")
)</f>
        <v/>
      </c>
      <c r="Q106" t="str">
        <f>_xlfn.LET(
  _xlpm.result, _xlfn.XLOOKUP($B106, Result_Database!$A$2:$A$500, Result_Database!P$2:P$500),
  _xlfn.IFNA(_xlpm.result, "")
)</f>
        <v/>
      </c>
      <c r="R106" t="str">
        <f>_xlfn.LET(
  _xlpm.result, _xlfn.XLOOKUP($B106, Result_Database!$A$2:$A$500, Result_Database!Q$2:Q$500),
  _xlfn.IFNA(_xlpm.result, "")
)</f>
        <v/>
      </c>
      <c r="S106" t="str">
        <f>_xlfn.LET(
  _xlpm.result, _xlfn.XLOOKUP($B106, Result_Database!$A$2:$A$500, Result_Database!R$2:R$500),
  _xlfn.IFNA(_xlpm.result, "")
)</f>
        <v/>
      </c>
      <c r="T106" t="str">
        <f>_xlfn.LET(
  _xlpm.result, _xlfn.XLOOKUP($B106, Result_Database!$A$2:$A$500, Result_Database!S$2:S$500),
  _xlfn.IFNA(_xlpm.result, "")
)</f>
        <v/>
      </c>
      <c r="U106" t="str">
        <f>_xlfn.LET(
  _xlpm.result, _xlfn.XLOOKUP($B106, Result_Database!$A$2:$A$500, Result_Database!T$2:T$500),
  _xlfn.IFNA(_xlpm.result, "")
)</f>
        <v/>
      </c>
      <c r="V106" t="str">
        <f>_xlfn.LET(
  _xlpm.result, _xlfn.XLOOKUP($B106, Result_Database!$A$2:$A$500, Result_Database!U$2:U$500),
  _xlfn.IFNA(_xlpm.result, "")
)</f>
        <v/>
      </c>
      <c r="W106" t="str">
        <f>_xlfn.LET(
  _xlpm.result, _xlfn.XLOOKUP($B106, Result_Database!$A$2:$A$500, Result_Database!V$2:V$500),
  _xlfn.IFNA(_xlpm.result, "")
)</f>
        <v/>
      </c>
      <c r="X106" t="str">
        <f>_xlfn.LET(
  _xlpm.result, _xlfn.XLOOKUP($B106, Result_Database!$A$2:$A$500, Result_Database!W$2:W$500),
  _xlfn.IFNA(_xlpm.result, "")
)</f>
        <v/>
      </c>
      <c r="Y106" t="str">
        <f>_xlfn.LET(
  _xlpm.result, _xlfn.XLOOKUP($B106, Result_Database!$A$2:$A$500, Result_Database!X$2:X$500),
  _xlfn.IFNA(_xlpm.result, "")
)</f>
        <v/>
      </c>
      <c r="Z106" t="str">
        <f>_xlfn.LET(
  _xlpm.result, _xlfn.XLOOKUP($B106, Result_Database!$A$2:$A$500, Result_Database!Y$2:Y$500),
  _xlfn.IFNA(_xlpm.result, "")
)</f>
        <v/>
      </c>
      <c r="AA106" t="str">
        <f>_xlfn.LET(
  _xlpm.result, _xlfn.XLOOKUP($B106, Result_Database!$A$2:$A$500, Result_Database!Z$2:Z$500),
  _xlfn.IFNA(_xlpm.result, "")
)</f>
        <v/>
      </c>
      <c r="AB106" t="str">
        <f>_xlfn.LET(
  _xlpm.result, _xlfn.XLOOKUP($B106, Result_Database!$A$2:$A$500, Result_Database!AA$2:AA$500),
  _xlfn.IFNA(_xlpm.result, "")
)</f>
        <v/>
      </c>
      <c r="AC106" t="str">
        <f>_xlfn.LET(
  _xlpm.result, _xlfn.XLOOKUP($B106, Result_Database!$A$2:$A$500, Result_Database!AB$2:AB$500),
  _xlfn.IFNA(_xlpm.result, "")
)</f>
        <v/>
      </c>
      <c r="AD106" t="str">
        <f>_xlfn.LET(
  _xlpm.result, _xlfn.XLOOKUP($B106, Result_Database!$A$2:$A$500, Result_Database!AC$2:AC$500),
  _xlfn.IFNA(_xlpm.result, "")
)</f>
        <v/>
      </c>
      <c r="AE106" t="str">
        <f>_xlfn.LET(
  _xlpm.result, _xlfn.XLOOKUP($B106, Result_Database!$A$2:$A$500, Result_Database!AD$2:AD$500),
  _xlfn.IFNA(_xlpm.result, "")
)</f>
        <v/>
      </c>
      <c r="AF106" t="str">
        <f>_xlfn.LET(
  _xlpm.result, _xlfn.XLOOKUP($B106, Result_Database!$A$2:$A$500, Result_Database!AE$2:AE$500),
  _xlfn.IFNA(_xlpm.result, "")
)</f>
        <v/>
      </c>
      <c r="AG106" t="str">
        <f>_xlfn.LET(
  _xlpm.result, _xlfn.XLOOKUP($B106, Result_Database!$A$2:$A$500, Result_Database!AF$2:AF$500),
  _xlfn.IFNA(_xlpm.result, "")
)</f>
        <v/>
      </c>
      <c r="AH106" t="str">
        <f>_xlfn.LET(
  _xlpm.result, _xlfn.XLOOKUP($B106, Result_Database!$A$2:$A$500, Result_Database!AG$2:AG$500),
  _xlfn.IFNA(_xlpm.result, "")
)</f>
        <v/>
      </c>
      <c r="AI106" t="str">
        <f>_xlfn.LET(
  _xlpm.result, _xlfn.XLOOKUP($B106, Result_Database!$A$2:$A$500, Result_Database!AH$2:AH$500),
  _xlfn.IFNA(_xlpm.result, "")
)</f>
        <v/>
      </c>
      <c r="AJ106" t="str">
        <f>_xlfn.LET(
  _xlpm.result, _xlfn.XLOOKUP($B106, Result_Database!$A$2:$A$500, Result_Database!AI$2:AI$500),
  _xlfn.IFNA(_xlpm.result, "")
)</f>
        <v/>
      </c>
      <c r="AK106" t="str">
        <f>_xlfn.LET(
  _xlpm.result, _xlfn.XLOOKUP($B106, Result_Database!$A$2:$A$500, Result_Database!AJ$2:AJ$500),
  _xlfn.IFNA(_xlpm.result, "")
)</f>
        <v/>
      </c>
      <c r="AL106" t="str">
        <f>_xlfn.LET(
  _xlpm.result, _xlfn.XLOOKUP($B106, Result_Database!$A$2:$A$500, Result_Database!AK$2:AK$500),
  _xlfn.IFNA(_xlpm.result, "")
)</f>
        <v/>
      </c>
      <c r="AM10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0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0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0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0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0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0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0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0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06" t="str">
        <f>IF(SUM(Table5[[#This Row],[A1]:[C6]])&lt;&gt;0,SUM(Table5[[#This Row],[A1]:[C6]]),"")</f>
        <v/>
      </c>
      <c r="AW106" t="str">
        <f>IF(SUM(Table5[[#This Row],[D7]:[F9]])=0,"",SUM(Table5[[#This Row],[D7]:[F9]]))</f>
        <v/>
      </c>
      <c r="AX10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0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0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0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0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0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06" t="str">
        <f>IF(COUNTIF(Table5[[#This Row],[English Language]:[Electrical/ Electronics]],"WITHHELD")=0,"",COUNTIF(Table5[[#This Row],[English Language]:[Electrical/ Electronics]],"WITHHELD"))</f>
        <v/>
      </c>
      <c r="BE106" t="str">
        <f>IF(SUM(Table5[[#This Row],[NO OF CREDITS]:[BELOW CREDITS]])=0,"",SUM(Table5[[#This Row],[NO OF CREDITS]:[BELOW CREDITS]]))</f>
        <v/>
      </c>
    </row>
    <row r="107" spans="1:57" x14ac:dyDescent="0.3">
      <c r="A107" t="str">
        <f>IF(B107&lt;&gt;"",COUNTA($B$6:B107),"")</f>
        <v/>
      </c>
      <c r="B107" t="str">
        <f>IF(Result_Database!A103="","",Result_Database!A103)</f>
        <v/>
      </c>
      <c r="C107" t="str">
        <f>_xlfn.LET(
_xlpm.result,_xlfn.XLOOKUP($B107,Result_Database!$A$2:$A$500,Result_Database!$B$2:$B$500),
_xlfn.IFNA(_xlpm.result,"")
)</f>
        <v/>
      </c>
      <c r="D107" t="str">
        <f>_xlfn.LET(
  _xlpm.result, _xlfn.XLOOKUP($B107, Result_Database!$A$2:$A$500, Result_Database!C$2:C$500),
  _xlfn.IFNA(_xlpm.result, "")
)</f>
        <v/>
      </c>
      <c r="E107" t="str">
        <f>_xlfn.LET(
  _xlpm.result, _xlfn.XLOOKUP($B107, Result_Database!$A$2:$A$500, Result_Database!D$2:D$500),
  _xlfn.IFNA(_xlpm.result, "")
)</f>
        <v/>
      </c>
      <c r="F107" t="str">
        <f>_xlfn.LET(
  _xlpm.result, _xlfn.XLOOKUP($B107, Result_Database!$A$2:$A$500, Result_Database!E$2:E$500),
  _xlfn.IFNA(_xlpm.result, "")
)</f>
        <v/>
      </c>
      <c r="G107" t="str">
        <f>_xlfn.LET(
  _xlpm.result, _xlfn.XLOOKUP($B107, Result_Database!$A$2:$A$500, Result_Database!F$2:F$500),
  _xlfn.IFNA(_xlpm.result, "")
)</f>
        <v/>
      </c>
      <c r="H107" t="str">
        <f>_xlfn.LET(
  _xlpm.result, _xlfn.XLOOKUP($B107, Result_Database!$A$2:$A$500, Result_Database!G$2:G$500),
  _xlfn.IFNA(_xlpm.result, "")
)</f>
        <v/>
      </c>
      <c r="I107" t="str">
        <f>_xlfn.LET(
  _xlpm.result, _xlfn.XLOOKUP($B107, Result_Database!$A$2:$A$500, Result_Database!H$2:H$500),
  _xlfn.IFNA(_xlpm.result, "")
)</f>
        <v/>
      </c>
      <c r="J107" t="str">
        <f>_xlfn.LET(
  _xlpm.result, _xlfn.XLOOKUP($B107, Result_Database!$A$2:$A$500, Result_Database!I$2:I$500),
  _xlfn.IFNA(_xlpm.result, "")
)</f>
        <v/>
      </c>
      <c r="K107" t="str">
        <f>_xlfn.LET(
  _xlpm.result, _xlfn.XLOOKUP($B107, Result_Database!$A$2:$A$500, Result_Database!J$2:J$500),
  _xlfn.IFNA(_xlpm.result, "")
)</f>
        <v/>
      </c>
      <c r="L107" t="str">
        <f>_xlfn.LET(
  _xlpm.result, _xlfn.XLOOKUP($B107, Result_Database!$A$2:$A$500, Result_Database!K$2:K$500),
  _xlfn.IFNA(_xlpm.result, "")
)</f>
        <v/>
      </c>
      <c r="M107" t="str">
        <f>_xlfn.LET(
  _xlpm.result, _xlfn.XLOOKUP($B107, Result_Database!$A$2:$A$500, Result_Database!L$2:L$500),
  _xlfn.IFNA(_xlpm.result, "")
)</f>
        <v/>
      </c>
      <c r="N107" t="str">
        <f>_xlfn.LET(
  _xlpm.result, _xlfn.XLOOKUP($B107, Result_Database!$A$2:$A$500, Result_Database!M$2:M$500),
  _xlfn.IFNA(_xlpm.result, "")
)</f>
        <v/>
      </c>
      <c r="O107" t="str">
        <f>_xlfn.LET(
  _xlpm.result, _xlfn.XLOOKUP($B107, Result_Database!$A$2:$A$500, Result_Database!N$2:N$500),
  _xlfn.IFNA(_xlpm.result, "")
)</f>
        <v/>
      </c>
      <c r="P107" t="str">
        <f>_xlfn.LET(
  _xlpm.result, _xlfn.XLOOKUP($B107, Result_Database!$A$2:$A$500, Result_Database!O$2:O$500),
  _xlfn.IFNA(_xlpm.result, "")
)</f>
        <v/>
      </c>
      <c r="Q107" t="str">
        <f>_xlfn.LET(
  _xlpm.result, _xlfn.XLOOKUP($B107, Result_Database!$A$2:$A$500, Result_Database!P$2:P$500),
  _xlfn.IFNA(_xlpm.result, "")
)</f>
        <v/>
      </c>
      <c r="R107" t="str">
        <f>_xlfn.LET(
  _xlpm.result, _xlfn.XLOOKUP($B107, Result_Database!$A$2:$A$500, Result_Database!Q$2:Q$500),
  _xlfn.IFNA(_xlpm.result, "")
)</f>
        <v/>
      </c>
      <c r="S107" t="str">
        <f>_xlfn.LET(
  _xlpm.result, _xlfn.XLOOKUP($B107, Result_Database!$A$2:$A$500, Result_Database!R$2:R$500),
  _xlfn.IFNA(_xlpm.result, "")
)</f>
        <v/>
      </c>
      <c r="T107" t="str">
        <f>_xlfn.LET(
  _xlpm.result, _xlfn.XLOOKUP($B107, Result_Database!$A$2:$A$500, Result_Database!S$2:S$500),
  _xlfn.IFNA(_xlpm.result, "")
)</f>
        <v/>
      </c>
      <c r="U107" t="str">
        <f>_xlfn.LET(
  _xlpm.result, _xlfn.XLOOKUP($B107, Result_Database!$A$2:$A$500, Result_Database!T$2:T$500),
  _xlfn.IFNA(_xlpm.result, "")
)</f>
        <v/>
      </c>
      <c r="V107" t="str">
        <f>_xlfn.LET(
  _xlpm.result, _xlfn.XLOOKUP($B107, Result_Database!$A$2:$A$500, Result_Database!U$2:U$500),
  _xlfn.IFNA(_xlpm.result, "")
)</f>
        <v/>
      </c>
      <c r="W107" t="str">
        <f>_xlfn.LET(
  _xlpm.result, _xlfn.XLOOKUP($B107, Result_Database!$A$2:$A$500, Result_Database!V$2:V$500),
  _xlfn.IFNA(_xlpm.result, "")
)</f>
        <v/>
      </c>
      <c r="X107" t="str">
        <f>_xlfn.LET(
  _xlpm.result, _xlfn.XLOOKUP($B107, Result_Database!$A$2:$A$500, Result_Database!W$2:W$500),
  _xlfn.IFNA(_xlpm.result, "")
)</f>
        <v/>
      </c>
      <c r="Y107" t="str">
        <f>_xlfn.LET(
  _xlpm.result, _xlfn.XLOOKUP($B107, Result_Database!$A$2:$A$500, Result_Database!X$2:X$500),
  _xlfn.IFNA(_xlpm.result, "")
)</f>
        <v/>
      </c>
      <c r="Z107" t="str">
        <f>_xlfn.LET(
  _xlpm.result, _xlfn.XLOOKUP($B107, Result_Database!$A$2:$A$500, Result_Database!Y$2:Y$500),
  _xlfn.IFNA(_xlpm.result, "")
)</f>
        <v/>
      </c>
      <c r="AA107" t="str">
        <f>_xlfn.LET(
  _xlpm.result, _xlfn.XLOOKUP($B107, Result_Database!$A$2:$A$500, Result_Database!Z$2:Z$500),
  _xlfn.IFNA(_xlpm.result, "")
)</f>
        <v/>
      </c>
      <c r="AB107" t="str">
        <f>_xlfn.LET(
  _xlpm.result, _xlfn.XLOOKUP($B107, Result_Database!$A$2:$A$500, Result_Database!AA$2:AA$500),
  _xlfn.IFNA(_xlpm.result, "")
)</f>
        <v/>
      </c>
      <c r="AC107" t="str">
        <f>_xlfn.LET(
  _xlpm.result, _xlfn.XLOOKUP($B107, Result_Database!$A$2:$A$500, Result_Database!AB$2:AB$500),
  _xlfn.IFNA(_xlpm.result, "")
)</f>
        <v/>
      </c>
      <c r="AD107" t="str">
        <f>_xlfn.LET(
  _xlpm.result, _xlfn.XLOOKUP($B107, Result_Database!$A$2:$A$500, Result_Database!AC$2:AC$500),
  _xlfn.IFNA(_xlpm.result, "")
)</f>
        <v/>
      </c>
      <c r="AE107" t="str">
        <f>_xlfn.LET(
  _xlpm.result, _xlfn.XLOOKUP($B107, Result_Database!$A$2:$A$500, Result_Database!AD$2:AD$500),
  _xlfn.IFNA(_xlpm.result, "")
)</f>
        <v/>
      </c>
      <c r="AF107" t="str">
        <f>_xlfn.LET(
  _xlpm.result, _xlfn.XLOOKUP($B107, Result_Database!$A$2:$A$500, Result_Database!AE$2:AE$500),
  _xlfn.IFNA(_xlpm.result, "")
)</f>
        <v/>
      </c>
      <c r="AG107" t="str">
        <f>_xlfn.LET(
  _xlpm.result, _xlfn.XLOOKUP($B107, Result_Database!$A$2:$A$500, Result_Database!AF$2:AF$500),
  _xlfn.IFNA(_xlpm.result, "")
)</f>
        <v/>
      </c>
      <c r="AH107" t="str">
        <f>_xlfn.LET(
  _xlpm.result, _xlfn.XLOOKUP($B107, Result_Database!$A$2:$A$500, Result_Database!AG$2:AG$500),
  _xlfn.IFNA(_xlpm.result, "")
)</f>
        <v/>
      </c>
      <c r="AI107" t="str">
        <f>_xlfn.LET(
  _xlpm.result, _xlfn.XLOOKUP($B107, Result_Database!$A$2:$A$500, Result_Database!AH$2:AH$500),
  _xlfn.IFNA(_xlpm.result, "")
)</f>
        <v/>
      </c>
      <c r="AJ107" t="str">
        <f>_xlfn.LET(
  _xlpm.result, _xlfn.XLOOKUP($B107, Result_Database!$A$2:$A$500, Result_Database!AI$2:AI$500),
  _xlfn.IFNA(_xlpm.result, "")
)</f>
        <v/>
      </c>
      <c r="AK107" t="str">
        <f>_xlfn.LET(
  _xlpm.result, _xlfn.XLOOKUP($B107, Result_Database!$A$2:$A$500, Result_Database!AJ$2:AJ$500),
  _xlfn.IFNA(_xlpm.result, "")
)</f>
        <v/>
      </c>
      <c r="AL107" t="str">
        <f>_xlfn.LET(
  _xlpm.result, _xlfn.XLOOKUP($B107, Result_Database!$A$2:$A$500, Result_Database!AK$2:AK$500),
  _xlfn.IFNA(_xlpm.result, "")
)</f>
        <v/>
      </c>
      <c r="AM10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0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0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0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0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0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0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0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0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07" t="str">
        <f>IF(SUM(Table5[[#This Row],[A1]:[C6]])&lt;&gt;0,SUM(Table5[[#This Row],[A1]:[C6]]),"")</f>
        <v/>
      </c>
      <c r="AW107" t="str">
        <f>IF(SUM(Table5[[#This Row],[D7]:[F9]])=0,"",SUM(Table5[[#This Row],[D7]:[F9]]))</f>
        <v/>
      </c>
      <c r="AX10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0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0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0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0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0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07" t="str">
        <f>IF(COUNTIF(Table5[[#This Row],[English Language]:[Electrical/ Electronics]],"WITHHELD")=0,"",COUNTIF(Table5[[#This Row],[English Language]:[Electrical/ Electronics]],"WITHHELD"))</f>
        <v/>
      </c>
      <c r="BE107" t="str">
        <f>IF(SUM(Table5[[#This Row],[NO OF CREDITS]:[BELOW CREDITS]])=0,"",SUM(Table5[[#This Row],[NO OF CREDITS]:[BELOW CREDITS]]))</f>
        <v/>
      </c>
    </row>
    <row r="108" spans="1:57" x14ac:dyDescent="0.3">
      <c r="A108" t="str">
        <f>IF(B108&lt;&gt;"",COUNTA($B$6:B108),"")</f>
        <v/>
      </c>
      <c r="B108" t="str">
        <f>IF(Result_Database!A104="","",Result_Database!A104)</f>
        <v/>
      </c>
      <c r="C108" t="str">
        <f>_xlfn.LET(
_xlpm.result,_xlfn.XLOOKUP($B108,Result_Database!$A$2:$A$500,Result_Database!$B$2:$B$500),
_xlfn.IFNA(_xlpm.result,"")
)</f>
        <v/>
      </c>
      <c r="D108" t="str">
        <f>_xlfn.LET(
  _xlpm.result, _xlfn.XLOOKUP($B108, Result_Database!$A$2:$A$500, Result_Database!C$2:C$500),
  _xlfn.IFNA(_xlpm.result, "")
)</f>
        <v/>
      </c>
      <c r="E108" t="str">
        <f>_xlfn.LET(
  _xlpm.result, _xlfn.XLOOKUP($B108, Result_Database!$A$2:$A$500, Result_Database!D$2:D$500),
  _xlfn.IFNA(_xlpm.result, "")
)</f>
        <v/>
      </c>
      <c r="F108" t="str">
        <f>_xlfn.LET(
  _xlpm.result, _xlfn.XLOOKUP($B108, Result_Database!$A$2:$A$500, Result_Database!E$2:E$500),
  _xlfn.IFNA(_xlpm.result, "")
)</f>
        <v/>
      </c>
      <c r="G108" t="str">
        <f>_xlfn.LET(
  _xlpm.result, _xlfn.XLOOKUP($B108, Result_Database!$A$2:$A$500, Result_Database!F$2:F$500),
  _xlfn.IFNA(_xlpm.result, "")
)</f>
        <v/>
      </c>
      <c r="H108" t="str">
        <f>_xlfn.LET(
  _xlpm.result, _xlfn.XLOOKUP($B108, Result_Database!$A$2:$A$500, Result_Database!G$2:G$500),
  _xlfn.IFNA(_xlpm.result, "")
)</f>
        <v/>
      </c>
      <c r="I108" t="str">
        <f>_xlfn.LET(
  _xlpm.result, _xlfn.XLOOKUP($B108, Result_Database!$A$2:$A$500, Result_Database!H$2:H$500),
  _xlfn.IFNA(_xlpm.result, "")
)</f>
        <v/>
      </c>
      <c r="J108" t="str">
        <f>_xlfn.LET(
  _xlpm.result, _xlfn.XLOOKUP($B108, Result_Database!$A$2:$A$500, Result_Database!I$2:I$500),
  _xlfn.IFNA(_xlpm.result, "")
)</f>
        <v/>
      </c>
      <c r="K108" t="str">
        <f>_xlfn.LET(
  _xlpm.result, _xlfn.XLOOKUP($B108, Result_Database!$A$2:$A$500, Result_Database!J$2:J$500),
  _xlfn.IFNA(_xlpm.result, "")
)</f>
        <v/>
      </c>
      <c r="L108" t="str">
        <f>_xlfn.LET(
  _xlpm.result, _xlfn.XLOOKUP($B108, Result_Database!$A$2:$A$500, Result_Database!K$2:K$500),
  _xlfn.IFNA(_xlpm.result, "")
)</f>
        <v/>
      </c>
      <c r="M108" t="str">
        <f>_xlfn.LET(
  _xlpm.result, _xlfn.XLOOKUP($B108, Result_Database!$A$2:$A$500, Result_Database!L$2:L$500),
  _xlfn.IFNA(_xlpm.result, "")
)</f>
        <v/>
      </c>
      <c r="N108" t="str">
        <f>_xlfn.LET(
  _xlpm.result, _xlfn.XLOOKUP($B108, Result_Database!$A$2:$A$500, Result_Database!M$2:M$500),
  _xlfn.IFNA(_xlpm.result, "")
)</f>
        <v/>
      </c>
      <c r="O108" t="str">
        <f>_xlfn.LET(
  _xlpm.result, _xlfn.XLOOKUP($B108, Result_Database!$A$2:$A$500, Result_Database!N$2:N$500),
  _xlfn.IFNA(_xlpm.result, "")
)</f>
        <v/>
      </c>
      <c r="P108" t="str">
        <f>_xlfn.LET(
  _xlpm.result, _xlfn.XLOOKUP($B108, Result_Database!$A$2:$A$500, Result_Database!O$2:O$500),
  _xlfn.IFNA(_xlpm.result, "")
)</f>
        <v/>
      </c>
      <c r="Q108" t="str">
        <f>_xlfn.LET(
  _xlpm.result, _xlfn.XLOOKUP($B108, Result_Database!$A$2:$A$500, Result_Database!P$2:P$500),
  _xlfn.IFNA(_xlpm.result, "")
)</f>
        <v/>
      </c>
      <c r="R108" t="str">
        <f>_xlfn.LET(
  _xlpm.result, _xlfn.XLOOKUP($B108, Result_Database!$A$2:$A$500, Result_Database!Q$2:Q$500),
  _xlfn.IFNA(_xlpm.result, "")
)</f>
        <v/>
      </c>
      <c r="S108" t="str">
        <f>_xlfn.LET(
  _xlpm.result, _xlfn.XLOOKUP($B108, Result_Database!$A$2:$A$500, Result_Database!R$2:R$500),
  _xlfn.IFNA(_xlpm.result, "")
)</f>
        <v/>
      </c>
      <c r="T108" t="str">
        <f>_xlfn.LET(
  _xlpm.result, _xlfn.XLOOKUP($B108, Result_Database!$A$2:$A$500, Result_Database!S$2:S$500),
  _xlfn.IFNA(_xlpm.result, "")
)</f>
        <v/>
      </c>
      <c r="U108" t="str">
        <f>_xlfn.LET(
  _xlpm.result, _xlfn.XLOOKUP($B108, Result_Database!$A$2:$A$500, Result_Database!T$2:T$500),
  _xlfn.IFNA(_xlpm.result, "")
)</f>
        <v/>
      </c>
      <c r="V108" t="str">
        <f>_xlfn.LET(
  _xlpm.result, _xlfn.XLOOKUP($B108, Result_Database!$A$2:$A$500, Result_Database!U$2:U$500),
  _xlfn.IFNA(_xlpm.result, "")
)</f>
        <v/>
      </c>
      <c r="W108" t="str">
        <f>_xlfn.LET(
  _xlpm.result, _xlfn.XLOOKUP($B108, Result_Database!$A$2:$A$500, Result_Database!V$2:V$500),
  _xlfn.IFNA(_xlpm.result, "")
)</f>
        <v/>
      </c>
      <c r="X108" t="str">
        <f>_xlfn.LET(
  _xlpm.result, _xlfn.XLOOKUP($B108, Result_Database!$A$2:$A$500, Result_Database!W$2:W$500),
  _xlfn.IFNA(_xlpm.result, "")
)</f>
        <v/>
      </c>
      <c r="Y108" t="str">
        <f>_xlfn.LET(
  _xlpm.result, _xlfn.XLOOKUP($B108, Result_Database!$A$2:$A$500, Result_Database!X$2:X$500),
  _xlfn.IFNA(_xlpm.result, "")
)</f>
        <v/>
      </c>
      <c r="Z108" t="str">
        <f>_xlfn.LET(
  _xlpm.result, _xlfn.XLOOKUP($B108, Result_Database!$A$2:$A$500, Result_Database!Y$2:Y$500),
  _xlfn.IFNA(_xlpm.result, "")
)</f>
        <v/>
      </c>
      <c r="AA108" t="str">
        <f>_xlfn.LET(
  _xlpm.result, _xlfn.XLOOKUP($B108, Result_Database!$A$2:$A$500, Result_Database!Z$2:Z$500),
  _xlfn.IFNA(_xlpm.result, "")
)</f>
        <v/>
      </c>
      <c r="AB108" t="str">
        <f>_xlfn.LET(
  _xlpm.result, _xlfn.XLOOKUP($B108, Result_Database!$A$2:$A$500, Result_Database!AA$2:AA$500),
  _xlfn.IFNA(_xlpm.result, "")
)</f>
        <v/>
      </c>
      <c r="AC108" t="str">
        <f>_xlfn.LET(
  _xlpm.result, _xlfn.XLOOKUP($B108, Result_Database!$A$2:$A$500, Result_Database!AB$2:AB$500),
  _xlfn.IFNA(_xlpm.result, "")
)</f>
        <v/>
      </c>
      <c r="AD108" t="str">
        <f>_xlfn.LET(
  _xlpm.result, _xlfn.XLOOKUP($B108, Result_Database!$A$2:$A$500, Result_Database!AC$2:AC$500),
  _xlfn.IFNA(_xlpm.result, "")
)</f>
        <v/>
      </c>
      <c r="AE108" t="str">
        <f>_xlfn.LET(
  _xlpm.result, _xlfn.XLOOKUP($B108, Result_Database!$A$2:$A$500, Result_Database!AD$2:AD$500),
  _xlfn.IFNA(_xlpm.result, "")
)</f>
        <v/>
      </c>
      <c r="AF108" t="str">
        <f>_xlfn.LET(
  _xlpm.result, _xlfn.XLOOKUP($B108, Result_Database!$A$2:$A$500, Result_Database!AE$2:AE$500),
  _xlfn.IFNA(_xlpm.result, "")
)</f>
        <v/>
      </c>
      <c r="AG108" t="str">
        <f>_xlfn.LET(
  _xlpm.result, _xlfn.XLOOKUP($B108, Result_Database!$A$2:$A$500, Result_Database!AF$2:AF$500),
  _xlfn.IFNA(_xlpm.result, "")
)</f>
        <v/>
      </c>
      <c r="AH108" t="str">
        <f>_xlfn.LET(
  _xlpm.result, _xlfn.XLOOKUP($B108, Result_Database!$A$2:$A$500, Result_Database!AG$2:AG$500),
  _xlfn.IFNA(_xlpm.result, "")
)</f>
        <v/>
      </c>
      <c r="AI108" t="str">
        <f>_xlfn.LET(
  _xlpm.result, _xlfn.XLOOKUP($B108, Result_Database!$A$2:$A$500, Result_Database!AH$2:AH$500),
  _xlfn.IFNA(_xlpm.result, "")
)</f>
        <v/>
      </c>
      <c r="AJ108" t="str">
        <f>_xlfn.LET(
  _xlpm.result, _xlfn.XLOOKUP($B108, Result_Database!$A$2:$A$500, Result_Database!AI$2:AI$500),
  _xlfn.IFNA(_xlpm.result, "")
)</f>
        <v/>
      </c>
      <c r="AK108" t="str">
        <f>_xlfn.LET(
  _xlpm.result, _xlfn.XLOOKUP($B108, Result_Database!$A$2:$A$500, Result_Database!AJ$2:AJ$500),
  _xlfn.IFNA(_xlpm.result, "")
)</f>
        <v/>
      </c>
      <c r="AL108" t="str">
        <f>_xlfn.LET(
  _xlpm.result, _xlfn.XLOOKUP($B108, Result_Database!$A$2:$A$500, Result_Database!AK$2:AK$500),
  _xlfn.IFNA(_xlpm.result, "")
)</f>
        <v/>
      </c>
      <c r="AM10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0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0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0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0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0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0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0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0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08" t="str">
        <f>IF(SUM(Table5[[#This Row],[A1]:[C6]])&lt;&gt;0,SUM(Table5[[#This Row],[A1]:[C6]]),"")</f>
        <v/>
      </c>
      <c r="AW108" t="str">
        <f>IF(SUM(Table5[[#This Row],[D7]:[F9]])=0,"",SUM(Table5[[#This Row],[D7]:[F9]]))</f>
        <v/>
      </c>
      <c r="AX10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0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0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0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0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0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08" t="str">
        <f>IF(COUNTIF(Table5[[#This Row],[English Language]:[Electrical/ Electronics]],"WITHHELD")=0,"",COUNTIF(Table5[[#This Row],[English Language]:[Electrical/ Electronics]],"WITHHELD"))</f>
        <v/>
      </c>
      <c r="BE108" t="str">
        <f>IF(SUM(Table5[[#This Row],[NO OF CREDITS]:[BELOW CREDITS]])=0,"",SUM(Table5[[#This Row],[NO OF CREDITS]:[BELOW CREDITS]]))</f>
        <v/>
      </c>
    </row>
    <row r="109" spans="1:57" x14ac:dyDescent="0.3">
      <c r="A109" t="str">
        <f>IF(B109&lt;&gt;"",COUNTA($B$6:B109),"")</f>
        <v/>
      </c>
      <c r="B109" t="str">
        <f>IF(Result_Database!A105="","",Result_Database!A105)</f>
        <v/>
      </c>
      <c r="C109" t="str">
        <f>_xlfn.LET(
_xlpm.result,_xlfn.XLOOKUP($B109,Result_Database!$A$2:$A$500,Result_Database!$B$2:$B$500),
_xlfn.IFNA(_xlpm.result,"")
)</f>
        <v/>
      </c>
      <c r="D109" t="str">
        <f>_xlfn.LET(
  _xlpm.result, _xlfn.XLOOKUP($B109, Result_Database!$A$2:$A$500, Result_Database!C$2:C$500),
  _xlfn.IFNA(_xlpm.result, "")
)</f>
        <v/>
      </c>
      <c r="E109" t="str">
        <f>_xlfn.LET(
  _xlpm.result, _xlfn.XLOOKUP($B109, Result_Database!$A$2:$A$500, Result_Database!D$2:D$500),
  _xlfn.IFNA(_xlpm.result, "")
)</f>
        <v/>
      </c>
      <c r="F109" t="str">
        <f>_xlfn.LET(
  _xlpm.result, _xlfn.XLOOKUP($B109, Result_Database!$A$2:$A$500, Result_Database!E$2:E$500),
  _xlfn.IFNA(_xlpm.result, "")
)</f>
        <v/>
      </c>
      <c r="G109" t="str">
        <f>_xlfn.LET(
  _xlpm.result, _xlfn.XLOOKUP($B109, Result_Database!$A$2:$A$500, Result_Database!F$2:F$500),
  _xlfn.IFNA(_xlpm.result, "")
)</f>
        <v/>
      </c>
      <c r="H109" t="str">
        <f>_xlfn.LET(
  _xlpm.result, _xlfn.XLOOKUP($B109, Result_Database!$A$2:$A$500, Result_Database!G$2:G$500),
  _xlfn.IFNA(_xlpm.result, "")
)</f>
        <v/>
      </c>
      <c r="I109" t="str">
        <f>_xlfn.LET(
  _xlpm.result, _xlfn.XLOOKUP($B109, Result_Database!$A$2:$A$500, Result_Database!H$2:H$500),
  _xlfn.IFNA(_xlpm.result, "")
)</f>
        <v/>
      </c>
      <c r="J109" t="str">
        <f>_xlfn.LET(
  _xlpm.result, _xlfn.XLOOKUP($B109, Result_Database!$A$2:$A$500, Result_Database!I$2:I$500),
  _xlfn.IFNA(_xlpm.result, "")
)</f>
        <v/>
      </c>
      <c r="K109" t="str">
        <f>_xlfn.LET(
  _xlpm.result, _xlfn.XLOOKUP($B109, Result_Database!$A$2:$A$500, Result_Database!J$2:J$500),
  _xlfn.IFNA(_xlpm.result, "")
)</f>
        <v/>
      </c>
      <c r="L109" t="str">
        <f>_xlfn.LET(
  _xlpm.result, _xlfn.XLOOKUP($B109, Result_Database!$A$2:$A$500, Result_Database!K$2:K$500),
  _xlfn.IFNA(_xlpm.result, "")
)</f>
        <v/>
      </c>
      <c r="M109" t="str">
        <f>_xlfn.LET(
  _xlpm.result, _xlfn.XLOOKUP($B109, Result_Database!$A$2:$A$500, Result_Database!L$2:L$500),
  _xlfn.IFNA(_xlpm.result, "")
)</f>
        <v/>
      </c>
      <c r="N109" t="str">
        <f>_xlfn.LET(
  _xlpm.result, _xlfn.XLOOKUP($B109, Result_Database!$A$2:$A$500, Result_Database!M$2:M$500),
  _xlfn.IFNA(_xlpm.result, "")
)</f>
        <v/>
      </c>
      <c r="O109" t="str">
        <f>_xlfn.LET(
  _xlpm.result, _xlfn.XLOOKUP($B109, Result_Database!$A$2:$A$500, Result_Database!N$2:N$500),
  _xlfn.IFNA(_xlpm.result, "")
)</f>
        <v/>
      </c>
      <c r="P109" t="str">
        <f>_xlfn.LET(
  _xlpm.result, _xlfn.XLOOKUP($B109, Result_Database!$A$2:$A$500, Result_Database!O$2:O$500),
  _xlfn.IFNA(_xlpm.result, "")
)</f>
        <v/>
      </c>
      <c r="Q109" t="str">
        <f>_xlfn.LET(
  _xlpm.result, _xlfn.XLOOKUP($B109, Result_Database!$A$2:$A$500, Result_Database!P$2:P$500),
  _xlfn.IFNA(_xlpm.result, "")
)</f>
        <v/>
      </c>
      <c r="R109" t="str">
        <f>_xlfn.LET(
  _xlpm.result, _xlfn.XLOOKUP($B109, Result_Database!$A$2:$A$500, Result_Database!Q$2:Q$500),
  _xlfn.IFNA(_xlpm.result, "")
)</f>
        <v/>
      </c>
      <c r="S109" t="str">
        <f>_xlfn.LET(
  _xlpm.result, _xlfn.XLOOKUP($B109, Result_Database!$A$2:$A$500, Result_Database!R$2:R$500),
  _xlfn.IFNA(_xlpm.result, "")
)</f>
        <v/>
      </c>
      <c r="T109" t="str">
        <f>_xlfn.LET(
  _xlpm.result, _xlfn.XLOOKUP($B109, Result_Database!$A$2:$A$500, Result_Database!S$2:S$500),
  _xlfn.IFNA(_xlpm.result, "")
)</f>
        <v/>
      </c>
      <c r="U109" t="str">
        <f>_xlfn.LET(
  _xlpm.result, _xlfn.XLOOKUP($B109, Result_Database!$A$2:$A$500, Result_Database!T$2:T$500),
  _xlfn.IFNA(_xlpm.result, "")
)</f>
        <v/>
      </c>
      <c r="V109" t="str">
        <f>_xlfn.LET(
  _xlpm.result, _xlfn.XLOOKUP($B109, Result_Database!$A$2:$A$500, Result_Database!U$2:U$500),
  _xlfn.IFNA(_xlpm.result, "")
)</f>
        <v/>
      </c>
      <c r="W109" t="str">
        <f>_xlfn.LET(
  _xlpm.result, _xlfn.XLOOKUP($B109, Result_Database!$A$2:$A$500, Result_Database!V$2:V$500),
  _xlfn.IFNA(_xlpm.result, "")
)</f>
        <v/>
      </c>
      <c r="X109" t="str">
        <f>_xlfn.LET(
  _xlpm.result, _xlfn.XLOOKUP($B109, Result_Database!$A$2:$A$500, Result_Database!W$2:W$500),
  _xlfn.IFNA(_xlpm.result, "")
)</f>
        <v/>
      </c>
      <c r="Y109" t="str">
        <f>_xlfn.LET(
  _xlpm.result, _xlfn.XLOOKUP($B109, Result_Database!$A$2:$A$500, Result_Database!X$2:X$500),
  _xlfn.IFNA(_xlpm.result, "")
)</f>
        <v/>
      </c>
      <c r="Z109" t="str">
        <f>_xlfn.LET(
  _xlpm.result, _xlfn.XLOOKUP($B109, Result_Database!$A$2:$A$500, Result_Database!Y$2:Y$500),
  _xlfn.IFNA(_xlpm.result, "")
)</f>
        <v/>
      </c>
      <c r="AA109" t="str">
        <f>_xlfn.LET(
  _xlpm.result, _xlfn.XLOOKUP($B109, Result_Database!$A$2:$A$500, Result_Database!Z$2:Z$500),
  _xlfn.IFNA(_xlpm.result, "")
)</f>
        <v/>
      </c>
      <c r="AB109" t="str">
        <f>_xlfn.LET(
  _xlpm.result, _xlfn.XLOOKUP($B109, Result_Database!$A$2:$A$500, Result_Database!AA$2:AA$500),
  _xlfn.IFNA(_xlpm.result, "")
)</f>
        <v/>
      </c>
      <c r="AC109" t="str">
        <f>_xlfn.LET(
  _xlpm.result, _xlfn.XLOOKUP($B109, Result_Database!$A$2:$A$500, Result_Database!AB$2:AB$500),
  _xlfn.IFNA(_xlpm.result, "")
)</f>
        <v/>
      </c>
      <c r="AD109" t="str">
        <f>_xlfn.LET(
  _xlpm.result, _xlfn.XLOOKUP($B109, Result_Database!$A$2:$A$500, Result_Database!AC$2:AC$500),
  _xlfn.IFNA(_xlpm.result, "")
)</f>
        <v/>
      </c>
      <c r="AE109" t="str">
        <f>_xlfn.LET(
  _xlpm.result, _xlfn.XLOOKUP($B109, Result_Database!$A$2:$A$500, Result_Database!AD$2:AD$500),
  _xlfn.IFNA(_xlpm.result, "")
)</f>
        <v/>
      </c>
      <c r="AF109" t="str">
        <f>_xlfn.LET(
  _xlpm.result, _xlfn.XLOOKUP($B109, Result_Database!$A$2:$A$500, Result_Database!AE$2:AE$500),
  _xlfn.IFNA(_xlpm.result, "")
)</f>
        <v/>
      </c>
      <c r="AG109" t="str">
        <f>_xlfn.LET(
  _xlpm.result, _xlfn.XLOOKUP($B109, Result_Database!$A$2:$A$500, Result_Database!AF$2:AF$500),
  _xlfn.IFNA(_xlpm.result, "")
)</f>
        <v/>
      </c>
      <c r="AH109" t="str">
        <f>_xlfn.LET(
  _xlpm.result, _xlfn.XLOOKUP($B109, Result_Database!$A$2:$A$500, Result_Database!AG$2:AG$500),
  _xlfn.IFNA(_xlpm.result, "")
)</f>
        <v/>
      </c>
      <c r="AI109" t="str">
        <f>_xlfn.LET(
  _xlpm.result, _xlfn.XLOOKUP($B109, Result_Database!$A$2:$A$500, Result_Database!AH$2:AH$500),
  _xlfn.IFNA(_xlpm.result, "")
)</f>
        <v/>
      </c>
      <c r="AJ109" t="str">
        <f>_xlfn.LET(
  _xlpm.result, _xlfn.XLOOKUP($B109, Result_Database!$A$2:$A$500, Result_Database!AI$2:AI$500),
  _xlfn.IFNA(_xlpm.result, "")
)</f>
        <v/>
      </c>
      <c r="AK109" t="str">
        <f>_xlfn.LET(
  _xlpm.result, _xlfn.XLOOKUP($B109, Result_Database!$A$2:$A$500, Result_Database!AJ$2:AJ$500),
  _xlfn.IFNA(_xlpm.result, "")
)</f>
        <v/>
      </c>
      <c r="AL109" t="str">
        <f>_xlfn.LET(
  _xlpm.result, _xlfn.XLOOKUP($B109, Result_Database!$A$2:$A$500, Result_Database!AK$2:AK$500),
  _xlfn.IFNA(_xlpm.result, "")
)</f>
        <v/>
      </c>
      <c r="AM10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0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0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0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0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0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0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0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0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09" t="str">
        <f>IF(SUM(Table5[[#This Row],[A1]:[C6]])&lt;&gt;0,SUM(Table5[[#This Row],[A1]:[C6]]),"")</f>
        <v/>
      </c>
      <c r="AW109" t="str">
        <f>IF(SUM(Table5[[#This Row],[D7]:[F9]])=0,"",SUM(Table5[[#This Row],[D7]:[F9]]))</f>
        <v/>
      </c>
      <c r="AX10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0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0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0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0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0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09" t="str">
        <f>IF(COUNTIF(Table5[[#This Row],[English Language]:[Electrical/ Electronics]],"WITHHELD")=0,"",COUNTIF(Table5[[#This Row],[English Language]:[Electrical/ Electronics]],"WITHHELD"))</f>
        <v/>
      </c>
      <c r="BE109" t="str">
        <f>IF(SUM(Table5[[#This Row],[NO OF CREDITS]:[BELOW CREDITS]])=0,"",SUM(Table5[[#This Row],[NO OF CREDITS]:[BELOW CREDITS]]))</f>
        <v/>
      </c>
    </row>
    <row r="110" spans="1:57" x14ac:dyDescent="0.3">
      <c r="A110" t="str">
        <f>IF(B110&lt;&gt;"",COUNTA($B$6:B110),"")</f>
        <v/>
      </c>
      <c r="B110" t="str">
        <f>IF(Result_Database!A106="","",Result_Database!A106)</f>
        <v/>
      </c>
      <c r="C110" t="str">
        <f>_xlfn.LET(
_xlpm.result,_xlfn.XLOOKUP($B110,Result_Database!$A$2:$A$500,Result_Database!$B$2:$B$500),
_xlfn.IFNA(_xlpm.result,"")
)</f>
        <v/>
      </c>
      <c r="D110" t="str">
        <f>_xlfn.LET(
  _xlpm.result, _xlfn.XLOOKUP($B110, Result_Database!$A$2:$A$500, Result_Database!C$2:C$500),
  _xlfn.IFNA(_xlpm.result, "")
)</f>
        <v/>
      </c>
      <c r="E110" t="str">
        <f>_xlfn.LET(
  _xlpm.result, _xlfn.XLOOKUP($B110, Result_Database!$A$2:$A$500, Result_Database!D$2:D$500),
  _xlfn.IFNA(_xlpm.result, "")
)</f>
        <v/>
      </c>
      <c r="F110" t="str">
        <f>_xlfn.LET(
  _xlpm.result, _xlfn.XLOOKUP($B110, Result_Database!$A$2:$A$500, Result_Database!E$2:E$500),
  _xlfn.IFNA(_xlpm.result, "")
)</f>
        <v/>
      </c>
      <c r="G110" t="str">
        <f>_xlfn.LET(
  _xlpm.result, _xlfn.XLOOKUP($B110, Result_Database!$A$2:$A$500, Result_Database!F$2:F$500),
  _xlfn.IFNA(_xlpm.result, "")
)</f>
        <v/>
      </c>
      <c r="H110" t="str">
        <f>_xlfn.LET(
  _xlpm.result, _xlfn.XLOOKUP($B110, Result_Database!$A$2:$A$500, Result_Database!G$2:G$500),
  _xlfn.IFNA(_xlpm.result, "")
)</f>
        <v/>
      </c>
      <c r="I110" t="str">
        <f>_xlfn.LET(
  _xlpm.result, _xlfn.XLOOKUP($B110, Result_Database!$A$2:$A$500, Result_Database!H$2:H$500),
  _xlfn.IFNA(_xlpm.result, "")
)</f>
        <v/>
      </c>
      <c r="J110" t="str">
        <f>_xlfn.LET(
  _xlpm.result, _xlfn.XLOOKUP($B110, Result_Database!$A$2:$A$500, Result_Database!I$2:I$500),
  _xlfn.IFNA(_xlpm.result, "")
)</f>
        <v/>
      </c>
      <c r="K110" t="str">
        <f>_xlfn.LET(
  _xlpm.result, _xlfn.XLOOKUP($B110, Result_Database!$A$2:$A$500, Result_Database!J$2:J$500),
  _xlfn.IFNA(_xlpm.result, "")
)</f>
        <v/>
      </c>
      <c r="L110" t="str">
        <f>_xlfn.LET(
  _xlpm.result, _xlfn.XLOOKUP($B110, Result_Database!$A$2:$A$500, Result_Database!K$2:K$500),
  _xlfn.IFNA(_xlpm.result, "")
)</f>
        <v/>
      </c>
      <c r="M110" t="str">
        <f>_xlfn.LET(
  _xlpm.result, _xlfn.XLOOKUP($B110, Result_Database!$A$2:$A$500, Result_Database!L$2:L$500),
  _xlfn.IFNA(_xlpm.result, "")
)</f>
        <v/>
      </c>
      <c r="N110" t="str">
        <f>_xlfn.LET(
  _xlpm.result, _xlfn.XLOOKUP($B110, Result_Database!$A$2:$A$500, Result_Database!M$2:M$500),
  _xlfn.IFNA(_xlpm.result, "")
)</f>
        <v/>
      </c>
      <c r="O110" t="str">
        <f>_xlfn.LET(
  _xlpm.result, _xlfn.XLOOKUP($B110, Result_Database!$A$2:$A$500, Result_Database!N$2:N$500),
  _xlfn.IFNA(_xlpm.result, "")
)</f>
        <v/>
      </c>
      <c r="P110" t="str">
        <f>_xlfn.LET(
  _xlpm.result, _xlfn.XLOOKUP($B110, Result_Database!$A$2:$A$500, Result_Database!O$2:O$500),
  _xlfn.IFNA(_xlpm.result, "")
)</f>
        <v/>
      </c>
      <c r="Q110" t="str">
        <f>_xlfn.LET(
  _xlpm.result, _xlfn.XLOOKUP($B110, Result_Database!$A$2:$A$500, Result_Database!P$2:P$500),
  _xlfn.IFNA(_xlpm.result, "")
)</f>
        <v/>
      </c>
      <c r="R110" t="str">
        <f>_xlfn.LET(
  _xlpm.result, _xlfn.XLOOKUP($B110, Result_Database!$A$2:$A$500, Result_Database!Q$2:Q$500),
  _xlfn.IFNA(_xlpm.result, "")
)</f>
        <v/>
      </c>
      <c r="S110" t="str">
        <f>_xlfn.LET(
  _xlpm.result, _xlfn.XLOOKUP($B110, Result_Database!$A$2:$A$500, Result_Database!R$2:R$500),
  _xlfn.IFNA(_xlpm.result, "")
)</f>
        <v/>
      </c>
      <c r="T110" t="str">
        <f>_xlfn.LET(
  _xlpm.result, _xlfn.XLOOKUP($B110, Result_Database!$A$2:$A$500, Result_Database!S$2:S$500),
  _xlfn.IFNA(_xlpm.result, "")
)</f>
        <v/>
      </c>
      <c r="U110" t="str">
        <f>_xlfn.LET(
  _xlpm.result, _xlfn.XLOOKUP($B110, Result_Database!$A$2:$A$500, Result_Database!T$2:T$500),
  _xlfn.IFNA(_xlpm.result, "")
)</f>
        <v/>
      </c>
      <c r="V110" t="str">
        <f>_xlfn.LET(
  _xlpm.result, _xlfn.XLOOKUP($B110, Result_Database!$A$2:$A$500, Result_Database!U$2:U$500),
  _xlfn.IFNA(_xlpm.result, "")
)</f>
        <v/>
      </c>
      <c r="W110" t="str">
        <f>_xlfn.LET(
  _xlpm.result, _xlfn.XLOOKUP($B110, Result_Database!$A$2:$A$500, Result_Database!V$2:V$500),
  _xlfn.IFNA(_xlpm.result, "")
)</f>
        <v/>
      </c>
      <c r="X110" t="str">
        <f>_xlfn.LET(
  _xlpm.result, _xlfn.XLOOKUP($B110, Result_Database!$A$2:$A$500, Result_Database!W$2:W$500),
  _xlfn.IFNA(_xlpm.result, "")
)</f>
        <v/>
      </c>
      <c r="Y110" t="str">
        <f>_xlfn.LET(
  _xlpm.result, _xlfn.XLOOKUP($B110, Result_Database!$A$2:$A$500, Result_Database!X$2:X$500),
  _xlfn.IFNA(_xlpm.result, "")
)</f>
        <v/>
      </c>
      <c r="Z110" t="str">
        <f>_xlfn.LET(
  _xlpm.result, _xlfn.XLOOKUP($B110, Result_Database!$A$2:$A$500, Result_Database!Y$2:Y$500),
  _xlfn.IFNA(_xlpm.result, "")
)</f>
        <v/>
      </c>
      <c r="AA110" t="str">
        <f>_xlfn.LET(
  _xlpm.result, _xlfn.XLOOKUP($B110, Result_Database!$A$2:$A$500, Result_Database!Z$2:Z$500),
  _xlfn.IFNA(_xlpm.result, "")
)</f>
        <v/>
      </c>
      <c r="AB110" t="str">
        <f>_xlfn.LET(
  _xlpm.result, _xlfn.XLOOKUP($B110, Result_Database!$A$2:$A$500, Result_Database!AA$2:AA$500),
  _xlfn.IFNA(_xlpm.result, "")
)</f>
        <v/>
      </c>
      <c r="AC110" t="str">
        <f>_xlfn.LET(
  _xlpm.result, _xlfn.XLOOKUP($B110, Result_Database!$A$2:$A$500, Result_Database!AB$2:AB$500),
  _xlfn.IFNA(_xlpm.result, "")
)</f>
        <v/>
      </c>
      <c r="AD110" t="str">
        <f>_xlfn.LET(
  _xlpm.result, _xlfn.XLOOKUP($B110, Result_Database!$A$2:$A$500, Result_Database!AC$2:AC$500),
  _xlfn.IFNA(_xlpm.result, "")
)</f>
        <v/>
      </c>
      <c r="AE110" t="str">
        <f>_xlfn.LET(
  _xlpm.result, _xlfn.XLOOKUP($B110, Result_Database!$A$2:$A$500, Result_Database!AD$2:AD$500),
  _xlfn.IFNA(_xlpm.result, "")
)</f>
        <v/>
      </c>
      <c r="AF110" t="str">
        <f>_xlfn.LET(
  _xlpm.result, _xlfn.XLOOKUP($B110, Result_Database!$A$2:$A$500, Result_Database!AE$2:AE$500),
  _xlfn.IFNA(_xlpm.result, "")
)</f>
        <v/>
      </c>
      <c r="AG110" t="str">
        <f>_xlfn.LET(
  _xlpm.result, _xlfn.XLOOKUP($B110, Result_Database!$A$2:$A$500, Result_Database!AF$2:AF$500),
  _xlfn.IFNA(_xlpm.result, "")
)</f>
        <v/>
      </c>
      <c r="AH110" t="str">
        <f>_xlfn.LET(
  _xlpm.result, _xlfn.XLOOKUP($B110, Result_Database!$A$2:$A$500, Result_Database!AG$2:AG$500),
  _xlfn.IFNA(_xlpm.result, "")
)</f>
        <v/>
      </c>
      <c r="AI110" t="str">
        <f>_xlfn.LET(
  _xlpm.result, _xlfn.XLOOKUP($B110, Result_Database!$A$2:$A$500, Result_Database!AH$2:AH$500),
  _xlfn.IFNA(_xlpm.result, "")
)</f>
        <v/>
      </c>
      <c r="AJ110" t="str">
        <f>_xlfn.LET(
  _xlpm.result, _xlfn.XLOOKUP($B110, Result_Database!$A$2:$A$500, Result_Database!AI$2:AI$500),
  _xlfn.IFNA(_xlpm.result, "")
)</f>
        <v/>
      </c>
      <c r="AK110" t="str">
        <f>_xlfn.LET(
  _xlpm.result, _xlfn.XLOOKUP($B110, Result_Database!$A$2:$A$500, Result_Database!AJ$2:AJ$500),
  _xlfn.IFNA(_xlpm.result, "")
)</f>
        <v/>
      </c>
      <c r="AL110" t="str">
        <f>_xlfn.LET(
  _xlpm.result, _xlfn.XLOOKUP($B110, Result_Database!$A$2:$A$500, Result_Database!AK$2:AK$500),
  _xlfn.IFNA(_xlpm.result, "")
)</f>
        <v/>
      </c>
      <c r="AM11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1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1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1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1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1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1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1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1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10" t="str">
        <f>IF(SUM(Table5[[#This Row],[A1]:[C6]])&lt;&gt;0,SUM(Table5[[#This Row],[A1]:[C6]]),"")</f>
        <v/>
      </c>
      <c r="AW110" t="str">
        <f>IF(SUM(Table5[[#This Row],[D7]:[F9]])=0,"",SUM(Table5[[#This Row],[D7]:[F9]]))</f>
        <v/>
      </c>
      <c r="AX11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1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1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1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1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1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10" t="str">
        <f>IF(COUNTIF(Table5[[#This Row],[English Language]:[Electrical/ Electronics]],"WITHHELD")=0,"",COUNTIF(Table5[[#This Row],[English Language]:[Electrical/ Electronics]],"WITHHELD"))</f>
        <v/>
      </c>
      <c r="BE110" t="str">
        <f>IF(SUM(Table5[[#This Row],[NO OF CREDITS]:[BELOW CREDITS]])=0,"",SUM(Table5[[#This Row],[NO OF CREDITS]:[BELOW CREDITS]]))</f>
        <v/>
      </c>
    </row>
    <row r="111" spans="1:57" x14ac:dyDescent="0.3">
      <c r="A111" t="str">
        <f>IF(B111&lt;&gt;"",COUNTA($B$6:B111),"")</f>
        <v/>
      </c>
      <c r="B111" t="str">
        <f>IF(Result_Database!A107="","",Result_Database!A107)</f>
        <v/>
      </c>
      <c r="C111" t="str">
        <f>_xlfn.LET(
_xlpm.result,_xlfn.XLOOKUP($B111,Result_Database!$A$2:$A$500,Result_Database!$B$2:$B$500),
_xlfn.IFNA(_xlpm.result,"")
)</f>
        <v/>
      </c>
      <c r="D111" t="str">
        <f>_xlfn.LET(
  _xlpm.result, _xlfn.XLOOKUP($B111, Result_Database!$A$2:$A$500, Result_Database!C$2:C$500),
  _xlfn.IFNA(_xlpm.result, "")
)</f>
        <v/>
      </c>
      <c r="E111" t="str">
        <f>_xlfn.LET(
  _xlpm.result, _xlfn.XLOOKUP($B111, Result_Database!$A$2:$A$500, Result_Database!D$2:D$500),
  _xlfn.IFNA(_xlpm.result, "")
)</f>
        <v/>
      </c>
      <c r="F111" t="str">
        <f>_xlfn.LET(
  _xlpm.result, _xlfn.XLOOKUP($B111, Result_Database!$A$2:$A$500, Result_Database!E$2:E$500),
  _xlfn.IFNA(_xlpm.result, "")
)</f>
        <v/>
      </c>
      <c r="G111" t="str">
        <f>_xlfn.LET(
  _xlpm.result, _xlfn.XLOOKUP($B111, Result_Database!$A$2:$A$500, Result_Database!F$2:F$500),
  _xlfn.IFNA(_xlpm.result, "")
)</f>
        <v/>
      </c>
      <c r="H111" t="str">
        <f>_xlfn.LET(
  _xlpm.result, _xlfn.XLOOKUP($B111, Result_Database!$A$2:$A$500, Result_Database!G$2:G$500),
  _xlfn.IFNA(_xlpm.result, "")
)</f>
        <v/>
      </c>
      <c r="I111" t="str">
        <f>_xlfn.LET(
  _xlpm.result, _xlfn.XLOOKUP($B111, Result_Database!$A$2:$A$500, Result_Database!H$2:H$500),
  _xlfn.IFNA(_xlpm.result, "")
)</f>
        <v/>
      </c>
      <c r="J111" t="str">
        <f>_xlfn.LET(
  _xlpm.result, _xlfn.XLOOKUP($B111, Result_Database!$A$2:$A$500, Result_Database!I$2:I$500),
  _xlfn.IFNA(_xlpm.result, "")
)</f>
        <v/>
      </c>
      <c r="K111" t="str">
        <f>_xlfn.LET(
  _xlpm.result, _xlfn.XLOOKUP($B111, Result_Database!$A$2:$A$500, Result_Database!J$2:J$500),
  _xlfn.IFNA(_xlpm.result, "")
)</f>
        <v/>
      </c>
      <c r="L111" t="str">
        <f>_xlfn.LET(
  _xlpm.result, _xlfn.XLOOKUP($B111, Result_Database!$A$2:$A$500, Result_Database!K$2:K$500),
  _xlfn.IFNA(_xlpm.result, "")
)</f>
        <v/>
      </c>
      <c r="M111" t="str">
        <f>_xlfn.LET(
  _xlpm.result, _xlfn.XLOOKUP($B111, Result_Database!$A$2:$A$500, Result_Database!L$2:L$500),
  _xlfn.IFNA(_xlpm.result, "")
)</f>
        <v/>
      </c>
      <c r="N111" t="str">
        <f>_xlfn.LET(
  _xlpm.result, _xlfn.XLOOKUP($B111, Result_Database!$A$2:$A$500, Result_Database!M$2:M$500),
  _xlfn.IFNA(_xlpm.result, "")
)</f>
        <v/>
      </c>
      <c r="O111" t="str">
        <f>_xlfn.LET(
  _xlpm.result, _xlfn.XLOOKUP($B111, Result_Database!$A$2:$A$500, Result_Database!N$2:N$500),
  _xlfn.IFNA(_xlpm.result, "")
)</f>
        <v/>
      </c>
      <c r="P111" t="str">
        <f>_xlfn.LET(
  _xlpm.result, _xlfn.XLOOKUP($B111, Result_Database!$A$2:$A$500, Result_Database!O$2:O$500),
  _xlfn.IFNA(_xlpm.result, "")
)</f>
        <v/>
      </c>
      <c r="Q111" t="str">
        <f>_xlfn.LET(
  _xlpm.result, _xlfn.XLOOKUP($B111, Result_Database!$A$2:$A$500, Result_Database!P$2:P$500),
  _xlfn.IFNA(_xlpm.result, "")
)</f>
        <v/>
      </c>
      <c r="R111" t="str">
        <f>_xlfn.LET(
  _xlpm.result, _xlfn.XLOOKUP($B111, Result_Database!$A$2:$A$500, Result_Database!Q$2:Q$500),
  _xlfn.IFNA(_xlpm.result, "")
)</f>
        <v/>
      </c>
      <c r="S111" t="str">
        <f>_xlfn.LET(
  _xlpm.result, _xlfn.XLOOKUP($B111, Result_Database!$A$2:$A$500, Result_Database!R$2:R$500),
  _xlfn.IFNA(_xlpm.result, "")
)</f>
        <v/>
      </c>
      <c r="T111" t="str">
        <f>_xlfn.LET(
  _xlpm.result, _xlfn.XLOOKUP($B111, Result_Database!$A$2:$A$500, Result_Database!S$2:S$500),
  _xlfn.IFNA(_xlpm.result, "")
)</f>
        <v/>
      </c>
      <c r="U111" t="str">
        <f>_xlfn.LET(
  _xlpm.result, _xlfn.XLOOKUP($B111, Result_Database!$A$2:$A$500, Result_Database!T$2:T$500),
  _xlfn.IFNA(_xlpm.result, "")
)</f>
        <v/>
      </c>
      <c r="V111" t="str">
        <f>_xlfn.LET(
  _xlpm.result, _xlfn.XLOOKUP($B111, Result_Database!$A$2:$A$500, Result_Database!U$2:U$500),
  _xlfn.IFNA(_xlpm.result, "")
)</f>
        <v/>
      </c>
      <c r="W111" t="str">
        <f>_xlfn.LET(
  _xlpm.result, _xlfn.XLOOKUP($B111, Result_Database!$A$2:$A$500, Result_Database!V$2:V$500),
  _xlfn.IFNA(_xlpm.result, "")
)</f>
        <v/>
      </c>
      <c r="X111" t="str">
        <f>_xlfn.LET(
  _xlpm.result, _xlfn.XLOOKUP($B111, Result_Database!$A$2:$A$500, Result_Database!W$2:W$500),
  _xlfn.IFNA(_xlpm.result, "")
)</f>
        <v/>
      </c>
      <c r="Y111" t="str">
        <f>_xlfn.LET(
  _xlpm.result, _xlfn.XLOOKUP($B111, Result_Database!$A$2:$A$500, Result_Database!X$2:X$500),
  _xlfn.IFNA(_xlpm.result, "")
)</f>
        <v/>
      </c>
      <c r="Z111" t="str">
        <f>_xlfn.LET(
  _xlpm.result, _xlfn.XLOOKUP($B111, Result_Database!$A$2:$A$500, Result_Database!Y$2:Y$500),
  _xlfn.IFNA(_xlpm.result, "")
)</f>
        <v/>
      </c>
      <c r="AA111" t="str">
        <f>_xlfn.LET(
  _xlpm.result, _xlfn.XLOOKUP($B111, Result_Database!$A$2:$A$500, Result_Database!Z$2:Z$500),
  _xlfn.IFNA(_xlpm.result, "")
)</f>
        <v/>
      </c>
      <c r="AB111" t="str">
        <f>_xlfn.LET(
  _xlpm.result, _xlfn.XLOOKUP($B111, Result_Database!$A$2:$A$500, Result_Database!AA$2:AA$500),
  _xlfn.IFNA(_xlpm.result, "")
)</f>
        <v/>
      </c>
      <c r="AC111" t="str">
        <f>_xlfn.LET(
  _xlpm.result, _xlfn.XLOOKUP($B111, Result_Database!$A$2:$A$500, Result_Database!AB$2:AB$500),
  _xlfn.IFNA(_xlpm.result, "")
)</f>
        <v/>
      </c>
      <c r="AD111" t="str">
        <f>_xlfn.LET(
  _xlpm.result, _xlfn.XLOOKUP($B111, Result_Database!$A$2:$A$500, Result_Database!AC$2:AC$500),
  _xlfn.IFNA(_xlpm.result, "")
)</f>
        <v/>
      </c>
      <c r="AE111" t="str">
        <f>_xlfn.LET(
  _xlpm.result, _xlfn.XLOOKUP($B111, Result_Database!$A$2:$A$500, Result_Database!AD$2:AD$500),
  _xlfn.IFNA(_xlpm.result, "")
)</f>
        <v/>
      </c>
      <c r="AF111" t="str">
        <f>_xlfn.LET(
  _xlpm.result, _xlfn.XLOOKUP($B111, Result_Database!$A$2:$A$500, Result_Database!AE$2:AE$500),
  _xlfn.IFNA(_xlpm.result, "")
)</f>
        <v/>
      </c>
      <c r="AG111" t="str">
        <f>_xlfn.LET(
  _xlpm.result, _xlfn.XLOOKUP($B111, Result_Database!$A$2:$A$500, Result_Database!AF$2:AF$500),
  _xlfn.IFNA(_xlpm.result, "")
)</f>
        <v/>
      </c>
      <c r="AH111" t="str">
        <f>_xlfn.LET(
  _xlpm.result, _xlfn.XLOOKUP($B111, Result_Database!$A$2:$A$500, Result_Database!AG$2:AG$500),
  _xlfn.IFNA(_xlpm.result, "")
)</f>
        <v/>
      </c>
      <c r="AI111" t="str">
        <f>_xlfn.LET(
  _xlpm.result, _xlfn.XLOOKUP($B111, Result_Database!$A$2:$A$500, Result_Database!AH$2:AH$500),
  _xlfn.IFNA(_xlpm.result, "")
)</f>
        <v/>
      </c>
      <c r="AJ111" t="str">
        <f>_xlfn.LET(
  _xlpm.result, _xlfn.XLOOKUP($B111, Result_Database!$A$2:$A$500, Result_Database!AI$2:AI$500),
  _xlfn.IFNA(_xlpm.result, "")
)</f>
        <v/>
      </c>
      <c r="AK111" t="str">
        <f>_xlfn.LET(
  _xlpm.result, _xlfn.XLOOKUP($B111, Result_Database!$A$2:$A$500, Result_Database!AJ$2:AJ$500),
  _xlfn.IFNA(_xlpm.result, "")
)</f>
        <v/>
      </c>
      <c r="AL111" t="str">
        <f>_xlfn.LET(
  _xlpm.result, _xlfn.XLOOKUP($B111, Result_Database!$A$2:$A$500, Result_Database!AK$2:AK$500),
  _xlfn.IFNA(_xlpm.result, "")
)</f>
        <v/>
      </c>
      <c r="AM11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1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1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1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1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1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1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1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1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11" t="str">
        <f>IF(SUM(Table5[[#This Row],[A1]:[C6]])&lt;&gt;0,SUM(Table5[[#This Row],[A1]:[C6]]),"")</f>
        <v/>
      </c>
      <c r="AW111" t="str">
        <f>IF(SUM(Table5[[#This Row],[D7]:[F9]])=0,"",SUM(Table5[[#This Row],[D7]:[F9]]))</f>
        <v/>
      </c>
      <c r="AX11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1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1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1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1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1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11" t="str">
        <f>IF(COUNTIF(Table5[[#This Row],[English Language]:[Electrical/ Electronics]],"WITHHELD")=0,"",COUNTIF(Table5[[#This Row],[English Language]:[Electrical/ Electronics]],"WITHHELD"))</f>
        <v/>
      </c>
      <c r="BE111" t="str">
        <f>IF(SUM(Table5[[#This Row],[NO OF CREDITS]:[BELOW CREDITS]])=0,"",SUM(Table5[[#This Row],[NO OF CREDITS]:[BELOW CREDITS]]))</f>
        <v/>
      </c>
    </row>
    <row r="112" spans="1:57" x14ac:dyDescent="0.3">
      <c r="A112" t="str">
        <f>IF(B112&lt;&gt;"",COUNTA($B$6:B112),"")</f>
        <v/>
      </c>
      <c r="B112" t="str">
        <f>IF(Result_Database!A108="","",Result_Database!A108)</f>
        <v/>
      </c>
      <c r="C112" t="str">
        <f>_xlfn.LET(
_xlpm.result,_xlfn.XLOOKUP($B112,Result_Database!$A$2:$A$500,Result_Database!$B$2:$B$500),
_xlfn.IFNA(_xlpm.result,"")
)</f>
        <v/>
      </c>
      <c r="D112" t="str">
        <f>_xlfn.LET(
  _xlpm.result, _xlfn.XLOOKUP($B112, Result_Database!$A$2:$A$500, Result_Database!C$2:C$500),
  _xlfn.IFNA(_xlpm.result, "")
)</f>
        <v/>
      </c>
      <c r="E112" t="str">
        <f>_xlfn.LET(
  _xlpm.result, _xlfn.XLOOKUP($B112, Result_Database!$A$2:$A$500, Result_Database!D$2:D$500),
  _xlfn.IFNA(_xlpm.result, "")
)</f>
        <v/>
      </c>
      <c r="F112" t="str">
        <f>_xlfn.LET(
  _xlpm.result, _xlfn.XLOOKUP($B112, Result_Database!$A$2:$A$500, Result_Database!E$2:E$500),
  _xlfn.IFNA(_xlpm.result, "")
)</f>
        <v/>
      </c>
      <c r="G112" t="str">
        <f>_xlfn.LET(
  _xlpm.result, _xlfn.XLOOKUP($B112, Result_Database!$A$2:$A$500, Result_Database!F$2:F$500),
  _xlfn.IFNA(_xlpm.result, "")
)</f>
        <v/>
      </c>
      <c r="H112" t="str">
        <f>_xlfn.LET(
  _xlpm.result, _xlfn.XLOOKUP($B112, Result_Database!$A$2:$A$500, Result_Database!G$2:G$500),
  _xlfn.IFNA(_xlpm.result, "")
)</f>
        <v/>
      </c>
      <c r="I112" t="str">
        <f>_xlfn.LET(
  _xlpm.result, _xlfn.XLOOKUP($B112, Result_Database!$A$2:$A$500, Result_Database!H$2:H$500),
  _xlfn.IFNA(_xlpm.result, "")
)</f>
        <v/>
      </c>
      <c r="J112" t="str">
        <f>_xlfn.LET(
  _xlpm.result, _xlfn.XLOOKUP($B112, Result_Database!$A$2:$A$500, Result_Database!I$2:I$500),
  _xlfn.IFNA(_xlpm.result, "")
)</f>
        <v/>
      </c>
      <c r="K112" t="str">
        <f>_xlfn.LET(
  _xlpm.result, _xlfn.XLOOKUP($B112, Result_Database!$A$2:$A$500, Result_Database!J$2:J$500),
  _xlfn.IFNA(_xlpm.result, "")
)</f>
        <v/>
      </c>
      <c r="L112" t="str">
        <f>_xlfn.LET(
  _xlpm.result, _xlfn.XLOOKUP($B112, Result_Database!$A$2:$A$500, Result_Database!K$2:K$500),
  _xlfn.IFNA(_xlpm.result, "")
)</f>
        <v/>
      </c>
      <c r="M112" t="str">
        <f>_xlfn.LET(
  _xlpm.result, _xlfn.XLOOKUP($B112, Result_Database!$A$2:$A$500, Result_Database!L$2:L$500),
  _xlfn.IFNA(_xlpm.result, "")
)</f>
        <v/>
      </c>
      <c r="N112" t="str">
        <f>_xlfn.LET(
  _xlpm.result, _xlfn.XLOOKUP($B112, Result_Database!$A$2:$A$500, Result_Database!M$2:M$500),
  _xlfn.IFNA(_xlpm.result, "")
)</f>
        <v/>
      </c>
      <c r="O112" t="str">
        <f>_xlfn.LET(
  _xlpm.result, _xlfn.XLOOKUP($B112, Result_Database!$A$2:$A$500, Result_Database!N$2:N$500),
  _xlfn.IFNA(_xlpm.result, "")
)</f>
        <v/>
      </c>
      <c r="P112" t="str">
        <f>_xlfn.LET(
  _xlpm.result, _xlfn.XLOOKUP($B112, Result_Database!$A$2:$A$500, Result_Database!O$2:O$500),
  _xlfn.IFNA(_xlpm.result, "")
)</f>
        <v/>
      </c>
      <c r="Q112" t="str">
        <f>_xlfn.LET(
  _xlpm.result, _xlfn.XLOOKUP($B112, Result_Database!$A$2:$A$500, Result_Database!P$2:P$500),
  _xlfn.IFNA(_xlpm.result, "")
)</f>
        <v/>
      </c>
      <c r="R112" t="str">
        <f>_xlfn.LET(
  _xlpm.result, _xlfn.XLOOKUP($B112, Result_Database!$A$2:$A$500, Result_Database!Q$2:Q$500),
  _xlfn.IFNA(_xlpm.result, "")
)</f>
        <v/>
      </c>
      <c r="S112" t="str">
        <f>_xlfn.LET(
  _xlpm.result, _xlfn.XLOOKUP($B112, Result_Database!$A$2:$A$500, Result_Database!R$2:R$500),
  _xlfn.IFNA(_xlpm.result, "")
)</f>
        <v/>
      </c>
      <c r="T112" t="str">
        <f>_xlfn.LET(
  _xlpm.result, _xlfn.XLOOKUP($B112, Result_Database!$A$2:$A$500, Result_Database!S$2:S$500),
  _xlfn.IFNA(_xlpm.result, "")
)</f>
        <v/>
      </c>
      <c r="U112" t="str">
        <f>_xlfn.LET(
  _xlpm.result, _xlfn.XLOOKUP($B112, Result_Database!$A$2:$A$500, Result_Database!T$2:T$500),
  _xlfn.IFNA(_xlpm.result, "")
)</f>
        <v/>
      </c>
      <c r="V112" t="str">
        <f>_xlfn.LET(
  _xlpm.result, _xlfn.XLOOKUP($B112, Result_Database!$A$2:$A$500, Result_Database!U$2:U$500),
  _xlfn.IFNA(_xlpm.result, "")
)</f>
        <v/>
      </c>
      <c r="W112" t="str">
        <f>_xlfn.LET(
  _xlpm.result, _xlfn.XLOOKUP($B112, Result_Database!$A$2:$A$500, Result_Database!V$2:V$500),
  _xlfn.IFNA(_xlpm.result, "")
)</f>
        <v/>
      </c>
      <c r="X112" t="str">
        <f>_xlfn.LET(
  _xlpm.result, _xlfn.XLOOKUP($B112, Result_Database!$A$2:$A$500, Result_Database!W$2:W$500),
  _xlfn.IFNA(_xlpm.result, "")
)</f>
        <v/>
      </c>
      <c r="Y112" t="str">
        <f>_xlfn.LET(
  _xlpm.result, _xlfn.XLOOKUP($B112, Result_Database!$A$2:$A$500, Result_Database!X$2:X$500),
  _xlfn.IFNA(_xlpm.result, "")
)</f>
        <v/>
      </c>
      <c r="Z112" t="str">
        <f>_xlfn.LET(
  _xlpm.result, _xlfn.XLOOKUP($B112, Result_Database!$A$2:$A$500, Result_Database!Y$2:Y$500),
  _xlfn.IFNA(_xlpm.result, "")
)</f>
        <v/>
      </c>
      <c r="AA112" t="str">
        <f>_xlfn.LET(
  _xlpm.result, _xlfn.XLOOKUP($B112, Result_Database!$A$2:$A$500, Result_Database!Z$2:Z$500),
  _xlfn.IFNA(_xlpm.result, "")
)</f>
        <v/>
      </c>
      <c r="AB112" t="str">
        <f>_xlfn.LET(
  _xlpm.result, _xlfn.XLOOKUP($B112, Result_Database!$A$2:$A$500, Result_Database!AA$2:AA$500),
  _xlfn.IFNA(_xlpm.result, "")
)</f>
        <v/>
      </c>
      <c r="AC112" t="str">
        <f>_xlfn.LET(
  _xlpm.result, _xlfn.XLOOKUP($B112, Result_Database!$A$2:$A$500, Result_Database!AB$2:AB$500),
  _xlfn.IFNA(_xlpm.result, "")
)</f>
        <v/>
      </c>
      <c r="AD112" t="str">
        <f>_xlfn.LET(
  _xlpm.result, _xlfn.XLOOKUP($B112, Result_Database!$A$2:$A$500, Result_Database!AC$2:AC$500),
  _xlfn.IFNA(_xlpm.result, "")
)</f>
        <v/>
      </c>
      <c r="AE112" t="str">
        <f>_xlfn.LET(
  _xlpm.result, _xlfn.XLOOKUP($B112, Result_Database!$A$2:$A$500, Result_Database!AD$2:AD$500),
  _xlfn.IFNA(_xlpm.result, "")
)</f>
        <v/>
      </c>
      <c r="AF112" t="str">
        <f>_xlfn.LET(
  _xlpm.result, _xlfn.XLOOKUP($B112, Result_Database!$A$2:$A$500, Result_Database!AE$2:AE$500),
  _xlfn.IFNA(_xlpm.result, "")
)</f>
        <v/>
      </c>
      <c r="AG112" t="str">
        <f>_xlfn.LET(
  _xlpm.result, _xlfn.XLOOKUP($B112, Result_Database!$A$2:$A$500, Result_Database!AF$2:AF$500),
  _xlfn.IFNA(_xlpm.result, "")
)</f>
        <v/>
      </c>
      <c r="AH112" t="str">
        <f>_xlfn.LET(
  _xlpm.result, _xlfn.XLOOKUP($B112, Result_Database!$A$2:$A$500, Result_Database!AG$2:AG$500),
  _xlfn.IFNA(_xlpm.result, "")
)</f>
        <v/>
      </c>
      <c r="AI112" t="str">
        <f>_xlfn.LET(
  _xlpm.result, _xlfn.XLOOKUP($B112, Result_Database!$A$2:$A$500, Result_Database!AH$2:AH$500),
  _xlfn.IFNA(_xlpm.result, "")
)</f>
        <v/>
      </c>
      <c r="AJ112" t="str">
        <f>_xlfn.LET(
  _xlpm.result, _xlfn.XLOOKUP($B112, Result_Database!$A$2:$A$500, Result_Database!AI$2:AI$500),
  _xlfn.IFNA(_xlpm.result, "")
)</f>
        <v/>
      </c>
      <c r="AK112" t="str">
        <f>_xlfn.LET(
  _xlpm.result, _xlfn.XLOOKUP($B112, Result_Database!$A$2:$A$500, Result_Database!AJ$2:AJ$500),
  _xlfn.IFNA(_xlpm.result, "")
)</f>
        <v/>
      </c>
      <c r="AL112" t="str">
        <f>_xlfn.LET(
  _xlpm.result, _xlfn.XLOOKUP($B112, Result_Database!$A$2:$A$500, Result_Database!AK$2:AK$500),
  _xlfn.IFNA(_xlpm.result, "")
)</f>
        <v/>
      </c>
      <c r="AM11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1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1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1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1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1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1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1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1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12" t="str">
        <f>IF(SUM(Table5[[#This Row],[A1]:[C6]])&lt;&gt;0,SUM(Table5[[#This Row],[A1]:[C6]]),"")</f>
        <v/>
      </c>
      <c r="AW112" t="str">
        <f>IF(SUM(Table5[[#This Row],[D7]:[F9]])=0,"",SUM(Table5[[#This Row],[D7]:[F9]]))</f>
        <v/>
      </c>
      <c r="AX11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1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1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1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1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1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12" t="str">
        <f>IF(COUNTIF(Table5[[#This Row],[English Language]:[Electrical/ Electronics]],"WITHHELD")=0,"",COUNTIF(Table5[[#This Row],[English Language]:[Electrical/ Electronics]],"WITHHELD"))</f>
        <v/>
      </c>
      <c r="BE112" t="str">
        <f>IF(SUM(Table5[[#This Row],[NO OF CREDITS]:[BELOW CREDITS]])=0,"",SUM(Table5[[#This Row],[NO OF CREDITS]:[BELOW CREDITS]]))</f>
        <v/>
      </c>
    </row>
    <row r="113" spans="1:57" x14ac:dyDescent="0.3">
      <c r="A113" t="str">
        <f>IF(B113&lt;&gt;"",COUNTA($B$6:B113),"")</f>
        <v/>
      </c>
      <c r="B113" t="str">
        <f>IF(Result_Database!A109="","",Result_Database!A109)</f>
        <v/>
      </c>
      <c r="C113" t="str">
        <f>_xlfn.LET(
_xlpm.result,_xlfn.XLOOKUP($B113,Result_Database!$A$2:$A$500,Result_Database!$B$2:$B$500),
_xlfn.IFNA(_xlpm.result,"")
)</f>
        <v/>
      </c>
      <c r="D113" t="str">
        <f>_xlfn.LET(
  _xlpm.result, _xlfn.XLOOKUP($B113, Result_Database!$A$2:$A$500, Result_Database!C$2:C$500),
  _xlfn.IFNA(_xlpm.result, "")
)</f>
        <v/>
      </c>
      <c r="E113" t="str">
        <f>_xlfn.LET(
  _xlpm.result, _xlfn.XLOOKUP($B113, Result_Database!$A$2:$A$500, Result_Database!D$2:D$500),
  _xlfn.IFNA(_xlpm.result, "")
)</f>
        <v/>
      </c>
      <c r="F113" t="str">
        <f>_xlfn.LET(
  _xlpm.result, _xlfn.XLOOKUP($B113, Result_Database!$A$2:$A$500, Result_Database!E$2:E$500),
  _xlfn.IFNA(_xlpm.result, "")
)</f>
        <v/>
      </c>
      <c r="G113" t="str">
        <f>_xlfn.LET(
  _xlpm.result, _xlfn.XLOOKUP($B113, Result_Database!$A$2:$A$500, Result_Database!F$2:F$500),
  _xlfn.IFNA(_xlpm.result, "")
)</f>
        <v/>
      </c>
      <c r="H113" t="str">
        <f>_xlfn.LET(
  _xlpm.result, _xlfn.XLOOKUP($B113, Result_Database!$A$2:$A$500, Result_Database!G$2:G$500),
  _xlfn.IFNA(_xlpm.result, "")
)</f>
        <v/>
      </c>
      <c r="I113" t="str">
        <f>_xlfn.LET(
  _xlpm.result, _xlfn.XLOOKUP($B113, Result_Database!$A$2:$A$500, Result_Database!H$2:H$500),
  _xlfn.IFNA(_xlpm.result, "")
)</f>
        <v/>
      </c>
      <c r="J113" t="str">
        <f>_xlfn.LET(
  _xlpm.result, _xlfn.XLOOKUP($B113, Result_Database!$A$2:$A$500, Result_Database!I$2:I$500),
  _xlfn.IFNA(_xlpm.result, "")
)</f>
        <v/>
      </c>
      <c r="K113" t="str">
        <f>_xlfn.LET(
  _xlpm.result, _xlfn.XLOOKUP($B113, Result_Database!$A$2:$A$500, Result_Database!J$2:J$500),
  _xlfn.IFNA(_xlpm.result, "")
)</f>
        <v/>
      </c>
      <c r="L113" t="str">
        <f>_xlfn.LET(
  _xlpm.result, _xlfn.XLOOKUP($B113, Result_Database!$A$2:$A$500, Result_Database!K$2:K$500),
  _xlfn.IFNA(_xlpm.result, "")
)</f>
        <v/>
      </c>
      <c r="M113" t="str">
        <f>_xlfn.LET(
  _xlpm.result, _xlfn.XLOOKUP($B113, Result_Database!$A$2:$A$500, Result_Database!L$2:L$500),
  _xlfn.IFNA(_xlpm.result, "")
)</f>
        <v/>
      </c>
      <c r="N113" t="str">
        <f>_xlfn.LET(
  _xlpm.result, _xlfn.XLOOKUP($B113, Result_Database!$A$2:$A$500, Result_Database!M$2:M$500),
  _xlfn.IFNA(_xlpm.result, "")
)</f>
        <v/>
      </c>
      <c r="O113" t="str">
        <f>_xlfn.LET(
  _xlpm.result, _xlfn.XLOOKUP($B113, Result_Database!$A$2:$A$500, Result_Database!N$2:N$500),
  _xlfn.IFNA(_xlpm.result, "")
)</f>
        <v/>
      </c>
      <c r="P113" t="str">
        <f>_xlfn.LET(
  _xlpm.result, _xlfn.XLOOKUP($B113, Result_Database!$A$2:$A$500, Result_Database!O$2:O$500),
  _xlfn.IFNA(_xlpm.result, "")
)</f>
        <v/>
      </c>
      <c r="Q113" t="str">
        <f>_xlfn.LET(
  _xlpm.result, _xlfn.XLOOKUP($B113, Result_Database!$A$2:$A$500, Result_Database!P$2:P$500),
  _xlfn.IFNA(_xlpm.result, "")
)</f>
        <v/>
      </c>
      <c r="R113" t="str">
        <f>_xlfn.LET(
  _xlpm.result, _xlfn.XLOOKUP($B113, Result_Database!$A$2:$A$500, Result_Database!Q$2:Q$500),
  _xlfn.IFNA(_xlpm.result, "")
)</f>
        <v/>
      </c>
      <c r="S113" t="str">
        <f>_xlfn.LET(
  _xlpm.result, _xlfn.XLOOKUP($B113, Result_Database!$A$2:$A$500, Result_Database!R$2:R$500),
  _xlfn.IFNA(_xlpm.result, "")
)</f>
        <v/>
      </c>
      <c r="T113" t="str">
        <f>_xlfn.LET(
  _xlpm.result, _xlfn.XLOOKUP($B113, Result_Database!$A$2:$A$500, Result_Database!S$2:S$500),
  _xlfn.IFNA(_xlpm.result, "")
)</f>
        <v/>
      </c>
      <c r="U113" t="str">
        <f>_xlfn.LET(
  _xlpm.result, _xlfn.XLOOKUP($B113, Result_Database!$A$2:$A$500, Result_Database!T$2:T$500),
  _xlfn.IFNA(_xlpm.result, "")
)</f>
        <v/>
      </c>
      <c r="V113" t="str">
        <f>_xlfn.LET(
  _xlpm.result, _xlfn.XLOOKUP($B113, Result_Database!$A$2:$A$500, Result_Database!U$2:U$500),
  _xlfn.IFNA(_xlpm.result, "")
)</f>
        <v/>
      </c>
      <c r="W113" t="str">
        <f>_xlfn.LET(
  _xlpm.result, _xlfn.XLOOKUP($B113, Result_Database!$A$2:$A$500, Result_Database!V$2:V$500),
  _xlfn.IFNA(_xlpm.result, "")
)</f>
        <v/>
      </c>
      <c r="X113" t="str">
        <f>_xlfn.LET(
  _xlpm.result, _xlfn.XLOOKUP($B113, Result_Database!$A$2:$A$500, Result_Database!W$2:W$500),
  _xlfn.IFNA(_xlpm.result, "")
)</f>
        <v/>
      </c>
      <c r="Y113" t="str">
        <f>_xlfn.LET(
  _xlpm.result, _xlfn.XLOOKUP($B113, Result_Database!$A$2:$A$500, Result_Database!X$2:X$500),
  _xlfn.IFNA(_xlpm.result, "")
)</f>
        <v/>
      </c>
      <c r="Z113" t="str">
        <f>_xlfn.LET(
  _xlpm.result, _xlfn.XLOOKUP($B113, Result_Database!$A$2:$A$500, Result_Database!Y$2:Y$500),
  _xlfn.IFNA(_xlpm.result, "")
)</f>
        <v/>
      </c>
      <c r="AA113" t="str">
        <f>_xlfn.LET(
  _xlpm.result, _xlfn.XLOOKUP($B113, Result_Database!$A$2:$A$500, Result_Database!Z$2:Z$500),
  _xlfn.IFNA(_xlpm.result, "")
)</f>
        <v/>
      </c>
      <c r="AB113" t="str">
        <f>_xlfn.LET(
  _xlpm.result, _xlfn.XLOOKUP($B113, Result_Database!$A$2:$A$500, Result_Database!AA$2:AA$500),
  _xlfn.IFNA(_xlpm.result, "")
)</f>
        <v/>
      </c>
      <c r="AC113" t="str">
        <f>_xlfn.LET(
  _xlpm.result, _xlfn.XLOOKUP($B113, Result_Database!$A$2:$A$500, Result_Database!AB$2:AB$500),
  _xlfn.IFNA(_xlpm.result, "")
)</f>
        <v/>
      </c>
      <c r="AD113" t="str">
        <f>_xlfn.LET(
  _xlpm.result, _xlfn.XLOOKUP($B113, Result_Database!$A$2:$A$500, Result_Database!AC$2:AC$500),
  _xlfn.IFNA(_xlpm.result, "")
)</f>
        <v/>
      </c>
      <c r="AE113" t="str">
        <f>_xlfn.LET(
  _xlpm.result, _xlfn.XLOOKUP($B113, Result_Database!$A$2:$A$500, Result_Database!AD$2:AD$500),
  _xlfn.IFNA(_xlpm.result, "")
)</f>
        <v/>
      </c>
      <c r="AF113" t="str">
        <f>_xlfn.LET(
  _xlpm.result, _xlfn.XLOOKUP($B113, Result_Database!$A$2:$A$500, Result_Database!AE$2:AE$500),
  _xlfn.IFNA(_xlpm.result, "")
)</f>
        <v/>
      </c>
      <c r="AG113" t="str">
        <f>_xlfn.LET(
  _xlpm.result, _xlfn.XLOOKUP($B113, Result_Database!$A$2:$A$500, Result_Database!AF$2:AF$500),
  _xlfn.IFNA(_xlpm.result, "")
)</f>
        <v/>
      </c>
      <c r="AH113" t="str">
        <f>_xlfn.LET(
  _xlpm.result, _xlfn.XLOOKUP($B113, Result_Database!$A$2:$A$500, Result_Database!AG$2:AG$500),
  _xlfn.IFNA(_xlpm.result, "")
)</f>
        <v/>
      </c>
      <c r="AI113" t="str">
        <f>_xlfn.LET(
  _xlpm.result, _xlfn.XLOOKUP($B113, Result_Database!$A$2:$A$500, Result_Database!AH$2:AH$500),
  _xlfn.IFNA(_xlpm.result, "")
)</f>
        <v/>
      </c>
      <c r="AJ113" t="str">
        <f>_xlfn.LET(
  _xlpm.result, _xlfn.XLOOKUP($B113, Result_Database!$A$2:$A$500, Result_Database!AI$2:AI$500),
  _xlfn.IFNA(_xlpm.result, "")
)</f>
        <v/>
      </c>
      <c r="AK113" t="str">
        <f>_xlfn.LET(
  _xlpm.result, _xlfn.XLOOKUP($B113, Result_Database!$A$2:$A$500, Result_Database!AJ$2:AJ$500),
  _xlfn.IFNA(_xlpm.result, "")
)</f>
        <v/>
      </c>
      <c r="AL113" t="str">
        <f>_xlfn.LET(
  _xlpm.result, _xlfn.XLOOKUP($B113, Result_Database!$A$2:$A$500, Result_Database!AK$2:AK$500),
  _xlfn.IFNA(_xlpm.result, "")
)</f>
        <v/>
      </c>
      <c r="AM11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1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1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1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1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1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1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1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1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13" t="str">
        <f>IF(SUM(Table5[[#This Row],[A1]:[C6]])&lt;&gt;0,SUM(Table5[[#This Row],[A1]:[C6]]),"")</f>
        <v/>
      </c>
      <c r="AW113" t="str">
        <f>IF(SUM(Table5[[#This Row],[D7]:[F9]])=0,"",SUM(Table5[[#This Row],[D7]:[F9]]))</f>
        <v/>
      </c>
      <c r="AX11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1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1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1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1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1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13" t="str">
        <f>IF(COUNTIF(Table5[[#This Row],[English Language]:[Electrical/ Electronics]],"WITHHELD")=0,"",COUNTIF(Table5[[#This Row],[English Language]:[Electrical/ Electronics]],"WITHHELD"))</f>
        <v/>
      </c>
      <c r="BE113" t="str">
        <f>IF(SUM(Table5[[#This Row],[NO OF CREDITS]:[BELOW CREDITS]])=0,"",SUM(Table5[[#This Row],[NO OF CREDITS]:[BELOW CREDITS]]))</f>
        <v/>
      </c>
    </row>
    <row r="114" spans="1:57" x14ac:dyDescent="0.3">
      <c r="A114" t="str">
        <f>IF(B114&lt;&gt;"",COUNTA($B$6:B114),"")</f>
        <v/>
      </c>
      <c r="B114" t="str">
        <f>IF(Result_Database!A110="","",Result_Database!A110)</f>
        <v/>
      </c>
      <c r="C114" t="str">
        <f>_xlfn.LET(
_xlpm.result,_xlfn.XLOOKUP($B114,Result_Database!$A$2:$A$500,Result_Database!$B$2:$B$500),
_xlfn.IFNA(_xlpm.result,"")
)</f>
        <v/>
      </c>
      <c r="D114" t="str">
        <f>_xlfn.LET(
  _xlpm.result, _xlfn.XLOOKUP($B114, Result_Database!$A$2:$A$500, Result_Database!C$2:C$500),
  _xlfn.IFNA(_xlpm.result, "")
)</f>
        <v/>
      </c>
      <c r="E114" t="str">
        <f>_xlfn.LET(
  _xlpm.result, _xlfn.XLOOKUP($B114, Result_Database!$A$2:$A$500, Result_Database!D$2:D$500),
  _xlfn.IFNA(_xlpm.result, "")
)</f>
        <v/>
      </c>
      <c r="F114" t="str">
        <f>_xlfn.LET(
  _xlpm.result, _xlfn.XLOOKUP($B114, Result_Database!$A$2:$A$500, Result_Database!E$2:E$500),
  _xlfn.IFNA(_xlpm.result, "")
)</f>
        <v/>
      </c>
      <c r="G114" t="str">
        <f>_xlfn.LET(
  _xlpm.result, _xlfn.XLOOKUP($B114, Result_Database!$A$2:$A$500, Result_Database!F$2:F$500),
  _xlfn.IFNA(_xlpm.result, "")
)</f>
        <v/>
      </c>
      <c r="H114" t="str">
        <f>_xlfn.LET(
  _xlpm.result, _xlfn.XLOOKUP($B114, Result_Database!$A$2:$A$500, Result_Database!G$2:G$500),
  _xlfn.IFNA(_xlpm.result, "")
)</f>
        <v/>
      </c>
      <c r="I114" t="str">
        <f>_xlfn.LET(
  _xlpm.result, _xlfn.XLOOKUP($B114, Result_Database!$A$2:$A$500, Result_Database!H$2:H$500),
  _xlfn.IFNA(_xlpm.result, "")
)</f>
        <v/>
      </c>
      <c r="J114" t="str">
        <f>_xlfn.LET(
  _xlpm.result, _xlfn.XLOOKUP($B114, Result_Database!$A$2:$A$500, Result_Database!I$2:I$500),
  _xlfn.IFNA(_xlpm.result, "")
)</f>
        <v/>
      </c>
      <c r="K114" t="str">
        <f>_xlfn.LET(
  _xlpm.result, _xlfn.XLOOKUP($B114, Result_Database!$A$2:$A$500, Result_Database!J$2:J$500),
  _xlfn.IFNA(_xlpm.result, "")
)</f>
        <v/>
      </c>
      <c r="L114" t="str">
        <f>_xlfn.LET(
  _xlpm.result, _xlfn.XLOOKUP($B114, Result_Database!$A$2:$A$500, Result_Database!K$2:K$500),
  _xlfn.IFNA(_xlpm.result, "")
)</f>
        <v/>
      </c>
      <c r="M114" t="str">
        <f>_xlfn.LET(
  _xlpm.result, _xlfn.XLOOKUP($B114, Result_Database!$A$2:$A$500, Result_Database!L$2:L$500),
  _xlfn.IFNA(_xlpm.result, "")
)</f>
        <v/>
      </c>
      <c r="N114" t="str">
        <f>_xlfn.LET(
  _xlpm.result, _xlfn.XLOOKUP($B114, Result_Database!$A$2:$A$500, Result_Database!M$2:M$500),
  _xlfn.IFNA(_xlpm.result, "")
)</f>
        <v/>
      </c>
      <c r="O114" t="str">
        <f>_xlfn.LET(
  _xlpm.result, _xlfn.XLOOKUP($B114, Result_Database!$A$2:$A$500, Result_Database!N$2:N$500),
  _xlfn.IFNA(_xlpm.result, "")
)</f>
        <v/>
      </c>
      <c r="P114" t="str">
        <f>_xlfn.LET(
  _xlpm.result, _xlfn.XLOOKUP($B114, Result_Database!$A$2:$A$500, Result_Database!O$2:O$500),
  _xlfn.IFNA(_xlpm.result, "")
)</f>
        <v/>
      </c>
      <c r="Q114" t="str">
        <f>_xlfn.LET(
  _xlpm.result, _xlfn.XLOOKUP($B114, Result_Database!$A$2:$A$500, Result_Database!P$2:P$500),
  _xlfn.IFNA(_xlpm.result, "")
)</f>
        <v/>
      </c>
      <c r="R114" t="str">
        <f>_xlfn.LET(
  _xlpm.result, _xlfn.XLOOKUP($B114, Result_Database!$A$2:$A$500, Result_Database!Q$2:Q$500),
  _xlfn.IFNA(_xlpm.result, "")
)</f>
        <v/>
      </c>
      <c r="S114" t="str">
        <f>_xlfn.LET(
  _xlpm.result, _xlfn.XLOOKUP($B114, Result_Database!$A$2:$A$500, Result_Database!R$2:R$500),
  _xlfn.IFNA(_xlpm.result, "")
)</f>
        <v/>
      </c>
      <c r="T114" t="str">
        <f>_xlfn.LET(
  _xlpm.result, _xlfn.XLOOKUP($B114, Result_Database!$A$2:$A$500, Result_Database!S$2:S$500),
  _xlfn.IFNA(_xlpm.result, "")
)</f>
        <v/>
      </c>
      <c r="U114" t="str">
        <f>_xlfn.LET(
  _xlpm.result, _xlfn.XLOOKUP($B114, Result_Database!$A$2:$A$500, Result_Database!T$2:T$500),
  _xlfn.IFNA(_xlpm.result, "")
)</f>
        <v/>
      </c>
      <c r="V114" t="str">
        <f>_xlfn.LET(
  _xlpm.result, _xlfn.XLOOKUP($B114, Result_Database!$A$2:$A$500, Result_Database!U$2:U$500),
  _xlfn.IFNA(_xlpm.result, "")
)</f>
        <v/>
      </c>
      <c r="W114" t="str">
        <f>_xlfn.LET(
  _xlpm.result, _xlfn.XLOOKUP($B114, Result_Database!$A$2:$A$500, Result_Database!V$2:V$500),
  _xlfn.IFNA(_xlpm.result, "")
)</f>
        <v/>
      </c>
      <c r="X114" t="str">
        <f>_xlfn.LET(
  _xlpm.result, _xlfn.XLOOKUP($B114, Result_Database!$A$2:$A$500, Result_Database!W$2:W$500),
  _xlfn.IFNA(_xlpm.result, "")
)</f>
        <v/>
      </c>
      <c r="Y114" t="str">
        <f>_xlfn.LET(
  _xlpm.result, _xlfn.XLOOKUP($B114, Result_Database!$A$2:$A$500, Result_Database!X$2:X$500),
  _xlfn.IFNA(_xlpm.result, "")
)</f>
        <v/>
      </c>
      <c r="Z114" t="str">
        <f>_xlfn.LET(
  _xlpm.result, _xlfn.XLOOKUP($B114, Result_Database!$A$2:$A$500, Result_Database!Y$2:Y$500),
  _xlfn.IFNA(_xlpm.result, "")
)</f>
        <v/>
      </c>
      <c r="AA114" t="str">
        <f>_xlfn.LET(
  _xlpm.result, _xlfn.XLOOKUP($B114, Result_Database!$A$2:$A$500, Result_Database!Z$2:Z$500),
  _xlfn.IFNA(_xlpm.result, "")
)</f>
        <v/>
      </c>
      <c r="AB114" t="str">
        <f>_xlfn.LET(
  _xlpm.result, _xlfn.XLOOKUP($B114, Result_Database!$A$2:$A$500, Result_Database!AA$2:AA$500),
  _xlfn.IFNA(_xlpm.result, "")
)</f>
        <v/>
      </c>
      <c r="AC114" t="str">
        <f>_xlfn.LET(
  _xlpm.result, _xlfn.XLOOKUP($B114, Result_Database!$A$2:$A$500, Result_Database!AB$2:AB$500),
  _xlfn.IFNA(_xlpm.result, "")
)</f>
        <v/>
      </c>
      <c r="AD114" t="str">
        <f>_xlfn.LET(
  _xlpm.result, _xlfn.XLOOKUP($B114, Result_Database!$A$2:$A$500, Result_Database!AC$2:AC$500),
  _xlfn.IFNA(_xlpm.result, "")
)</f>
        <v/>
      </c>
      <c r="AE114" t="str">
        <f>_xlfn.LET(
  _xlpm.result, _xlfn.XLOOKUP($B114, Result_Database!$A$2:$A$500, Result_Database!AD$2:AD$500),
  _xlfn.IFNA(_xlpm.result, "")
)</f>
        <v/>
      </c>
      <c r="AF114" t="str">
        <f>_xlfn.LET(
  _xlpm.result, _xlfn.XLOOKUP($B114, Result_Database!$A$2:$A$500, Result_Database!AE$2:AE$500),
  _xlfn.IFNA(_xlpm.result, "")
)</f>
        <v/>
      </c>
      <c r="AG114" t="str">
        <f>_xlfn.LET(
  _xlpm.result, _xlfn.XLOOKUP($B114, Result_Database!$A$2:$A$500, Result_Database!AF$2:AF$500),
  _xlfn.IFNA(_xlpm.result, "")
)</f>
        <v/>
      </c>
      <c r="AH114" t="str">
        <f>_xlfn.LET(
  _xlpm.result, _xlfn.XLOOKUP($B114, Result_Database!$A$2:$A$500, Result_Database!AG$2:AG$500),
  _xlfn.IFNA(_xlpm.result, "")
)</f>
        <v/>
      </c>
      <c r="AI114" t="str">
        <f>_xlfn.LET(
  _xlpm.result, _xlfn.XLOOKUP($B114, Result_Database!$A$2:$A$500, Result_Database!AH$2:AH$500),
  _xlfn.IFNA(_xlpm.result, "")
)</f>
        <v/>
      </c>
      <c r="AJ114" t="str">
        <f>_xlfn.LET(
  _xlpm.result, _xlfn.XLOOKUP($B114, Result_Database!$A$2:$A$500, Result_Database!AI$2:AI$500),
  _xlfn.IFNA(_xlpm.result, "")
)</f>
        <v/>
      </c>
      <c r="AK114" t="str">
        <f>_xlfn.LET(
  _xlpm.result, _xlfn.XLOOKUP($B114, Result_Database!$A$2:$A$500, Result_Database!AJ$2:AJ$500),
  _xlfn.IFNA(_xlpm.result, "")
)</f>
        <v/>
      </c>
      <c r="AL114" t="str">
        <f>_xlfn.LET(
  _xlpm.result, _xlfn.XLOOKUP($B114, Result_Database!$A$2:$A$500, Result_Database!AK$2:AK$500),
  _xlfn.IFNA(_xlpm.result, "")
)</f>
        <v/>
      </c>
      <c r="AM11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1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1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1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1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1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1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1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1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14" t="str">
        <f>IF(SUM(Table5[[#This Row],[A1]:[C6]])&lt;&gt;0,SUM(Table5[[#This Row],[A1]:[C6]]),"")</f>
        <v/>
      </c>
      <c r="AW114" t="str">
        <f>IF(SUM(Table5[[#This Row],[D7]:[F9]])=0,"",SUM(Table5[[#This Row],[D7]:[F9]]))</f>
        <v/>
      </c>
      <c r="AX11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1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1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1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1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1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14" t="str">
        <f>IF(COUNTIF(Table5[[#This Row],[English Language]:[Electrical/ Electronics]],"WITHHELD")=0,"",COUNTIF(Table5[[#This Row],[English Language]:[Electrical/ Electronics]],"WITHHELD"))</f>
        <v/>
      </c>
      <c r="BE114" t="str">
        <f>IF(SUM(Table5[[#This Row],[NO OF CREDITS]:[BELOW CREDITS]])=0,"",SUM(Table5[[#This Row],[NO OF CREDITS]:[BELOW CREDITS]]))</f>
        <v/>
      </c>
    </row>
    <row r="115" spans="1:57" x14ac:dyDescent="0.3">
      <c r="A115" t="str">
        <f>IF(B115&lt;&gt;"",COUNTA($B$6:B115),"")</f>
        <v/>
      </c>
      <c r="B115" t="str">
        <f>IF(Result_Database!A111="","",Result_Database!A111)</f>
        <v/>
      </c>
      <c r="C115" t="str">
        <f>_xlfn.LET(
_xlpm.result,_xlfn.XLOOKUP($B115,Result_Database!$A$2:$A$500,Result_Database!$B$2:$B$500),
_xlfn.IFNA(_xlpm.result,"")
)</f>
        <v/>
      </c>
      <c r="D115" t="str">
        <f>_xlfn.LET(
  _xlpm.result, _xlfn.XLOOKUP($B115, Result_Database!$A$2:$A$500, Result_Database!C$2:C$500),
  _xlfn.IFNA(_xlpm.result, "")
)</f>
        <v/>
      </c>
      <c r="E115" t="str">
        <f>_xlfn.LET(
  _xlpm.result, _xlfn.XLOOKUP($B115, Result_Database!$A$2:$A$500, Result_Database!D$2:D$500),
  _xlfn.IFNA(_xlpm.result, "")
)</f>
        <v/>
      </c>
      <c r="F115" t="str">
        <f>_xlfn.LET(
  _xlpm.result, _xlfn.XLOOKUP($B115, Result_Database!$A$2:$A$500, Result_Database!E$2:E$500),
  _xlfn.IFNA(_xlpm.result, "")
)</f>
        <v/>
      </c>
      <c r="G115" t="str">
        <f>_xlfn.LET(
  _xlpm.result, _xlfn.XLOOKUP($B115, Result_Database!$A$2:$A$500, Result_Database!F$2:F$500),
  _xlfn.IFNA(_xlpm.result, "")
)</f>
        <v/>
      </c>
      <c r="H115" t="str">
        <f>_xlfn.LET(
  _xlpm.result, _xlfn.XLOOKUP($B115, Result_Database!$A$2:$A$500, Result_Database!G$2:G$500),
  _xlfn.IFNA(_xlpm.result, "")
)</f>
        <v/>
      </c>
      <c r="I115" t="str">
        <f>_xlfn.LET(
  _xlpm.result, _xlfn.XLOOKUP($B115, Result_Database!$A$2:$A$500, Result_Database!H$2:H$500),
  _xlfn.IFNA(_xlpm.result, "")
)</f>
        <v/>
      </c>
      <c r="J115" t="str">
        <f>_xlfn.LET(
  _xlpm.result, _xlfn.XLOOKUP($B115, Result_Database!$A$2:$A$500, Result_Database!I$2:I$500),
  _xlfn.IFNA(_xlpm.result, "")
)</f>
        <v/>
      </c>
      <c r="K115" t="str">
        <f>_xlfn.LET(
  _xlpm.result, _xlfn.XLOOKUP($B115, Result_Database!$A$2:$A$500, Result_Database!J$2:J$500),
  _xlfn.IFNA(_xlpm.result, "")
)</f>
        <v/>
      </c>
      <c r="L115" t="str">
        <f>_xlfn.LET(
  _xlpm.result, _xlfn.XLOOKUP($B115, Result_Database!$A$2:$A$500, Result_Database!K$2:K$500),
  _xlfn.IFNA(_xlpm.result, "")
)</f>
        <v/>
      </c>
      <c r="M115" t="str">
        <f>_xlfn.LET(
  _xlpm.result, _xlfn.XLOOKUP($B115, Result_Database!$A$2:$A$500, Result_Database!L$2:L$500),
  _xlfn.IFNA(_xlpm.result, "")
)</f>
        <v/>
      </c>
      <c r="N115" t="str">
        <f>_xlfn.LET(
  _xlpm.result, _xlfn.XLOOKUP($B115, Result_Database!$A$2:$A$500, Result_Database!M$2:M$500),
  _xlfn.IFNA(_xlpm.result, "")
)</f>
        <v/>
      </c>
      <c r="O115" t="str">
        <f>_xlfn.LET(
  _xlpm.result, _xlfn.XLOOKUP($B115, Result_Database!$A$2:$A$500, Result_Database!N$2:N$500),
  _xlfn.IFNA(_xlpm.result, "")
)</f>
        <v/>
      </c>
      <c r="P115" t="str">
        <f>_xlfn.LET(
  _xlpm.result, _xlfn.XLOOKUP($B115, Result_Database!$A$2:$A$500, Result_Database!O$2:O$500),
  _xlfn.IFNA(_xlpm.result, "")
)</f>
        <v/>
      </c>
      <c r="Q115" t="str">
        <f>_xlfn.LET(
  _xlpm.result, _xlfn.XLOOKUP($B115, Result_Database!$A$2:$A$500, Result_Database!P$2:P$500),
  _xlfn.IFNA(_xlpm.result, "")
)</f>
        <v/>
      </c>
      <c r="R115" t="str">
        <f>_xlfn.LET(
  _xlpm.result, _xlfn.XLOOKUP($B115, Result_Database!$A$2:$A$500, Result_Database!Q$2:Q$500),
  _xlfn.IFNA(_xlpm.result, "")
)</f>
        <v/>
      </c>
      <c r="S115" t="str">
        <f>_xlfn.LET(
  _xlpm.result, _xlfn.XLOOKUP($B115, Result_Database!$A$2:$A$500, Result_Database!R$2:R$500),
  _xlfn.IFNA(_xlpm.result, "")
)</f>
        <v/>
      </c>
      <c r="T115" t="str">
        <f>_xlfn.LET(
  _xlpm.result, _xlfn.XLOOKUP($B115, Result_Database!$A$2:$A$500, Result_Database!S$2:S$500),
  _xlfn.IFNA(_xlpm.result, "")
)</f>
        <v/>
      </c>
      <c r="U115" t="str">
        <f>_xlfn.LET(
  _xlpm.result, _xlfn.XLOOKUP($B115, Result_Database!$A$2:$A$500, Result_Database!T$2:T$500),
  _xlfn.IFNA(_xlpm.result, "")
)</f>
        <v/>
      </c>
      <c r="V115" t="str">
        <f>_xlfn.LET(
  _xlpm.result, _xlfn.XLOOKUP($B115, Result_Database!$A$2:$A$500, Result_Database!U$2:U$500),
  _xlfn.IFNA(_xlpm.result, "")
)</f>
        <v/>
      </c>
      <c r="W115" t="str">
        <f>_xlfn.LET(
  _xlpm.result, _xlfn.XLOOKUP($B115, Result_Database!$A$2:$A$500, Result_Database!V$2:V$500),
  _xlfn.IFNA(_xlpm.result, "")
)</f>
        <v/>
      </c>
      <c r="X115" t="str">
        <f>_xlfn.LET(
  _xlpm.result, _xlfn.XLOOKUP($B115, Result_Database!$A$2:$A$500, Result_Database!W$2:W$500),
  _xlfn.IFNA(_xlpm.result, "")
)</f>
        <v/>
      </c>
      <c r="Y115" t="str">
        <f>_xlfn.LET(
  _xlpm.result, _xlfn.XLOOKUP($B115, Result_Database!$A$2:$A$500, Result_Database!X$2:X$500),
  _xlfn.IFNA(_xlpm.result, "")
)</f>
        <v/>
      </c>
      <c r="Z115" t="str">
        <f>_xlfn.LET(
  _xlpm.result, _xlfn.XLOOKUP($B115, Result_Database!$A$2:$A$500, Result_Database!Y$2:Y$500),
  _xlfn.IFNA(_xlpm.result, "")
)</f>
        <v/>
      </c>
      <c r="AA115" t="str">
        <f>_xlfn.LET(
  _xlpm.result, _xlfn.XLOOKUP($B115, Result_Database!$A$2:$A$500, Result_Database!Z$2:Z$500),
  _xlfn.IFNA(_xlpm.result, "")
)</f>
        <v/>
      </c>
      <c r="AB115" t="str">
        <f>_xlfn.LET(
  _xlpm.result, _xlfn.XLOOKUP($B115, Result_Database!$A$2:$A$500, Result_Database!AA$2:AA$500),
  _xlfn.IFNA(_xlpm.result, "")
)</f>
        <v/>
      </c>
      <c r="AC115" t="str">
        <f>_xlfn.LET(
  _xlpm.result, _xlfn.XLOOKUP($B115, Result_Database!$A$2:$A$500, Result_Database!AB$2:AB$500),
  _xlfn.IFNA(_xlpm.result, "")
)</f>
        <v/>
      </c>
      <c r="AD115" t="str">
        <f>_xlfn.LET(
  _xlpm.result, _xlfn.XLOOKUP($B115, Result_Database!$A$2:$A$500, Result_Database!AC$2:AC$500),
  _xlfn.IFNA(_xlpm.result, "")
)</f>
        <v/>
      </c>
      <c r="AE115" t="str">
        <f>_xlfn.LET(
  _xlpm.result, _xlfn.XLOOKUP($B115, Result_Database!$A$2:$A$500, Result_Database!AD$2:AD$500),
  _xlfn.IFNA(_xlpm.result, "")
)</f>
        <v/>
      </c>
      <c r="AF115" t="str">
        <f>_xlfn.LET(
  _xlpm.result, _xlfn.XLOOKUP($B115, Result_Database!$A$2:$A$500, Result_Database!AE$2:AE$500),
  _xlfn.IFNA(_xlpm.result, "")
)</f>
        <v/>
      </c>
      <c r="AG115" t="str">
        <f>_xlfn.LET(
  _xlpm.result, _xlfn.XLOOKUP($B115, Result_Database!$A$2:$A$500, Result_Database!AF$2:AF$500),
  _xlfn.IFNA(_xlpm.result, "")
)</f>
        <v/>
      </c>
      <c r="AH115" t="str">
        <f>_xlfn.LET(
  _xlpm.result, _xlfn.XLOOKUP($B115, Result_Database!$A$2:$A$500, Result_Database!AG$2:AG$500),
  _xlfn.IFNA(_xlpm.result, "")
)</f>
        <v/>
      </c>
      <c r="AI115" t="str">
        <f>_xlfn.LET(
  _xlpm.result, _xlfn.XLOOKUP($B115, Result_Database!$A$2:$A$500, Result_Database!AH$2:AH$500),
  _xlfn.IFNA(_xlpm.result, "")
)</f>
        <v/>
      </c>
      <c r="AJ115" t="str">
        <f>_xlfn.LET(
  _xlpm.result, _xlfn.XLOOKUP($B115, Result_Database!$A$2:$A$500, Result_Database!AI$2:AI$500),
  _xlfn.IFNA(_xlpm.result, "")
)</f>
        <v/>
      </c>
      <c r="AK115" t="str">
        <f>_xlfn.LET(
  _xlpm.result, _xlfn.XLOOKUP($B115, Result_Database!$A$2:$A$500, Result_Database!AJ$2:AJ$500),
  _xlfn.IFNA(_xlpm.result, "")
)</f>
        <v/>
      </c>
      <c r="AL115" t="str">
        <f>_xlfn.LET(
  _xlpm.result, _xlfn.XLOOKUP($B115, Result_Database!$A$2:$A$500, Result_Database!AK$2:AK$500),
  _xlfn.IFNA(_xlpm.result, "")
)</f>
        <v/>
      </c>
      <c r="AM11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1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1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1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1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1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1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1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1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15" t="str">
        <f>IF(SUM(Table5[[#This Row],[A1]:[C6]])&lt;&gt;0,SUM(Table5[[#This Row],[A1]:[C6]]),"")</f>
        <v/>
      </c>
      <c r="AW115" t="str">
        <f>IF(SUM(Table5[[#This Row],[D7]:[F9]])=0,"",SUM(Table5[[#This Row],[D7]:[F9]]))</f>
        <v/>
      </c>
      <c r="AX11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1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1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1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1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1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15" t="str">
        <f>IF(COUNTIF(Table5[[#This Row],[English Language]:[Electrical/ Electronics]],"WITHHELD")=0,"",COUNTIF(Table5[[#This Row],[English Language]:[Electrical/ Electronics]],"WITHHELD"))</f>
        <v/>
      </c>
      <c r="BE115" t="str">
        <f>IF(SUM(Table5[[#This Row],[NO OF CREDITS]:[BELOW CREDITS]])=0,"",SUM(Table5[[#This Row],[NO OF CREDITS]:[BELOW CREDITS]]))</f>
        <v/>
      </c>
    </row>
    <row r="116" spans="1:57" x14ac:dyDescent="0.3">
      <c r="A116" t="str">
        <f>IF(B116&lt;&gt;"",COUNTA($B$6:B116),"")</f>
        <v/>
      </c>
      <c r="B116" t="str">
        <f>IF(Result_Database!A112="","",Result_Database!A112)</f>
        <v/>
      </c>
      <c r="C116" t="str">
        <f>_xlfn.LET(
_xlpm.result,_xlfn.XLOOKUP($B116,Result_Database!$A$2:$A$500,Result_Database!$B$2:$B$500),
_xlfn.IFNA(_xlpm.result,"")
)</f>
        <v/>
      </c>
      <c r="D116" t="str">
        <f>_xlfn.LET(
  _xlpm.result, _xlfn.XLOOKUP($B116, Result_Database!$A$2:$A$500, Result_Database!C$2:C$500),
  _xlfn.IFNA(_xlpm.result, "")
)</f>
        <v/>
      </c>
      <c r="E116" t="str">
        <f>_xlfn.LET(
  _xlpm.result, _xlfn.XLOOKUP($B116, Result_Database!$A$2:$A$500, Result_Database!D$2:D$500),
  _xlfn.IFNA(_xlpm.result, "")
)</f>
        <v/>
      </c>
      <c r="F116" t="str">
        <f>_xlfn.LET(
  _xlpm.result, _xlfn.XLOOKUP($B116, Result_Database!$A$2:$A$500, Result_Database!E$2:E$500),
  _xlfn.IFNA(_xlpm.result, "")
)</f>
        <v/>
      </c>
      <c r="G116" t="str">
        <f>_xlfn.LET(
  _xlpm.result, _xlfn.XLOOKUP($B116, Result_Database!$A$2:$A$500, Result_Database!F$2:F$500),
  _xlfn.IFNA(_xlpm.result, "")
)</f>
        <v/>
      </c>
      <c r="H116" t="str">
        <f>_xlfn.LET(
  _xlpm.result, _xlfn.XLOOKUP($B116, Result_Database!$A$2:$A$500, Result_Database!G$2:G$500),
  _xlfn.IFNA(_xlpm.result, "")
)</f>
        <v/>
      </c>
      <c r="I116" t="str">
        <f>_xlfn.LET(
  _xlpm.result, _xlfn.XLOOKUP($B116, Result_Database!$A$2:$A$500, Result_Database!H$2:H$500),
  _xlfn.IFNA(_xlpm.result, "")
)</f>
        <v/>
      </c>
      <c r="J116" t="str">
        <f>_xlfn.LET(
  _xlpm.result, _xlfn.XLOOKUP($B116, Result_Database!$A$2:$A$500, Result_Database!I$2:I$500),
  _xlfn.IFNA(_xlpm.result, "")
)</f>
        <v/>
      </c>
      <c r="K116" t="str">
        <f>_xlfn.LET(
  _xlpm.result, _xlfn.XLOOKUP($B116, Result_Database!$A$2:$A$500, Result_Database!J$2:J$500),
  _xlfn.IFNA(_xlpm.result, "")
)</f>
        <v/>
      </c>
      <c r="L116" t="str">
        <f>_xlfn.LET(
  _xlpm.result, _xlfn.XLOOKUP($B116, Result_Database!$A$2:$A$500, Result_Database!K$2:K$500),
  _xlfn.IFNA(_xlpm.result, "")
)</f>
        <v/>
      </c>
      <c r="M116" t="str">
        <f>_xlfn.LET(
  _xlpm.result, _xlfn.XLOOKUP($B116, Result_Database!$A$2:$A$500, Result_Database!L$2:L$500),
  _xlfn.IFNA(_xlpm.result, "")
)</f>
        <v/>
      </c>
      <c r="N116" t="str">
        <f>_xlfn.LET(
  _xlpm.result, _xlfn.XLOOKUP($B116, Result_Database!$A$2:$A$500, Result_Database!M$2:M$500),
  _xlfn.IFNA(_xlpm.result, "")
)</f>
        <v/>
      </c>
      <c r="O116" t="str">
        <f>_xlfn.LET(
  _xlpm.result, _xlfn.XLOOKUP($B116, Result_Database!$A$2:$A$500, Result_Database!N$2:N$500),
  _xlfn.IFNA(_xlpm.result, "")
)</f>
        <v/>
      </c>
      <c r="P116" t="str">
        <f>_xlfn.LET(
  _xlpm.result, _xlfn.XLOOKUP($B116, Result_Database!$A$2:$A$500, Result_Database!O$2:O$500),
  _xlfn.IFNA(_xlpm.result, "")
)</f>
        <v/>
      </c>
      <c r="Q116" t="str">
        <f>_xlfn.LET(
  _xlpm.result, _xlfn.XLOOKUP($B116, Result_Database!$A$2:$A$500, Result_Database!P$2:P$500),
  _xlfn.IFNA(_xlpm.result, "")
)</f>
        <v/>
      </c>
      <c r="R116" t="str">
        <f>_xlfn.LET(
  _xlpm.result, _xlfn.XLOOKUP($B116, Result_Database!$A$2:$A$500, Result_Database!Q$2:Q$500),
  _xlfn.IFNA(_xlpm.result, "")
)</f>
        <v/>
      </c>
      <c r="S116" t="str">
        <f>_xlfn.LET(
  _xlpm.result, _xlfn.XLOOKUP($B116, Result_Database!$A$2:$A$500, Result_Database!R$2:R$500),
  _xlfn.IFNA(_xlpm.result, "")
)</f>
        <v/>
      </c>
      <c r="T116" t="str">
        <f>_xlfn.LET(
  _xlpm.result, _xlfn.XLOOKUP($B116, Result_Database!$A$2:$A$500, Result_Database!S$2:S$500),
  _xlfn.IFNA(_xlpm.result, "")
)</f>
        <v/>
      </c>
      <c r="U116" t="str">
        <f>_xlfn.LET(
  _xlpm.result, _xlfn.XLOOKUP($B116, Result_Database!$A$2:$A$500, Result_Database!T$2:T$500),
  _xlfn.IFNA(_xlpm.result, "")
)</f>
        <v/>
      </c>
      <c r="V116" t="str">
        <f>_xlfn.LET(
  _xlpm.result, _xlfn.XLOOKUP($B116, Result_Database!$A$2:$A$500, Result_Database!U$2:U$500),
  _xlfn.IFNA(_xlpm.result, "")
)</f>
        <v/>
      </c>
      <c r="W116" t="str">
        <f>_xlfn.LET(
  _xlpm.result, _xlfn.XLOOKUP($B116, Result_Database!$A$2:$A$500, Result_Database!V$2:V$500),
  _xlfn.IFNA(_xlpm.result, "")
)</f>
        <v/>
      </c>
      <c r="X116" t="str">
        <f>_xlfn.LET(
  _xlpm.result, _xlfn.XLOOKUP($B116, Result_Database!$A$2:$A$500, Result_Database!W$2:W$500),
  _xlfn.IFNA(_xlpm.result, "")
)</f>
        <v/>
      </c>
      <c r="Y116" t="str">
        <f>_xlfn.LET(
  _xlpm.result, _xlfn.XLOOKUP($B116, Result_Database!$A$2:$A$500, Result_Database!X$2:X$500),
  _xlfn.IFNA(_xlpm.result, "")
)</f>
        <v/>
      </c>
      <c r="Z116" t="str">
        <f>_xlfn.LET(
  _xlpm.result, _xlfn.XLOOKUP($B116, Result_Database!$A$2:$A$500, Result_Database!Y$2:Y$500),
  _xlfn.IFNA(_xlpm.result, "")
)</f>
        <v/>
      </c>
      <c r="AA116" t="str">
        <f>_xlfn.LET(
  _xlpm.result, _xlfn.XLOOKUP($B116, Result_Database!$A$2:$A$500, Result_Database!Z$2:Z$500),
  _xlfn.IFNA(_xlpm.result, "")
)</f>
        <v/>
      </c>
      <c r="AB116" t="str">
        <f>_xlfn.LET(
  _xlpm.result, _xlfn.XLOOKUP($B116, Result_Database!$A$2:$A$500, Result_Database!AA$2:AA$500),
  _xlfn.IFNA(_xlpm.result, "")
)</f>
        <v/>
      </c>
      <c r="AC116" t="str">
        <f>_xlfn.LET(
  _xlpm.result, _xlfn.XLOOKUP($B116, Result_Database!$A$2:$A$500, Result_Database!AB$2:AB$500),
  _xlfn.IFNA(_xlpm.result, "")
)</f>
        <v/>
      </c>
      <c r="AD116" t="str">
        <f>_xlfn.LET(
  _xlpm.result, _xlfn.XLOOKUP($B116, Result_Database!$A$2:$A$500, Result_Database!AC$2:AC$500),
  _xlfn.IFNA(_xlpm.result, "")
)</f>
        <v/>
      </c>
      <c r="AE116" t="str">
        <f>_xlfn.LET(
  _xlpm.result, _xlfn.XLOOKUP($B116, Result_Database!$A$2:$A$500, Result_Database!AD$2:AD$500),
  _xlfn.IFNA(_xlpm.result, "")
)</f>
        <v/>
      </c>
      <c r="AF116" t="str">
        <f>_xlfn.LET(
  _xlpm.result, _xlfn.XLOOKUP($B116, Result_Database!$A$2:$A$500, Result_Database!AE$2:AE$500),
  _xlfn.IFNA(_xlpm.result, "")
)</f>
        <v/>
      </c>
      <c r="AG116" t="str">
        <f>_xlfn.LET(
  _xlpm.result, _xlfn.XLOOKUP($B116, Result_Database!$A$2:$A$500, Result_Database!AF$2:AF$500),
  _xlfn.IFNA(_xlpm.result, "")
)</f>
        <v/>
      </c>
      <c r="AH116" t="str">
        <f>_xlfn.LET(
  _xlpm.result, _xlfn.XLOOKUP($B116, Result_Database!$A$2:$A$500, Result_Database!AG$2:AG$500),
  _xlfn.IFNA(_xlpm.result, "")
)</f>
        <v/>
      </c>
      <c r="AI116" t="str">
        <f>_xlfn.LET(
  _xlpm.result, _xlfn.XLOOKUP($B116, Result_Database!$A$2:$A$500, Result_Database!AH$2:AH$500),
  _xlfn.IFNA(_xlpm.result, "")
)</f>
        <v/>
      </c>
      <c r="AJ116" t="str">
        <f>_xlfn.LET(
  _xlpm.result, _xlfn.XLOOKUP($B116, Result_Database!$A$2:$A$500, Result_Database!AI$2:AI$500),
  _xlfn.IFNA(_xlpm.result, "")
)</f>
        <v/>
      </c>
      <c r="AK116" t="str">
        <f>_xlfn.LET(
  _xlpm.result, _xlfn.XLOOKUP($B116, Result_Database!$A$2:$A$500, Result_Database!AJ$2:AJ$500),
  _xlfn.IFNA(_xlpm.result, "")
)</f>
        <v/>
      </c>
      <c r="AL116" t="str">
        <f>_xlfn.LET(
  _xlpm.result, _xlfn.XLOOKUP($B116, Result_Database!$A$2:$A$500, Result_Database!AK$2:AK$500),
  _xlfn.IFNA(_xlpm.result, "")
)</f>
        <v/>
      </c>
      <c r="AM11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1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1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1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1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1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1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1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1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16" t="str">
        <f>IF(SUM(Table5[[#This Row],[A1]:[C6]])&lt;&gt;0,SUM(Table5[[#This Row],[A1]:[C6]]),"")</f>
        <v/>
      </c>
      <c r="AW116" t="str">
        <f>IF(SUM(Table5[[#This Row],[D7]:[F9]])=0,"",SUM(Table5[[#This Row],[D7]:[F9]]))</f>
        <v/>
      </c>
      <c r="AX11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1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1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1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1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1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16" t="str">
        <f>IF(COUNTIF(Table5[[#This Row],[English Language]:[Electrical/ Electronics]],"WITHHELD")=0,"",COUNTIF(Table5[[#This Row],[English Language]:[Electrical/ Electronics]],"WITHHELD"))</f>
        <v/>
      </c>
      <c r="BE116" t="str">
        <f>IF(SUM(Table5[[#This Row],[NO OF CREDITS]:[BELOW CREDITS]])=0,"",SUM(Table5[[#This Row],[NO OF CREDITS]:[BELOW CREDITS]]))</f>
        <v/>
      </c>
    </row>
    <row r="117" spans="1:57" x14ac:dyDescent="0.3">
      <c r="A117" t="str">
        <f>IF(B117&lt;&gt;"",COUNTA($B$6:B117),"")</f>
        <v/>
      </c>
      <c r="B117" t="str">
        <f>IF(Result_Database!A113="","",Result_Database!A113)</f>
        <v/>
      </c>
      <c r="C117" t="str">
        <f>_xlfn.LET(
_xlpm.result,_xlfn.XLOOKUP($B117,Result_Database!$A$2:$A$500,Result_Database!$B$2:$B$500),
_xlfn.IFNA(_xlpm.result,"")
)</f>
        <v/>
      </c>
      <c r="D117" t="str">
        <f>_xlfn.LET(
  _xlpm.result, _xlfn.XLOOKUP($B117, Result_Database!$A$2:$A$500, Result_Database!C$2:C$500),
  _xlfn.IFNA(_xlpm.result, "")
)</f>
        <v/>
      </c>
      <c r="E117" t="str">
        <f>_xlfn.LET(
  _xlpm.result, _xlfn.XLOOKUP($B117, Result_Database!$A$2:$A$500, Result_Database!D$2:D$500),
  _xlfn.IFNA(_xlpm.result, "")
)</f>
        <v/>
      </c>
      <c r="F117" t="str">
        <f>_xlfn.LET(
  _xlpm.result, _xlfn.XLOOKUP($B117, Result_Database!$A$2:$A$500, Result_Database!E$2:E$500),
  _xlfn.IFNA(_xlpm.result, "")
)</f>
        <v/>
      </c>
      <c r="G117" t="str">
        <f>_xlfn.LET(
  _xlpm.result, _xlfn.XLOOKUP($B117, Result_Database!$A$2:$A$500, Result_Database!F$2:F$500),
  _xlfn.IFNA(_xlpm.result, "")
)</f>
        <v/>
      </c>
      <c r="H117" t="str">
        <f>_xlfn.LET(
  _xlpm.result, _xlfn.XLOOKUP($B117, Result_Database!$A$2:$A$500, Result_Database!G$2:G$500),
  _xlfn.IFNA(_xlpm.result, "")
)</f>
        <v/>
      </c>
      <c r="I117" t="str">
        <f>_xlfn.LET(
  _xlpm.result, _xlfn.XLOOKUP($B117, Result_Database!$A$2:$A$500, Result_Database!H$2:H$500),
  _xlfn.IFNA(_xlpm.result, "")
)</f>
        <v/>
      </c>
      <c r="J117" t="str">
        <f>_xlfn.LET(
  _xlpm.result, _xlfn.XLOOKUP($B117, Result_Database!$A$2:$A$500, Result_Database!I$2:I$500),
  _xlfn.IFNA(_xlpm.result, "")
)</f>
        <v/>
      </c>
      <c r="K117" t="str">
        <f>_xlfn.LET(
  _xlpm.result, _xlfn.XLOOKUP($B117, Result_Database!$A$2:$A$500, Result_Database!J$2:J$500),
  _xlfn.IFNA(_xlpm.result, "")
)</f>
        <v/>
      </c>
      <c r="L117" t="str">
        <f>_xlfn.LET(
  _xlpm.result, _xlfn.XLOOKUP($B117, Result_Database!$A$2:$A$500, Result_Database!K$2:K$500),
  _xlfn.IFNA(_xlpm.result, "")
)</f>
        <v/>
      </c>
      <c r="M117" t="str">
        <f>_xlfn.LET(
  _xlpm.result, _xlfn.XLOOKUP($B117, Result_Database!$A$2:$A$500, Result_Database!L$2:L$500),
  _xlfn.IFNA(_xlpm.result, "")
)</f>
        <v/>
      </c>
      <c r="N117" t="str">
        <f>_xlfn.LET(
  _xlpm.result, _xlfn.XLOOKUP($B117, Result_Database!$A$2:$A$500, Result_Database!M$2:M$500),
  _xlfn.IFNA(_xlpm.result, "")
)</f>
        <v/>
      </c>
      <c r="O117" t="str">
        <f>_xlfn.LET(
  _xlpm.result, _xlfn.XLOOKUP($B117, Result_Database!$A$2:$A$500, Result_Database!N$2:N$500),
  _xlfn.IFNA(_xlpm.result, "")
)</f>
        <v/>
      </c>
      <c r="P117" t="str">
        <f>_xlfn.LET(
  _xlpm.result, _xlfn.XLOOKUP($B117, Result_Database!$A$2:$A$500, Result_Database!O$2:O$500),
  _xlfn.IFNA(_xlpm.result, "")
)</f>
        <v/>
      </c>
      <c r="Q117" t="str">
        <f>_xlfn.LET(
  _xlpm.result, _xlfn.XLOOKUP($B117, Result_Database!$A$2:$A$500, Result_Database!P$2:P$500),
  _xlfn.IFNA(_xlpm.result, "")
)</f>
        <v/>
      </c>
      <c r="R117" t="str">
        <f>_xlfn.LET(
  _xlpm.result, _xlfn.XLOOKUP($B117, Result_Database!$A$2:$A$500, Result_Database!Q$2:Q$500),
  _xlfn.IFNA(_xlpm.result, "")
)</f>
        <v/>
      </c>
      <c r="S117" t="str">
        <f>_xlfn.LET(
  _xlpm.result, _xlfn.XLOOKUP($B117, Result_Database!$A$2:$A$500, Result_Database!R$2:R$500),
  _xlfn.IFNA(_xlpm.result, "")
)</f>
        <v/>
      </c>
      <c r="T117" t="str">
        <f>_xlfn.LET(
  _xlpm.result, _xlfn.XLOOKUP($B117, Result_Database!$A$2:$A$500, Result_Database!S$2:S$500),
  _xlfn.IFNA(_xlpm.result, "")
)</f>
        <v/>
      </c>
      <c r="U117" t="str">
        <f>_xlfn.LET(
  _xlpm.result, _xlfn.XLOOKUP($B117, Result_Database!$A$2:$A$500, Result_Database!T$2:T$500),
  _xlfn.IFNA(_xlpm.result, "")
)</f>
        <v/>
      </c>
      <c r="V117" t="str">
        <f>_xlfn.LET(
  _xlpm.result, _xlfn.XLOOKUP($B117, Result_Database!$A$2:$A$500, Result_Database!U$2:U$500),
  _xlfn.IFNA(_xlpm.result, "")
)</f>
        <v/>
      </c>
      <c r="W117" t="str">
        <f>_xlfn.LET(
  _xlpm.result, _xlfn.XLOOKUP($B117, Result_Database!$A$2:$A$500, Result_Database!V$2:V$500),
  _xlfn.IFNA(_xlpm.result, "")
)</f>
        <v/>
      </c>
      <c r="X117" t="str">
        <f>_xlfn.LET(
  _xlpm.result, _xlfn.XLOOKUP($B117, Result_Database!$A$2:$A$500, Result_Database!W$2:W$500),
  _xlfn.IFNA(_xlpm.result, "")
)</f>
        <v/>
      </c>
      <c r="Y117" t="str">
        <f>_xlfn.LET(
  _xlpm.result, _xlfn.XLOOKUP($B117, Result_Database!$A$2:$A$500, Result_Database!X$2:X$500),
  _xlfn.IFNA(_xlpm.result, "")
)</f>
        <v/>
      </c>
      <c r="Z117" t="str">
        <f>_xlfn.LET(
  _xlpm.result, _xlfn.XLOOKUP($B117, Result_Database!$A$2:$A$500, Result_Database!Y$2:Y$500),
  _xlfn.IFNA(_xlpm.result, "")
)</f>
        <v/>
      </c>
      <c r="AA117" t="str">
        <f>_xlfn.LET(
  _xlpm.result, _xlfn.XLOOKUP($B117, Result_Database!$A$2:$A$500, Result_Database!Z$2:Z$500),
  _xlfn.IFNA(_xlpm.result, "")
)</f>
        <v/>
      </c>
      <c r="AB117" t="str">
        <f>_xlfn.LET(
  _xlpm.result, _xlfn.XLOOKUP($B117, Result_Database!$A$2:$A$500, Result_Database!AA$2:AA$500),
  _xlfn.IFNA(_xlpm.result, "")
)</f>
        <v/>
      </c>
      <c r="AC117" t="str">
        <f>_xlfn.LET(
  _xlpm.result, _xlfn.XLOOKUP($B117, Result_Database!$A$2:$A$500, Result_Database!AB$2:AB$500),
  _xlfn.IFNA(_xlpm.result, "")
)</f>
        <v/>
      </c>
      <c r="AD117" t="str">
        <f>_xlfn.LET(
  _xlpm.result, _xlfn.XLOOKUP($B117, Result_Database!$A$2:$A$500, Result_Database!AC$2:AC$500),
  _xlfn.IFNA(_xlpm.result, "")
)</f>
        <v/>
      </c>
      <c r="AE117" t="str">
        <f>_xlfn.LET(
  _xlpm.result, _xlfn.XLOOKUP($B117, Result_Database!$A$2:$A$500, Result_Database!AD$2:AD$500),
  _xlfn.IFNA(_xlpm.result, "")
)</f>
        <v/>
      </c>
      <c r="AF117" t="str">
        <f>_xlfn.LET(
  _xlpm.result, _xlfn.XLOOKUP($B117, Result_Database!$A$2:$A$500, Result_Database!AE$2:AE$500),
  _xlfn.IFNA(_xlpm.result, "")
)</f>
        <v/>
      </c>
      <c r="AG117" t="str">
        <f>_xlfn.LET(
  _xlpm.result, _xlfn.XLOOKUP($B117, Result_Database!$A$2:$A$500, Result_Database!AF$2:AF$500),
  _xlfn.IFNA(_xlpm.result, "")
)</f>
        <v/>
      </c>
      <c r="AH117" t="str">
        <f>_xlfn.LET(
  _xlpm.result, _xlfn.XLOOKUP($B117, Result_Database!$A$2:$A$500, Result_Database!AG$2:AG$500),
  _xlfn.IFNA(_xlpm.result, "")
)</f>
        <v/>
      </c>
      <c r="AI117" t="str">
        <f>_xlfn.LET(
  _xlpm.result, _xlfn.XLOOKUP($B117, Result_Database!$A$2:$A$500, Result_Database!AH$2:AH$500),
  _xlfn.IFNA(_xlpm.result, "")
)</f>
        <v/>
      </c>
      <c r="AJ117" t="str">
        <f>_xlfn.LET(
  _xlpm.result, _xlfn.XLOOKUP($B117, Result_Database!$A$2:$A$500, Result_Database!AI$2:AI$500),
  _xlfn.IFNA(_xlpm.result, "")
)</f>
        <v/>
      </c>
      <c r="AK117" t="str">
        <f>_xlfn.LET(
  _xlpm.result, _xlfn.XLOOKUP($B117, Result_Database!$A$2:$A$500, Result_Database!AJ$2:AJ$500),
  _xlfn.IFNA(_xlpm.result, "")
)</f>
        <v/>
      </c>
      <c r="AL117" t="str">
        <f>_xlfn.LET(
  _xlpm.result, _xlfn.XLOOKUP($B117, Result_Database!$A$2:$A$500, Result_Database!AK$2:AK$500),
  _xlfn.IFNA(_xlpm.result, "")
)</f>
        <v/>
      </c>
      <c r="AM11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1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1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1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1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1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1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1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1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17" t="str">
        <f>IF(SUM(Table5[[#This Row],[A1]:[C6]])&lt;&gt;0,SUM(Table5[[#This Row],[A1]:[C6]]),"")</f>
        <v/>
      </c>
      <c r="AW117" t="str">
        <f>IF(SUM(Table5[[#This Row],[D7]:[F9]])=0,"",SUM(Table5[[#This Row],[D7]:[F9]]))</f>
        <v/>
      </c>
      <c r="AX11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1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1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1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1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1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17" t="str">
        <f>IF(COUNTIF(Table5[[#This Row],[English Language]:[Electrical/ Electronics]],"WITHHELD")=0,"",COUNTIF(Table5[[#This Row],[English Language]:[Electrical/ Electronics]],"WITHHELD"))</f>
        <v/>
      </c>
      <c r="BE117" t="str">
        <f>IF(SUM(Table5[[#This Row],[NO OF CREDITS]:[BELOW CREDITS]])=0,"",SUM(Table5[[#This Row],[NO OF CREDITS]:[BELOW CREDITS]]))</f>
        <v/>
      </c>
    </row>
    <row r="118" spans="1:57" x14ac:dyDescent="0.3">
      <c r="A118" t="str">
        <f>IF(B118&lt;&gt;"",COUNTA($B$6:B118),"")</f>
        <v/>
      </c>
      <c r="B118" t="str">
        <f>IF(Result_Database!A114="","",Result_Database!A114)</f>
        <v/>
      </c>
      <c r="C118" t="str">
        <f>_xlfn.LET(
_xlpm.result,_xlfn.XLOOKUP($B118,Result_Database!$A$2:$A$500,Result_Database!$B$2:$B$500),
_xlfn.IFNA(_xlpm.result,"")
)</f>
        <v/>
      </c>
      <c r="D118" t="str">
        <f>_xlfn.LET(
  _xlpm.result, _xlfn.XLOOKUP($B118, Result_Database!$A$2:$A$500, Result_Database!C$2:C$500),
  _xlfn.IFNA(_xlpm.result, "")
)</f>
        <v/>
      </c>
      <c r="E118" t="str">
        <f>_xlfn.LET(
  _xlpm.result, _xlfn.XLOOKUP($B118, Result_Database!$A$2:$A$500, Result_Database!D$2:D$500),
  _xlfn.IFNA(_xlpm.result, "")
)</f>
        <v/>
      </c>
      <c r="F118" t="str">
        <f>_xlfn.LET(
  _xlpm.result, _xlfn.XLOOKUP($B118, Result_Database!$A$2:$A$500, Result_Database!E$2:E$500),
  _xlfn.IFNA(_xlpm.result, "")
)</f>
        <v/>
      </c>
      <c r="G118" t="str">
        <f>_xlfn.LET(
  _xlpm.result, _xlfn.XLOOKUP($B118, Result_Database!$A$2:$A$500, Result_Database!F$2:F$500),
  _xlfn.IFNA(_xlpm.result, "")
)</f>
        <v/>
      </c>
      <c r="H118" t="str">
        <f>_xlfn.LET(
  _xlpm.result, _xlfn.XLOOKUP($B118, Result_Database!$A$2:$A$500, Result_Database!G$2:G$500),
  _xlfn.IFNA(_xlpm.result, "")
)</f>
        <v/>
      </c>
      <c r="I118" t="str">
        <f>_xlfn.LET(
  _xlpm.result, _xlfn.XLOOKUP($B118, Result_Database!$A$2:$A$500, Result_Database!H$2:H$500),
  _xlfn.IFNA(_xlpm.result, "")
)</f>
        <v/>
      </c>
      <c r="J118" t="str">
        <f>_xlfn.LET(
  _xlpm.result, _xlfn.XLOOKUP($B118, Result_Database!$A$2:$A$500, Result_Database!I$2:I$500),
  _xlfn.IFNA(_xlpm.result, "")
)</f>
        <v/>
      </c>
      <c r="K118" t="str">
        <f>_xlfn.LET(
  _xlpm.result, _xlfn.XLOOKUP($B118, Result_Database!$A$2:$A$500, Result_Database!J$2:J$500),
  _xlfn.IFNA(_xlpm.result, "")
)</f>
        <v/>
      </c>
      <c r="L118" t="str">
        <f>_xlfn.LET(
  _xlpm.result, _xlfn.XLOOKUP($B118, Result_Database!$A$2:$A$500, Result_Database!K$2:K$500),
  _xlfn.IFNA(_xlpm.result, "")
)</f>
        <v/>
      </c>
      <c r="M118" t="str">
        <f>_xlfn.LET(
  _xlpm.result, _xlfn.XLOOKUP($B118, Result_Database!$A$2:$A$500, Result_Database!L$2:L$500),
  _xlfn.IFNA(_xlpm.result, "")
)</f>
        <v/>
      </c>
      <c r="N118" t="str">
        <f>_xlfn.LET(
  _xlpm.result, _xlfn.XLOOKUP($B118, Result_Database!$A$2:$A$500, Result_Database!M$2:M$500),
  _xlfn.IFNA(_xlpm.result, "")
)</f>
        <v/>
      </c>
      <c r="O118" t="str">
        <f>_xlfn.LET(
  _xlpm.result, _xlfn.XLOOKUP($B118, Result_Database!$A$2:$A$500, Result_Database!N$2:N$500),
  _xlfn.IFNA(_xlpm.result, "")
)</f>
        <v/>
      </c>
      <c r="P118" t="str">
        <f>_xlfn.LET(
  _xlpm.result, _xlfn.XLOOKUP($B118, Result_Database!$A$2:$A$500, Result_Database!O$2:O$500),
  _xlfn.IFNA(_xlpm.result, "")
)</f>
        <v/>
      </c>
      <c r="Q118" t="str">
        <f>_xlfn.LET(
  _xlpm.result, _xlfn.XLOOKUP($B118, Result_Database!$A$2:$A$500, Result_Database!P$2:P$500),
  _xlfn.IFNA(_xlpm.result, "")
)</f>
        <v/>
      </c>
      <c r="R118" t="str">
        <f>_xlfn.LET(
  _xlpm.result, _xlfn.XLOOKUP($B118, Result_Database!$A$2:$A$500, Result_Database!Q$2:Q$500),
  _xlfn.IFNA(_xlpm.result, "")
)</f>
        <v/>
      </c>
      <c r="S118" t="str">
        <f>_xlfn.LET(
  _xlpm.result, _xlfn.XLOOKUP($B118, Result_Database!$A$2:$A$500, Result_Database!R$2:R$500),
  _xlfn.IFNA(_xlpm.result, "")
)</f>
        <v/>
      </c>
      <c r="T118" t="str">
        <f>_xlfn.LET(
  _xlpm.result, _xlfn.XLOOKUP($B118, Result_Database!$A$2:$A$500, Result_Database!S$2:S$500),
  _xlfn.IFNA(_xlpm.result, "")
)</f>
        <v/>
      </c>
      <c r="U118" t="str">
        <f>_xlfn.LET(
  _xlpm.result, _xlfn.XLOOKUP($B118, Result_Database!$A$2:$A$500, Result_Database!T$2:T$500),
  _xlfn.IFNA(_xlpm.result, "")
)</f>
        <v/>
      </c>
      <c r="V118" t="str">
        <f>_xlfn.LET(
  _xlpm.result, _xlfn.XLOOKUP($B118, Result_Database!$A$2:$A$500, Result_Database!U$2:U$500),
  _xlfn.IFNA(_xlpm.result, "")
)</f>
        <v/>
      </c>
      <c r="W118" t="str">
        <f>_xlfn.LET(
  _xlpm.result, _xlfn.XLOOKUP($B118, Result_Database!$A$2:$A$500, Result_Database!V$2:V$500),
  _xlfn.IFNA(_xlpm.result, "")
)</f>
        <v/>
      </c>
      <c r="X118" t="str">
        <f>_xlfn.LET(
  _xlpm.result, _xlfn.XLOOKUP($B118, Result_Database!$A$2:$A$500, Result_Database!W$2:W$500),
  _xlfn.IFNA(_xlpm.result, "")
)</f>
        <v/>
      </c>
      <c r="Y118" t="str">
        <f>_xlfn.LET(
  _xlpm.result, _xlfn.XLOOKUP($B118, Result_Database!$A$2:$A$500, Result_Database!X$2:X$500),
  _xlfn.IFNA(_xlpm.result, "")
)</f>
        <v/>
      </c>
      <c r="Z118" t="str">
        <f>_xlfn.LET(
  _xlpm.result, _xlfn.XLOOKUP($B118, Result_Database!$A$2:$A$500, Result_Database!Y$2:Y$500),
  _xlfn.IFNA(_xlpm.result, "")
)</f>
        <v/>
      </c>
      <c r="AA118" t="str">
        <f>_xlfn.LET(
  _xlpm.result, _xlfn.XLOOKUP($B118, Result_Database!$A$2:$A$500, Result_Database!Z$2:Z$500),
  _xlfn.IFNA(_xlpm.result, "")
)</f>
        <v/>
      </c>
      <c r="AB118" t="str">
        <f>_xlfn.LET(
  _xlpm.result, _xlfn.XLOOKUP($B118, Result_Database!$A$2:$A$500, Result_Database!AA$2:AA$500),
  _xlfn.IFNA(_xlpm.result, "")
)</f>
        <v/>
      </c>
      <c r="AC118" t="str">
        <f>_xlfn.LET(
  _xlpm.result, _xlfn.XLOOKUP($B118, Result_Database!$A$2:$A$500, Result_Database!AB$2:AB$500),
  _xlfn.IFNA(_xlpm.result, "")
)</f>
        <v/>
      </c>
      <c r="AD118" t="str">
        <f>_xlfn.LET(
  _xlpm.result, _xlfn.XLOOKUP($B118, Result_Database!$A$2:$A$500, Result_Database!AC$2:AC$500),
  _xlfn.IFNA(_xlpm.result, "")
)</f>
        <v/>
      </c>
      <c r="AE118" t="str">
        <f>_xlfn.LET(
  _xlpm.result, _xlfn.XLOOKUP($B118, Result_Database!$A$2:$A$500, Result_Database!AD$2:AD$500),
  _xlfn.IFNA(_xlpm.result, "")
)</f>
        <v/>
      </c>
      <c r="AF118" t="str">
        <f>_xlfn.LET(
  _xlpm.result, _xlfn.XLOOKUP($B118, Result_Database!$A$2:$A$500, Result_Database!AE$2:AE$500),
  _xlfn.IFNA(_xlpm.result, "")
)</f>
        <v/>
      </c>
      <c r="AG118" t="str">
        <f>_xlfn.LET(
  _xlpm.result, _xlfn.XLOOKUP($B118, Result_Database!$A$2:$A$500, Result_Database!AF$2:AF$500),
  _xlfn.IFNA(_xlpm.result, "")
)</f>
        <v/>
      </c>
      <c r="AH118" t="str">
        <f>_xlfn.LET(
  _xlpm.result, _xlfn.XLOOKUP($B118, Result_Database!$A$2:$A$500, Result_Database!AG$2:AG$500),
  _xlfn.IFNA(_xlpm.result, "")
)</f>
        <v/>
      </c>
      <c r="AI118" t="str">
        <f>_xlfn.LET(
  _xlpm.result, _xlfn.XLOOKUP($B118, Result_Database!$A$2:$A$500, Result_Database!AH$2:AH$500),
  _xlfn.IFNA(_xlpm.result, "")
)</f>
        <v/>
      </c>
      <c r="AJ118" t="str">
        <f>_xlfn.LET(
  _xlpm.result, _xlfn.XLOOKUP($B118, Result_Database!$A$2:$A$500, Result_Database!AI$2:AI$500),
  _xlfn.IFNA(_xlpm.result, "")
)</f>
        <v/>
      </c>
      <c r="AK118" t="str">
        <f>_xlfn.LET(
  _xlpm.result, _xlfn.XLOOKUP($B118, Result_Database!$A$2:$A$500, Result_Database!AJ$2:AJ$500),
  _xlfn.IFNA(_xlpm.result, "")
)</f>
        <v/>
      </c>
      <c r="AL118" t="str">
        <f>_xlfn.LET(
  _xlpm.result, _xlfn.XLOOKUP($B118, Result_Database!$A$2:$A$500, Result_Database!AK$2:AK$500),
  _xlfn.IFNA(_xlpm.result, "")
)</f>
        <v/>
      </c>
      <c r="AM11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1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1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1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1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1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1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1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1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18" t="str">
        <f>IF(SUM(Table5[[#This Row],[A1]:[C6]])&lt;&gt;0,SUM(Table5[[#This Row],[A1]:[C6]]),"")</f>
        <v/>
      </c>
      <c r="AW118" t="str">
        <f>IF(SUM(Table5[[#This Row],[D7]:[F9]])=0,"",SUM(Table5[[#This Row],[D7]:[F9]]))</f>
        <v/>
      </c>
      <c r="AX11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1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1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1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1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1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18" t="str">
        <f>IF(COUNTIF(Table5[[#This Row],[English Language]:[Electrical/ Electronics]],"WITHHELD")=0,"",COUNTIF(Table5[[#This Row],[English Language]:[Electrical/ Electronics]],"WITHHELD"))</f>
        <v/>
      </c>
      <c r="BE118" t="str">
        <f>IF(SUM(Table5[[#This Row],[NO OF CREDITS]:[BELOW CREDITS]])=0,"",SUM(Table5[[#This Row],[NO OF CREDITS]:[BELOW CREDITS]]))</f>
        <v/>
      </c>
    </row>
    <row r="119" spans="1:57" x14ac:dyDescent="0.3">
      <c r="A119" t="str">
        <f>IF(B119&lt;&gt;"",COUNTA($B$6:B119),"")</f>
        <v/>
      </c>
      <c r="B119" t="str">
        <f>IF(Result_Database!A115="","",Result_Database!A115)</f>
        <v/>
      </c>
      <c r="C119" t="str">
        <f>_xlfn.LET(
_xlpm.result,_xlfn.XLOOKUP($B119,Result_Database!$A$2:$A$500,Result_Database!$B$2:$B$500),
_xlfn.IFNA(_xlpm.result,"")
)</f>
        <v/>
      </c>
      <c r="D119" t="str">
        <f>_xlfn.LET(
  _xlpm.result, _xlfn.XLOOKUP($B119, Result_Database!$A$2:$A$500, Result_Database!C$2:C$500),
  _xlfn.IFNA(_xlpm.result, "")
)</f>
        <v/>
      </c>
      <c r="E119" t="str">
        <f>_xlfn.LET(
  _xlpm.result, _xlfn.XLOOKUP($B119, Result_Database!$A$2:$A$500, Result_Database!D$2:D$500),
  _xlfn.IFNA(_xlpm.result, "")
)</f>
        <v/>
      </c>
      <c r="F119" t="str">
        <f>_xlfn.LET(
  _xlpm.result, _xlfn.XLOOKUP($B119, Result_Database!$A$2:$A$500, Result_Database!E$2:E$500),
  _xlfn.IFNA(_xlpm.result, "")
)</f>
        <v/>
      </c>
      <c r="G119" t="str">
        <f>_xlfn.LET(
  _xlpm.result, _xlfn.XLOOKUP($B119, Result_Database!$A$2:$A$500, Result_Database!F$2:F$500),
  _xlfn.IFNA(_xlpm.result, "")
)</f>
        <v/>
      </c>
      <c r="H119" t="str">
        <f>_xlfn.LET(
  _xlpm.result, _xlfn.XLOOKUP($B119, Result_Database!$A$2:$A$500, Result_Database!G$2:G$500),
  _xlfn.IFNA(_xlpm.result, "")
)</f>
        <v/>
      </c>
      <c r="I119" t="str">
        <f>_xlfn.LET(
  _xlpm.result, _xlfn.XLOOKUP($B119, Result_Database!$A$2:$A$500, Result_Database!H$2:H$500),
  _xlfn.IFNA(_xlpm.result, "")
)</f>
        <v/>
      </c>
      <c r="J119" t="str">
        <f>_xlfn.LET(
  _xlpm.result, _xlfn.XLOOKUP($B119, Result_Database!$A$2:$A$500, Result_Database!I$2:I$500),
  _xlfn.IFNA(_xlpm.result, "")
)</f>
        <v/>
      </c>
      <c r="K119" t="str">
        <f>_xlfn.LET(
  _xlpm.result, _xlfn.XLOOKUP($B119, Result_Database!$A$2:$A$500, Result_Database!J$2:J$500),
  _xlfn.IFNA(_xlpm.result, "")
)</f>
        <v/>
      </c>
      <c r="L119" t="str">
        <f>_xlfn.LET(
  _xlpm.result, _xlfn.XLOOKUP($B119, Result_Database!$A$2:$A$500, Result_Database!K$2:K$500),
  _xlfn.IFNA(_xlpm.result, "")
)</f>
        <v/>
      </c>
      <c r="M119" t="str">
        <f>_xlfn.LET(
  _xlpm.result, _xlfn.XLOOKUP($B119, Result_Database!$A$2:$A$500, Result_Database!L$2:L$500),
  _xlfn.IFNA(_xlpm.result, "")
)</f>
        <v/>
      </c>
      <c r="N119" t="str">
        <f>_xlfn.LET(
  _xlpm.result, _xlfn.XLOOKUP($B119, Result_Database!$A$2:$A$500, Result_Database!M$2:M$500),
  _xlfn.IFNA(_xlpm.result, "")
)</f>
        <v/>
      </c>
      <c r="O119" t="str">
        <f>_xlfn.LET(
  _xlpm.result, _xlfn.XLOOKUP($B119, Result_Database!$A$2:$A$500, Result_Database!N$2:N$500),
  _xlfn.IFNA(_xlpm.result, "")
)</f>
        <v/>
      </c>
      <c r="P119" t="str">
        <f>_xlfn.LET(
  _xlpm.result, _xlfn.XLOOKUP($B119, Result_Database!$A$2:$A$500, Result_Database!O$2:O$500),
  _xlfn.IFNA(_xlpm.result, "")
)</f>
        <v/>
      </c>
      <c r="Q119" t="str">
        <f>_xlfn.LET(
  _xlpm.result, _xlfn.XLOOKUP($B119, Result_Database!$A$2:$A$500, Result_Database!P$2:P$500),
  _xlfn.IFNA(_xlpm.result, "")
)</f>
        <v/>
      </c>
      <c r="R119" t="str">
        <f>_xlfn.LET(
  _xlpm.result, _xlfn.XLOOKUP($B119, Result_Database!$A$2:$A$500, Result_Database!Q$2:Q$500),
  _xlfn.IFNA(_xlpm.result, "")
)</f>
        <v/>
      </c>
      <c r="S119" t="str">
        <f>_xlfn.LET(
  _xlpm.result, _xlfn.XLOOKUP($B119, Result_Database!$A$2:$A$500, Result_Database!R$2:R$500),
  _xlfn.IFNA(_xlpm.result, "")
)</f>
        <v/>
      </c>
      <c r="T119" t="str">
        <f>_xlfn.LET(
  _xlpm.result, _xlfn.XLOOKUP($B119, Result_Database!$A$2:$A$500, Result_Database!S$2:S$500),
  _xlfn.IFNA(_xlpm.result, "")
)</f>
        <v/>
      </c>
      <c r="U119" t="str">
        <f>_xlfn.LET(
  _xlpm.result, _xlfn.XLOOKUP($B119, Result_Database!$A$2:$A$500, Result_Database!T$2:T$500),
  _xlfn.IFNA(_xlpm.result, "")
)</f>
        <v/>
      </c>
      <c r="V119" t="str">
        <f>_xlfn.LET(
  _xlpm.result, _xlfn.XLOOKUP($B119, Result_Database!$A$2:$A$500, Result_Database!U$2:U$500),
  _xlfn.IFNA(_xlpm.result, "")
)</f>
        <v/>
      </c>
      <c r="W119" t="str">
        <f>_xlfn.LET(
  _xlpm.result, _xlfn.XLOOKUP($B119, Result_Database!$A$2:$A$500, Result_Database!V$2:V$500),
  _xlfn.IFNA(_xlpm.result, "")
)</f>
        <v/>
      </c>
      <c r="X119" t="str">
        <f>_xlfn.LET(
  _xlpm.result, _xlfn.XLOOKUP($B119, Result_Database!$A$2:$A$500, Result_Database!W$2:W$500),
  _xlfn.IFNA(_xlpm.result, "")
)</f>
        <v/>
      </c>
      <c r="Y119" t="str">
        <f>_xlfn.LET(
  _xlpm.result, _xlfn.XLOOKUP($B119, Result_Database!$A$2:$A$500, Result_Database!X$2:X$500),
  _xlfn.IFNA(_xlpm.result, "")
)</f>
        <v/>
      </c>
      <c r="Z119" t="str">
        <f>_xlfn.LET(
  _xlpm.result, _xlfn.XLOOKUP($B119, Result_Database!$A$2:$A$500, Result_Database!Y$2:Y$500),
  _xlfn.IFNA(_xlpm.result, "")
)</f>
        <v/>
      </c>
      <c r="AA119" t="str">
        <f>_xlfn.LET(
  _xlpm.result, _xlfn.XLOOKUP($B119, Result_Database!$A$2:$A$500, Result_Database!Z$2:Z$500),
  _xlfn.IFNA(_xlpm.result, "")
)</f>
        <v/>
      </c>
      <c r="AB119" t="str">
        <f>_xlfn.LET(
  _xlpm.result, _xlfn.XLOOKUP($B119, Result_Database!$A$2:$A$500, Result_Database!AA$2:AA$500),
  _xlfn.IFNA(_xlpm.result, "")
)</f>
        <v/>
      </c>
      <c r="AC119" t="str">
        <f>_xlfn.LET(
  _xlpm.result, _xlfn.XLOOKUP($B119, Result_Database!$A$2:$A$500, Result_Database!AB$2:AB$500),
  _xlfn.IFNA(_xlpm.result, "")
)</f>
        <v/>
      </c>
      <c r="AD119" t="str">
        <f>_xlfn.LET(
  _xlpm.result, _xlfn.XLOOKUP($B119, Result_Database!$A$2:$A$500, Result_Database!AC$2:AC$500),
  _xlfn.IFNA(_xlpm.result, "")
)</f>
        <v/>
      </c>
      <c r="AE119" t="str">
        <f>_xlfn.LET(
  _xlpm.result, _xlfn.XLOOKUP($B119, Result_Database!$A$2:$A$500, Result_Database!AD$2:AD$500),
  _xlfn.IFNA(_xlpm.result, "")
)</f>
        <v/>
      </c>
      <c r="AF119" t="str">
        <f>_xlfn.LET(
  _xlpm.result, _xlfn.XLOOKUP($B119, Result_Database!$A$2:$A$500, Result_Database!AE$2:AE$500),
  _xlfn.IFNA(_xlpm.result, "")
)</f>
        <v/>
      </c>
      <c r="AG119" t="str">
        <f>_xlfn.LET(
  _xlpm.result, _xlfn.XLOOKUP($B119, Result_Database!$A$2:$A$500, Result_Database!AF$2:AF$500),
  _xlfn.IFNA(_xlpm.result, "")
)</f>
        <v/>
      </c>
      <c r="AH119" t="str">
        <f>_xlfn.LET(
  _xlpm.result, _xlfn.XLOOKUP($B119, Result_Database!$A$2:$A$500, Result_Database!AG$2:AG$500),
  _xlfn.IFNA(_xlpm.result, "")
)</f>
        <v/>
      </c>
      <c r="AI119" t="str">
        <f>_xlfn.LET(
  _xlpm.result, _xlfn.XLOOKUP($B119, Result_Database!$A$2:$A$500, Result_Database!AH$2:AH$500),
  _xlfn.IFNA(_xlpm.result, "")
)</f>
        <v/>
      </c>
      <c r="AJ119" t="str">
        <f>_xlfn.LET(
  _xlpm.result, _xlfn.XLOOKUP($B119, Result_Database!$A$2:$A$500, Result_Database!AI$2:AI$500),
  _xlfn.IFNA(_xlpm.result, "")
)</f>
        <v/>
      </c>
      <c r="AK119" t="str">
        <f>_xlfn.LET(
  _xlpm.result, _xlfn.XLOOKUP($B119, Result_Database!$A$2:$A$500, Result_Database!AJ$2:AJ$500),
  _xlfn.IFNA(_xlpm.result, "")
)</f>
        <v/>
      </c>
      <c r="AL119" t="str">
        <f>_xlfn.LET(
  _xlpm.result, _xlfn.XLOOKUP($B119, Result_Database!$A$2:$A$500, Result_Database!AK$2:AK$500),
  _xlfn.IFNA(_xlpm.result, "")
)</f>
        <v/>
      </c>
      <c r="AM11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1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1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1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1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1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1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1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1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19" t="str">
        <f>IF(SUM(Table5[[#This Row],[A1]:[C6]])&lt;&gt;0,SUM(Table5[[#This Row],[A1]:[C6]]),"")</f>
        <v/>
      </c>
      <c r="AW119" t="str">
        <f>IF(SUM(Table5[[#This Row],[D7]:[F9]])=0,"",SUM(Table5[[#This Row],[D7]:[F9]]))</f>
        <v/>
      </c>
      <c r="AX11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1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1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1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1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1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19" t="str">
        <f>IF(COUNTIF(Table5[[#This Row],[English Language]:[Electrical/ Electronics]],"WITHHELD")=0,"",COUNTIF(Table5[[#This Row],[English Language]:[Electrical/ Electronics]],"WITHHELD"))</f>
        <v/>
      </c>
      <c r="BE119" t="str">
        <f>IF(SUM(Table5[[#This Row],[NO OF CREDITS]:[BELOW CREDITS]])=0,"",SUM(Table5[[#This Row],[NO OF CREDITS]:[BELOW CREDITS]]))</f>
        <v/>
      </c>
    </row>
    <row r="120" spans="1:57" x14ac:dyDescent="0.3">
      <c r="A120" t="str">
        <f>IF(B120&lt;&gt;"",COUNTA($B$6:B120),"")</f>
        <v/>
      </c>
      <c r="B120" t="str">
        <f>IF(Result_Database!A116="","",Result_Database!A116)</f>
        <v/>
      </c>
      <c r="C120" t="str">
        <f>_xlfn.LET(
_xlpm.result,_xlfn.XLOOKUP($B120,Result_Database!$A$2:$A$500,Result_Database!$B$2:$B$500),
_xlfn.IFNA(_xlpm.result,"")
)</f>
        <v/>
      </c>
      <c r="D120" t="str">
        <f>_xlfn.LET(
  _xlpm.result, _xlfn.XLOOKUP($B120, Result_Database!$A$2:$A$500, Result_Database!C$2:C$500),
  _xlfn.IFNA(_xlpm.result, "")
)</f>
        <v/>
      </c>
      <c r="E120" t="str">
        <f>_xlfn.LET(
  _xlpm.result, _xlfn.XLOOKUP($B120, Result_Database!$A$2:$A$500, Result_Database!D$2:D$500),
  _xlfn.IFNA(_xlpm.result, "")
)</f>
        <v/>
      </c>
      <c r="F120" t="str">
        <f>_xlfn.LET(
  _xlpm.result, _xlfn.XLOOKUP($B120, Result_Database!$A$2:$A$500, Result_Database!E$2:E$500),
  _xlfn.IFNA(_xlpm.result, "")
)</f>
        <v/>
      </c>
      <c r="G120" t="str">
        <f>_xlfn.LET(
  _xlpm.result, _xlfn.XLOOKUP($B120, Result_Database!$A$2:$A$500, Result_Database!F$2:F$500),
  _xlfn.IFNA(_xlpm.result, "")
)</f>
        <v/>
      </c>
      <c r="H120" t="str">
        <f>_xlfn.LET(
  _xlpm.result, _xlfn.XLOOKUP($B120, Result_Database!$A$2:$A$500, Result_Database!G$2:G$500),
  _xlfn.IFNA(_xlpm.result, "")
)</f>
        <v/>
      </c>
      <c r="I120" t="str">
        <f>_xlfn.LET(
  _xlpm.result, _xlfn.XLOOKUP($B120, Result_Database!$A$2:$A$500, Result_Database!H$2:H$500),
  _xlfn.IFNA(_xlpm.result, "")
)</f>
        <v/>
      </c>
      <c r="J120" t="str">
        <f>_xlfn.LET(
  _xlpm.result, _xlfn.XLOOKUP($B120, Result_Database!$A$2:$A$500, Result_Database!I$2:I$500),
  _xlfn.IFNA(_xlpm.result, "")
)</f>
        <v/>
      </c>
      <c r="K120" t="str">
        <f>_xlfn.LET(
  _xlpm.result, _xlfn.XLOOKUP($B120, Result_Database!$A$2:$A$500, Result_Database!J$2:J$500),
  _xlfn.IFNA(_xlpm.result, "")
)</f>
        <v/>
      </c>
      <c r="L120" t="str">
        <f>_xlfn.LET(
  _xlpm.result, _xlfn.XLOOKUP($B120, Result_Database!$A$2:$A$500, Result_Database!K$2:K$500),
  _xlfn.IFNA(_xlpm.result, "")
)</f>
        <v/>
      </c>
      <c r="M120" t="str">
        <f>_xlfn.LET(
  _xlpm.result, _xlfn.XLOOKUP($B120, Result_Database!$A$2:$A$500, Result_Database!L$2:L$500),
  _xlfn.IFNA(_xlpm.result, "")
)</f>
        <v/>
      </c>
      <c r="N120" t="str">
        <f>_xlfn.LET(
  _xlpm.result, _xlfn.XLOOKUP($B120, Result_Database!$A$2:$A$500, Result_Database!M$2:M$500),
  _xlfn.IFNA(_xlpm.result, "")
)</f>
        <v/>
      </c>
      <c r="O120" t="str">
        <f>_xlfn.LET(
  _xlpm.result, _xlfn.XLOOKUP($B120, Result_Database!$A$2:$A$500, Result_Database!N$2:N$500),
  _xlfn.IFNA(_xlpm.result, "")
)</f>
        <v/>
      </c>
      <c r="P120" t="str">
        <f>_xlfn.LET(
  _xlpm.result, _xlfn.XLOOKUP($B120, Result_Database!$A$2:$A$500, Result_Database!O$2:O$500),
  _xlfn.IFNA(_xlpm.result, "")
)</f>
        <v/>
      </c>
      <c r="Q120" t="str">
        <f>_xlfn.LET(
  _xlpm.result, _xlfn.XLOOKUP($B120, Result_Database!$A$2:$A$500, Result_Database!P$2:P$500),
  _xlfn.IFNA(_xlpm.result, "")
)</f>
        <v/>
      </c>
      <c r="R120" t="str">
        <f>_xlfn.LET(
  _xlpm.result, _xlfn.XLOOKUP($B120, Result_Database!$A$2:$A$500, Result_Database!Q$2:Q$500),
  _xlfn.IFNA(_xlpm.result, "")
)</f>
        <v/>
      </c>
      <c r="S120" t="str">
        <f>_xlfn.LET(
  _xlpm.result, _xlfn.XLOOKUP($B120, Result_Database!$A$2:$A$500, Result_Database!R$2:R$500),
  _xlfn.IFNA(_xlpm.result, "")
)</f>
        <v/>
      </c>
      <c r="T120" t="str">
        <f>_xlfn.LET(
  _xlpm.result, _xlfn.XLOOKUP($B120, Result_Database!$A$2:$A$500, Result_Database!S$2:S$500),
  _xlfn.IFNA(_xlpm.result, "")
)</f>
        <v/>
      </c>
      <c r="U120" t="str">
        <f>_xlfn.LET(
  _xlpm.result, _xlfn.XLOOKUP($B120, Result_Database!$A$2:$A$500, Result_Database!T$2:T$500),
  _xlfn.IFNA(_xlpm.result, "")
)</f>
        <v/>
      </c>
      <c r="V120" t="str">
        <f>_xlfn.LET(
  _xlpm.result, _xlfn.XLOOKUP($B120, Result_Database!$A$2:$A$500, Result_Database!U$2:U$500),
  _xlfn.IFNA(_xlpm.result, "")
)</f>
        <v/>
      </c>
      <c r="W120" t="str">
        <f>_xlfn.LET(
  _xlpm.result, _xlfn.XLOOKUP($B120, Result_Database!$A$2:$A$500, Result_Database!V$2:V$500),
  _xlfn.IFNA(_xlpm.result, "")
)</f>
        <v/>
      </c>
      <c r="X120" t="str">
        <f>_xlfn.LET(
  _xlpm.result, _xlfn.XLOOKUP($B120, Result_Database!$A$2:$A$500, Result_Database!W$2:W$500),
  _xlfn.IFNA(_xlpm.result, "")
)</f>
        <v/>
      </c>
      <c r="Y120" t="str">
        <f>_xlfn.LET(
  _xlpm.result, _xlfn.XLOOKUP($B120, Result_Database!$A$2:$A$500, Result_Database!X$2:X$500),
  _xlfn.IFNA(_xlpm.result, "")
)</f>
        <v/>
      </c>
      <c r="Z120" t="str">
        <f>_xlfn.LET(
  _xlpm.result, _xlfn.XLOOKUP($B120, Result_Database!$A$2:$A$500, Result_Database!Y$2:Y$500),
  _xlfn.IFNA(_xlpm.result, "")
)</f>
        <v/>
      </c>
      <c r="AA120" t="str">
        <f>_xlfn.LET(
  _xlpm.result, _xlfn.XLOOKUP($B120, Result_Database!$A$2:$A$500, Result_Database!Z$2:Z$500),
  _xlfn.IFNA(_xlpm.result, "")
)</f>
        <v/>
      </c>
      <c r="AB120" t="str">
        <f>_xlfn.LET(
  _xlpm.result, _xlfn.XLOOKUP($B120, Result_Database!$A$2:$A$500, Result_Database!AA$2:AA$500),
  _xlfn.IFNA(_xlpm.result, "")
)</f>
        <v/>
      </c>
      <c r="AC120" t="str">
        <f>_xlfn.LET(
  _xlpm.result, _xlfn.XLOOKUP($B120, Result_Database!$A$2:$A$500, Result_Database!AB$2:AB$500),
  _xlfn.IFNA(_xlpm.result, "")
)</f>
        <v/>
      </c>
      <c r="AD120" t="str">
        <f>_xlfn.LET(
  _xlpm.result, _xlfn.XLOOKUP($B120, Result_Database!$A$2:$A$500, Result_Database!AC$2:AC$500),
  _xlfn.IFNA(_xlpm.result, "")
)</f>
        <v/>
      </c>
      <c r="AE120" t="str">
        <f>_xlfn.LET(
  _xlpm.result, _xlfn.XLOOKUP($B120, Result_Database!$A$2:$A$500, Result_Database!AD$2:AD$500),
  _xlfn.IFNA(_xlpm.result, "")
)</f>
        <v/>
      </c>
      <c r="AF120" t="str">
        <f>_xlfn.LET(
  _xlpm.result, _xlfn.XLOOKUP($B120, Result_Database!$A$2:$A$500, Result_Database!AE$2:AE$500),
  _xlfn.IFNA(_xlpm.result, "")
)</f>
        <v/>
      </c>
      <c r="AG120" t="str">
        <f>_xlfn.LET(
  _xlpm.result, _xlfn.XLOOKUP($B120, Result_Database!$A$2:$A$500, Result_Database!AF$2:AF$500),
  _xlfn.IFNA(_xlpm.result, "")
)</f>
        <v/>
      </c>
      <c r="AH120" t="str">
        <f>_xlfn.LET(
  _xlpm.result, _xlfn.XLOOKUP($B120, Result_Database!$A$2:$A$500, Result_Database!AG$2:AG$500),
  _xlfn.IFNA(_xlpm.result, "")
)</f>
        <v/>
      </c>
      <c r="AI120" t="str">
        <f>_xlfn.LET(
  _xlpm.result, _xlfn.XLOOKUP($B120, Result_Database!$A$2:$A$500, Result_Database!AH$2:AH$500),
  _xlfn.IFNA(_xlpm.result, "")
)</f>
        <v/>
      </c>
      <c r="AJ120" t="str">
        <f>_xlfn.LET(
  _xlpm.result, _xlfn.XLOOKUP($B120, Result_Database!$A$2:$A$500, Result_Database!AI$2:AI$500),
  _xlfn.IFNA(_xlpm.result, "")
)</f>
        <v/>
      </c>
      <c r="AK120" t="str">
        <f>_xlfn.LET(
  _xlpm.result, _xlfn.XLOOKUP($B120, Result_Database!$A$2:$A$500, Result_Database!AJ$2:AJ$500),
  _xlfn.IFNA(_xlpm.result, "")
)</f>
        <v/>
      </c>
      <c r="AL120" t="str">
        <f>_xlfn.LET(
  _xlpm.result, _xlfn.XLOOKUP($B120, Result_Database!$A$2:$A$500, Result_Database!AK$2:AK$500),
  _xlfn.IFNA(_xlpm.result, "")
)</f>
        <v/>
      </c>
      <c r="AM12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2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2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2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2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2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2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2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2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20" t="str">
        <f>IF(SUM(Table5[[#This Row],[A1]:[C6]])&lt;&gt;0,SUM(Table5[[#This Row],[A1]:[C6]]),"")</f>
        <v/>
      </c>
      <c r="AW120" t="str">
        <f>IF(SUM(Table5[[#This Row],[D7]:[F9]])=0,"",SUM(Table5[[#This Row],[D7]:[F9]]))</f>
        <v/>
      </c>
      <c r="AX12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2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2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2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2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2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20" t="str">
        <f>IF(COUNTIF(Table5[[#This Row],[English Language]:[Electrical/ Electronics]],"WITHHELD")=0,"",COUNTIF(Table5[[#This Row],[English Language]:[Electrical/ Electronics]],"WITHHELD"))</f>
        <v/>
      </c>
      <c r="BE120" t="str">
        <f>IF(SUM(Table5[[#This Row],[NO OF CREDITS]:[BELOW CREDITS]])=0,"",SUM(Table5[[#This Row],[NO OF CREDITS]:[BELOW CREDITS]]))</f>
        <v/>
      </c>
    </row>
    <row r="121" spans="1:57" x14ac:dyDescent="0.3">
      <c r="A121" t="str">
        <f>IF(B121&lt;&gt;"",COUNTA($B$6:B121),"")</f>
        <v/>
      </c>
      <c r="B121" t="str">
        <f>IF(Result_Database!A117="","",Result_Database!A117)</f>
        <v/>
      </c>
      <c r="C121" t="str">
        <f>_xlfn.LET(
_xlpm.result,_xlfn.XLOOKUP($B121,Result_Database!$A$2:$A$500,Result_Database!$B$2:$B$500),
_xlfn.IFNA(_xlpm.result,"")
)</f>
        <v/>
      </c>
      <c r="D121" t="str">
        <f>_xlfn.LET(
  _xlpm.result, _xlfn.XLOOKUP($B121, Result_Database!$A$2:$A$500, Result_Database!C$2:C$500),
  _xlfn.IFNA(_xlpm.result, "")
)</f>
        <v/>
      </c>
      <c r="E121" t="str">
        <f>_xlfn.LET(
  _xlpm.result, _xlfn.XLOOKUP($B121, Result_Database!$A$2:$A$500, Result_Database!D$2:D$500),
  _xlfn.IFNA(_xlpm.result, "")
)</f>
        <v/>
      </c>
      <c r="F121" t="str">
        <f>_xlfn.LET(
  _xlpm.result, _xlfn.XLOOKUP($B121, Result_Database!$A$2:$A$500, Result_Database!E$2:E$500),
  _xlfn.IFNA(_xlpm.result, "")
)</f>
        <v/>
      </c>
      <c r="G121" t="str">
        <f>_xlfn.LET(
  _xlpm.result, _xlfn.XLOOKUP($B121, Result_Database!$A$2:$A$500, Result_Database!F$2:F$500),
  _xlfn.IFNA(_xlpm.result, "")
)</f>
        <v/>
      </c>
      <c r="H121" t="str">
        <f>_xlfn.LET(
  _xlpm.result, _xlfn.XLOOKUP($B121, Result_Database!$A$2:$A$500, Result_Database!G$2:G$500),
  _xlfn.IFNA(_xlpm.result, "")
)</f>
        <v/>
      </c>
      <c r="I121" t="str">
        <f>_xlfn.LET(
  _xlpm.result, _xlfn.XLOOKUP($B121, Result_Database!$A$2:$A$500, Result_Database!H$2:H$500),
  _xlfn.IFNA(_xlpm.result, "")
)</f>
        <v/>
      </c>
      <c r="J121" t="str">
        <f>_xlfn.LET(
  _xlpm.result, _xlfn.XLOOKUP($B121, Result_Database!$A$2:$A$500, Result_Database!I$2:I$500),
  _xlfn.IFNA(_xlpm.result, "")
)</f>
        <v/>
      </c>
      <c r="K121" t="str">
        <f>_xlfn.LET(
  _xlpm.result, _xlfn.XLOOKUP($B121, Result_Database!$A$2:$A$500, Result_Database!J$2:J$500),
  _xlfn.IFNA(_xlpm.result, "")
)</f>
        <v/>
      </c>
      <c r="L121" t="str">
        <f>_xlfn.LET(
  _xlpm.result, _xlfn.XLOOKUP($B121, Result_Database!$A$2:$A$500, Result_Database!K$2:K$500),
  _xlfn.IFNA(_xlpm.result, "")
)</f>
        <v/>
      </c>
      <c r="M121" t="str">
        <f>_xlfn.LET(
  _xlpm.result, _xlfn.XLOOKUP($B121, Result_Database!$A$2:$A$500, Result_Database!L$2:L$500),
  _xlfn.IFNA(_xlpm.result, "")
)</f>
        <v/>
      </c>
      <c r="N121" t="str">
        <f>_xlfn.LET(
  _xlpm.result, _xlfn.XLOOKUP($B121, Result_Database!$A$2:$A$500, Result_Database!M$2:M$500),
  _xlfn.IFNA(_xlpm.result, "")
)</f>
        <v/>
      </c>
      <c r="O121" t="str">
        <f>_xlfn.LET(
  _xlpm.result, _xlfn.XLOOKUP($B121, Result_Database!$A$2:$A$500, Result_Database!N$2:N$500),
  _xlfn.IFNA(_xlpm.result, "")
)</f>
        <v/>
      </c>
      <c r="P121" t="str">
        <f>_xlfn.LET(
  _xlpm.result, _xlfn.XLOOKUP($B121, Result_Database!$A$2:$A$500, Result_Database!O$2:O$500),
  _xlfn.IFNA(_xlpm.result, "")
)</f>
        <v/>
      </c>
      <c r="Q121" t="str">
        <f>_xlfn.LET(
  _xlpm.result, _xlfn.XLOOKUP($B121, Result_Database!$A$2:$A$500, Result_Database!P$2:P$500),
  _xlfn.IFNA(_xlpm.result, "")
)</f>
        <v/>
      </c>
      <c r="R121" t="str">
        <f>_xlfn.LET(
  _xlpm.result, _xlfn.XLOOKUP($B121, Result_Database!$A$2:$A$500, Result_Database!Q$2:Q$500),
  _xlfn.IFNA(_xlpm.result, "")
)</f>
        <v/>
      </c>
      <c r="S121" t="str">
        <f>_xlfn.LET(
  _xlpm.result, _xlfn.XLOOKUP($B121, Result_Database!$A$2:$A$500, Result_Database!R$2:R$500),
  _xlfn.IFNA(_xlpm.result, "")
)</f>
        <v/>
      </c>
      <c r="T121" t="str">
        <f>_xlfn.LET(
  _xlpm.result, _xlfn.XLOOKUP($B121, Result_Database!$A$2:$A$500, Result_Database!S$2:S$500),
  _xlfn.IFNA(_xlpm.result, "")
)</f>
        <v/>
      </c>
      <c r="U121" t="str">
        <f>_xlfn.LET(
  _xlpm.result, _xlfn.XLOOKUP($B121, Result_Database!$A$2:$A$500, Result_Database!T$2:T$500),
  _xlfn.IFNA(_xlpm.result, "")
)</f>
        <v/>
      </c>
      <c r="V121" t="str">
        <f>_xlfn.LET(
  _xlpm.result, _xlfn.XLOOKUP($B121, Result_Database!$A$2:$A$500, Result_Database!U$2:U$500),
  _xlfn.IFNA(_xlpm.result, "")
)</f>
        <v/>
      </c>
      <c r="W121" t="str">
        <f>_xlfn.LET(
  _xlpm.result, _xlfn.XLOOKUP($B121, Result_Database!$A$2:$A$500, Result_Database!V$2:V$500),
  _xlfn.IFNA(_xlpm.result, "")
)</f>
        <v/>
      </c>
      <c r="X121" t="str">
        <f>_xlfn.LET(
  _xlpm.result, _xlfn.XLOOKUP($B121, Result_Database!$A$2:$A$500, Result_Database!W$2:W$500),
  _xlfn.IFNA(_xlpm.result, "")
)</f>
        <v/>
      </c>
      <c r="Y121" t="str">
        <f>_xlfn.LET(
  _xlpm.result, _xlfn.XLOOKUP($B121, Result_Database!$A$2:$A$500, Result_Database!X$2:X$500),
  _xlfn.IFNA(_xlpm.result, "")
)</f>
        <v/>
      </c>
      <c r="Z121" t="str">
        <f>_xlfn.LET(
  _xlpm.result, _xlfn.XLOOKUP($B121, Result_Database!$A$2:$A$500, Result_Database!Y$2:Y$500),
  _xlfn.IFNA(_xlpm.result, "")
)</f>
        <v/>
      </c>
      <c r="AA121" t="str">
        <f>_xlfn.LET(
  _xlpm.result, _xlfn.XLOOKUP($B121, Result_Database!$A$2:$A$500, Result_Database!Z$2:Z$500),
  _xlfn.IFNA(_xlpm.result, "")
)</f>
        <v/>
      </c>
      <c r="AB121" t="str">
        <f>_xlfn.LET(
  _xlpm.result, _xlfn.XLOOKUP($B121, Result_Database!$A$2:$A$500, Result_Database!AA$2:AA$500),
  _xlfn.IFNA(_xlpm.result, "")
)</f>
        <v/>
      </c>
      <c r="AC121" t="str">
        <f>_xlfn.LET(
  _xlpm.result, _xlfn.XLOOKUP($B121, Result_Database!$A$2:$A$500, Result_Database!AB$2:AB$500),
  _xlfn.IFNA(_xlpm.result, "")
)</f>
        <v/>
      </c>
      <c r="AD121" t="str">
        <f>_xlfn.LET(
  _xlpm.result, _xlfn.XLOOKUP($B121, Result_Database!$A$2:$A$500, Result_Database!AC$2:AC$500),
  _xlfn.IFNA(_xlpm.result, "")
)</f>
        <v/>
      </c>
      <c r="AE121" t="str">
        <f>_xlfn.LET(
  _xlpm.result, _xlfn.XLOOKUP($B121, Result_Database!$A$2:$A$500, Result_Database!AD$2:AD$500),
  _xlfn.IFNA(_xlpm.result, "")
)</f>
        <v/>
      </c>
      <c r="AF121" t="str">
        <f>_xlfn.LET(
  _xlpm.result, _xlfn.XLOOKUP($B121, Result_Database!$A$2:$A$500, Result_Database!AE$2:AE$500),
  _xlfn.IFNA(_xlpm.result, "")
)</f>
        <v/>
      </c>
      <c r="AG121" t="str">
        <f>_xlfn.LET(
  _xlpm.result, _xlfn.XLOOKUP($B121, Result_Database!$A$2:$A$500, Result_Database!AF$2:AF$500),
  _xlfn.IFNA(_xlpm.result, "")
)</f>
        <v/>
      </c>
      <c r="AH121" t="str">
        <f>_xlfn.LET(
  _xlpm.result, _xlfn.XLOOKUP($B121, Result_Database!$A$2:$A$500, Result_Database!AG$2:AG$500),
  _xlfn.IFNA(_xlpm.result, "")
)</f>
        <v/>
      </c>
      <c r="AI121" t="str">
        <f>_xlfn.LET(
  _xlpm.result, _xlfn.XLOOKUP($B121, Result_Database!$A$2:$A$500, Result_Database!AH$2:AH$500),
  _xlfn.IFNA(_xlpm.result, "")
)</f>
        <v/>
      </c>
      <c r="AJ121" t="str">
        <f>_xlfn.LET(
  _xlpm.result, _xlfn.XLOOKUP($B121, Result_Database!$A$2:$A$500, Result_Database!AI$2:AI$500),
  _xlfn.IFNA(_xlpm.result, "")
)</f>
        <v/>
      </c>
      <c r="AK121" t="str">
        <f>_xlfn.LET(
  _xlpm.result, _xlfn.XLOOKUP($B121, Result_Database!$A$2:$A$500, Result_Database!AJ$2:AJ$500),
  _xlfn.IFNA(_xlpm.result, "")
)</f>
        <v/>
      </c>
      <c r="AL121" t="str">
        <f>_xlfn.LET(
  _xlpm.result, _xlfn.XLOOKUP($B121, Result_Database!$A$2:$A$500, Result_Database!AK$2:AK$500),
  _xlfn.IFNA(_xlpm.result, "")
)</f>
        <v/>
      </c>
      <c r="AM12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2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2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2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2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2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2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2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2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21" t="str">
        <f>IF(SUM(Table5[[#This Row],[A1]:[C6]])&lt;&gt;0,SUM(Table5[[#This Row],[A1]:[C6]]),"")</f>
        <v/>
      </c>
      <c r="AW121" t="str">
        <f>IF(SUM(Table5[[#This Row],[D7]:[F9]])=0,"",SUM(Table5[[#This Row],[D7]:[F9]]))</f>
        <v/>
      </c>
      <c r="AX12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2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2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2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2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2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21" t="str">
        <f>IF(COUNTIF(Table5[[#This Row],[English Language]:[Electrical/ Electronics]],"WITHHELD")=0,"",COUNTIF(Table5[[#This Row],[English Language]:[Electrical/ Electronics]],"WITHHELD"))</f>
        <v/>
      </c>
      <c r="BE121" t="str">
        <f>IF(SUM(Table5[[#This Row],[NO OF CREDITS]:[BELOW CREDITS]])=0,"",SUM(Table5[[#This Row],[NO OF CREDITS]:[BELOW CREDITS]]))</f>
        <v/>
      </c>
    </row>
    <row r="122" spans="1:57" x14ac:dyDescent="0.3">
      <c r="A122" t="str">
        <f>IF(B122&lt;&gt;"",COUNTA($B$6:B122),"")</f>
        <v/>
      </c>
      <c r="B122" t="str">
        <f>IF(Result_Database!A118="","",Result_Database!A118)</f>
        <v/>
      </c>
      <c r="C122" t="str">
        <f>_xlfn.LET(
_xlpm.result,_xlfn.XLOOKUP($B122,Result_Database!$A$2:$A$500,Result_Database!$B$2:$B$500),
_xlfn.IFNA(_xlpm.result,"")
)</f>
        <v/>
      </c>
      <c r="D122" t="str">
        <f>_xlfn.LET(
  _xlpm.result, _xlfn.XLOOKUP($B122, Result_Database!$A$2:$A$500, Result_Database!C$2:C$500),
  _xlfn.IFNA(_xlpm.result, "")
)</f>
        <v/>
      </c>
      <c r="E122" t="str">
        <f>_xlfn.LET(
  _xlpm.result, _xlfn.XLOOKUP($B122, Result_Database!$A$2:$A$500, Result_Database!D$2:D$500),
  _xlfn.IFNA(_xlpm.result, "")
)</f>
        <v/>
      </c>
      <c r="F122" t="str">
        <f>_xlfn.LET(
  _xlpm.result, _xlfn.XLOOKUP($B122, Result_Database!$A$2:$A$500, Result_Database!E$2:E$500),
  _xlfn.IFNA(_xlpm.result, "")
)</f>
        <v/>
      </c>
      <c r="G122" t="str">
        <f>_xlfn.LET(
  _xlpm.result, _xlfn.XLOOKUP($B122, Result_Database!$A$2:$A$500, Result_Database!F$2:F$500),
  _xlfn.IFNA(_xlpm.result, "")
)</f>
        <v/>
      </c>
      <c r="H122" t="str">
        <f>_xlfn.LET(
  _xlpm.result, _xlfn.XLOOKUP($B122, Result_Database!$A$2:$A$500, Result_Database!G$2:G$500),
  _xlfn.IFNA(_xlpm.result, "")
)</f>
        <v/>
      </c>
      <c r="I122" t="str">
        <f>_xlfn.LET(
  _xlpm.result, _xlfn.XLOOKUP($B122, Result_Database!$A$2:$A$500, Result_Database!H$2:H$500),
  _xlfn.IFNA(_xlpm.result, "")
)</f>
        <v/>
      </c>
      <c r="J122" t="str">
        <f>_xlfn.LET(
  _xlpm.result, _xlfn.XLOOKUP($B122, Result_Database!$A$2:$A$500, Result_Database!I$2:I$500),
  _xlfn.IFNA(_xlpm.result, "")
)</f>
        <v/>
      </c>
      <c r="K122" t="str">
        <f>_xlfn.LET(
  _xlpm.result, _xlfn.XLOOKUP($B122, Result_Database!$A$2:$A$500, Result_Database!J$2:J$500),
  _xlfn.IFNA(_xlpm.result, "")
)</f>
        <v/>
      </c>
      <c r="L122" t="str">
        <f>_xlfn.LET(
  _xlpm.result, _xlfn.XLOOKUP($B122, Result_Database!$A$2:$A$500, Result_Database!K$2:K$500),
  _xlfn.IFNA(_xlpm.result, "")
)</f>
        <v/>
      </c>
      <c r="M122" t="str">
        <f>_xlfn.LET(
  _xlpm.result, _xlfn.XLOOKUP($B122, Result_Database!$A$2:$A$500, Result_Database!L$2:L$500),
  _xlfn.IFNA(_xlpm.result, "")
)</f>
        <v/>
      </c>
      <c r="N122" t="str">
        <f>_xlfn.LET(
  _xlpm.result, _xlfn.XLOOKUP($B122, Result_Database!$A$2:$A$500, Result_Database!M$2:M$500),
  _xlfn.IFNA(_xlpm.result, "")
)</f>
        <v/>
      </c>
      <c r="O122" t="str">
        <f>_xlfn.LET(
  _xlpm.result, _xlfn.XLOOKUP($B122, Result_Database!$A$2:$A$500, Result_Database!N$2:N$500),
  _xlfn.IFNA(_xlpm.result, "")
)</f>
        <v/>
      </c>
      <c r="P122" t="str">
        <f>_xlfn.LET(
  _xlpm.result, _xlfn.XLOOKUP($B122, Result_Database!$A$2:$A$500, Result_Database!O$2:O$500),
  _xlfn.IFNA(_xlpm.result, "")
)</f>
        <v/>
      </c>
      <c r="Q122" t="str">
        <f>_xlfn.LET(
  _xlpm.result, _xlfn.XLOOKUP($B122, Result_Database!$A$2:$A$500, Result_Database!P$2:P$500),
  _xlfn.IFNA(_xlpm.result, "")
)</f>
        <v/>
      </c>
      <c r="R122" t="str">
        <f>_xlfn.LET(
  _xlpm.result, _xlfn.XLOOKUP($B122, Result_Database!$A$2:$A$500, Result_Database!Q$2:Q$500),
  _xlfn.IFNA(_xlpm.result, "")
)</f>
        <v/>
      </c>
      <c r="S122" t="str">
        <f>_xlfn.LET(
  _xlpm.result, _xlfn.XLOOKUP($B122, Result_Database!$A$2:$A$500, Result_Database!R$2:R$500),
  _xlfn.IFNA(_xlpm.result, "")
)</f>
        <v/>
      </c>
      <c r="T122" t="str">
        <f>_xlfn.LET(
  _xlpm.result, _xlfn.XLOOKUP($B122, Result_Database!$A$2:$A$500, Result_Database!S$2:S$500),
  _xlfn.IFNA(_xlpm.result, "")
)</f>
        <v/>
      </c>
      <c r="U122" t="str">
        <f>_xlfn.LET(
  _xlpm.result, _xlfn.XLOOKUP($B122, Result_Database!$A$2:$A$500, Result_Database!T$2:T$500),
  _xlfn.IFNA(_xlpm.result, "")
)</f>
        <v/>
      </c>
      <c r="V122" t="str">
        <f>_xlfn.LET(
  _xlpm.result, _xlfn.XLOOKUP($B122, Result_Database!$A$2:$A$500, Result_Database!U$2:U$500),
  _xlfn.IFNA(_xlpm.result, "")
)</f>
        <v/>
      </c>
      <c r="W122" t="str">
        <f>_xlfn.LET(
  _xlpm.result, _xlfn.XLOOKUP($B122, Result_Database!$A$2:$A$500, Result_Database!V$2:V$500),
  _xlfn.IFNA(_xlpm.result, "")
)</f>
        <v/>
      </c>
      <c r="X122" t="str">
        <f>_xlfn.LET(
  _xlpm.result, _xlfn.XLOOKUP($B122, Result_Database!$A$2:$A$500, Result_Database!W$2:W$500),
  _xlfn.IFNA(_xlpm.result, "")
)</f>
        <v/>
      </c>
      <c r="Y122" t="str">
        <f>_xlfn.LET(
  _xlpm.result, _xlfn.XLOOKUP($B122, Result_Database!$A$2:$A$500, Result_Database!X$2:X$500),
  _xlfn.IFNA(_xlpm.result, "")
)</f>
        <v/>
      </c>
      <c r="Z122" t="str">
        <f>_xlfn.LET(
  _xlpm.result, _xlfn.XLOOKUP($B122, Result_Database!$A$2:$A$500, Result_Database!Y$2:Y$500),
  _xlfn.IFNA(_xlpm.result, "")
)</f>
        <v/>
      </c>
      <c r="AA122" t="str">
        <f>_xlfn.LET(
  _xlpm.result, _xlfn.XLOOKUP($B122, Result_Database!$A$2:$A$500, Result_Database!Z$2:Z$500),
  _xlfn.IFNA(_xlpm.result, "")
)</f>
        <v/>
      </c>
      <c r="AB122" t="str">
        <f>_xlfn.LET(
  _xlpm.result, _xlfn.XLOOKUP($B122, Result_Database!$A$2:$A$500, Result_Database!AA$2:AA$500),
  _xlfn.IFNA(_xlpm.result, "")
)</f>
        <v/>
      </c>
      <c r="AC122" t="str">
        <f>_xlfn.LET(
  _xlpm.result, _xlfn.XLOOKUP($B122, Result_Database!$A$2:$A$500, Result_Database!AB$2:AB$500),
  _xlfn.IFNA(_xlpm.result, "")
)</f>
        <v/>
      </c>
      <c r="AD122" t="str">
        <f>_xlfn.LET(
  _xlpm.result, _xlfn.XLOOKUP($B122, Result_Database!$A$2:$A$500, Result_Database!AC$2:AC$500),
  _xlfn.IFNA(_xlpm.result, "")
)</f>
        <v/>
      </c>
      <c r="AE122" t="str">
        <f>_xlfn.LET(
  _xlpm.result, _xlfn.XLOOKUP($B122, Result_Database!$A$2:$A$500, Result_Database!AD$2:AD$500),
  _xlfn.IFNA(_xlpm.result, "")
)</f>
        <v/>
      </c>
      <c r="AF122" t="str">
        <f>_xlfn.LET(
  _xlpm.result, _xlfn.XLOOKUP($B122, Result_Database!$A$2:$A$500, Result_Database!AE$2:AE$500),
  _xlfn.IFNA(_xlpm.result, "")
)</f>
        <v/>
      </c>
      <c r="AG122" t="str">
        <f>_xlfn.LET(
  _xlpm.result, _xlfn.XLOOKUP($B122, Result_Database!$A$2:$A$500, Result_Database!AF$2:AF$500),
  _xlfn.IFNA(_xlpm.result, "")
)</f>
        <v/>
      </c>
      <c r="AH122" t="str">
        <f>_xlfn.LET(
  _xlpm.result, _xlfn.XLOOKUP($B122, Result_Database!$A$2:$A$500, Result_Database!AG$2:AG$500),
  _xlfn.IFNA(_xlpm.result, "")
)</f>
        <v/>
      </c>
      <c r="AI122" t="str">
        <f>_xlfn.LET(
  _xlpm.result, _xlfn.XLOOKUP($B122, Result_Database!$A$2:$A$500, Result_Database!AH$2:AH$500),
  _xlfn.IFNA(_xlpm.result, "")
)</f>
        <v/>
      </c>
      <c r="AJ122" t="str">
        <f>_xlfn.LET(
  _xlpm.result, _xlfn.XLOOKUP($B122, Result_Database!$A$2:$A$500, Result_Database!AI$2:AI$500),
  _xlfn.IFNA(_xlpm.result, "")
)</f>
        <v/>
      </c>
      <c r="AK122" t="str">
        <f>_xlfn.LET(
  _xlpm.result, _xlfn.XLOOKUP($B122, Result_Database!$A$2:$A$500, Result_Database!AJ$2:AJ$500),
  _xlfn.IFNA(_xlpm.result, "")
)</f>
        <v/>
      </c>
      <c r="AL122" t="str">
        <f>_xlfn.LET(
  _xlpm.result, _xlfn.XLOOKUP($B122, Result_Database!$A$2:$A$500, Result_Database!AK$2:AK$500),
  _xlfn.IFNA(_xlpm.result, "")
)</f>
        <v/>
      </c>
      <c r="AM12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2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2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2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2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2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2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2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2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22" t="str">
        <f>IF(SUM(Table5[[#This Row],[A1]:[C6]])&lt;&gt;0,SUM(Table5[[#This Row],[A1]:[C6]]),"")</f>
        <v/>
      </c>
      <c r="AW122" t="str">
        <f>IF(SUM(Table5[[#This Row],[D7]:[F9]])=0,"",SUM(Table5[[#This Row],[D7]:[F9]]))</f>
        <v/>
      </c>
      <c r="AX12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2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2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2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2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2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22" t="str">
        <f>IF(COUNTIF(Table5[[#This Row],[English Language]:[Electrical/ Electronics]],"WITHHELD")=0,"",COUNTIF(Table5[[#This Row],[English Language]:[Electrical/ Electronics]],"WITHHELD"))</f>
        <v/>
      </c>
      <c r="BE122" t="str">
        <f>IF(SUM(Table5[[#This Row],[NO OF CREDITS]:[BELOW CREDITS]])=0,"",SUM(Table5[[#This Row],[NO OF CREDITS]:[BELOW CREDITS]]))</f>
        <v/>
      </c>
    </row>
    <row r="123" spans="1:57" x14ac:dyDescent="0.3">
      <c r="A123" t="str">
        <f>IF(B123&lt;&gt;"",COUNTA($B$6:B123),"")</f>
        <v/>
      </c>
      <c r="B123" t="str">
        <f>IF(Result_Database!A119="","",Result_Database!A119)</f>
        <v/>
      </c>
      <c r="C123" t="str">
        <f>_xlfn.LET(
_xlpm.result,_xlfn.XLOOKUP($B123,Result_Database!$A$2:$A$500,Result_Database!$B$2:$B$500),
_xlfn.IFNA(_xlpm.result,"")
)</f>
        <v/>
      </c>
      <c r="D123" t="str">
        <f>_xlfn.LET(
  _xlpm.result, _xlfn.XLOOKUP($B123, Result_Database!$A$2:$A$500, Result_Database!C$2:C$500),
  _xlfn.IFNA(_xlpm.result, "")
)</f>
        <v/>
      </c>
      <c r="E123" t="str">
        <f>_xlfn.LET(
  _xlpm.result, _xlfn.XLOOKUP($B123, Result_Database!$A$2:$A$500, Result_Database!D$2:D$500),
  _xlfn.IFNA(_xlpm.result, "")
)</f>
        <v/>
      </c>
      <c r="F123" t="str">
        <f>_xlfn.LET(
  _xlpm.result, _xlfn.XLOOKUP($B123, Result_Database!$A$2:$A$500, Result_Database!E$2:E$500),
  _xlfn.IFNA(_xlpm.result, "")
)</f>
        <v/>
      </c>
      <c r="G123" t="str">
        <f>_xlfn.LET(
  _xlpm.result, _xlfn.XLOOKUP($B123, Result_Database!$A$2:$A$500, Result_Database!F$2:F$500),
  _xlfn.IFNA(_xlpm.result, "")
)</f>
        <v/>
      </c>
      <c r="H123" t="str">
        <f>_xlfn.LET(
  _xlpm.result, _xlfn.XLOOKUP($B123, Result_Database!$A$2:$A$500, Result_Database!G$2:G$500),
  _xlfn.IFNA(_xlpm.result, "")
)</f>
        <v/>
      </c>
      <c r="I123" t="str">
        <f>_xlfn.LET(
  _xlpm.result, _xlfn.XLOOKUP($B123, Result_Database!$A$2:$A$500, Result_Database!H$2:H$500),
  _xlfn.IFNA(_xlpm.result, "")
)</f>
        <v/>
      </c>
      <c r="J123" t="str">
        <f>_xlfn.LET(
  _xlpm.result, _xlfn.XLOOKUP($B123, Result_Database!$A$2:$A$500, Result_Database!I$2:I$500),
  _xlfn.IFNA(_xlpm.result, "")
)</f>
        <v/>
      </c>
      <c r="K123" t="str">
        <f>_xlfn.LET(
  _xlpm.result, _xlfn.XLOOKUP($B123, Result_Database!$A$2:$A$500, Result_Database!J$2:J$500),
  _xlfn.IFNA(_xlpm.result, "")
)</f>
        <v/>
      </c>
      <c r="L123" t="str">
        <f>_xlfn.LET(
  _xlpm.result, _xlfn.XLOOKUP($B123, Result_Database!$A$2:$A$500, Result_Database!K$2:K$500),
  _xlfn.IFNA(_xlpm.result, "")
)</f>
        <v/>
      </c>
      <c r="M123" t="str">
        <f>_xlfn.LET(
  _xlpm.result, _xlfn.XLOOKUP($B123, Result_Database!$A$2:$A$500, Result_Database!L$2:L$500),
  _xlfn.IFNA(_xlpm.result, "")
)</f>
        <v/>
      </c>
      <c r="N123" t="str">
        <f>_xlfn.LET(
  _xlpm.result, _xlfn.XLOOKUP($B123, Result_Database!$A$2:$A$500, Result_Database!M$2:M$500),
  _xlfn.IFNA(_xlpm.result, "")
)</f>
        <v/>
      </c>
      <c r="O123" t="str">
        <f>_xlfn.LET(
  _xlpm.result, _xlfn.XLOOKUP($B123, Result_Database!$A$2:$A$500, Result_Database!N$2:N$500),
  _xlfn.IFNA(_xlpm.result, "")
)</f>
        <v/>
      </c>
      <c r="P123" t="str">
        <f>_xlfn.LET(
  _xlpm.result, _xlfn.XLOOKUP($B123, Result_Database!$A$2:$A$500, Result_Database!O$2:O$500),
  _xlfn.IFNA(_xlpm.result, "")
)</f>
        <v/>
      </c>
      <c r="Q123" t="str">
        <f>_xlfn.LET(
  _xlpm.result, _xlfn.XLOOKUP($B123, Result_Database!$A$2:$A$500, Result_Database!P$2:P$500),
  _xlfn.IFNA(_xlpm.result, "")
)</f>
        <v/>
      </c>
      <c r="R123" t="str">
        <f>_xlfn.LET(
  _xlpm.result, _xlfn.XLOOKUP($B123, Result_Database!$A$2:$A$500, Result_Database!Q$2:Q$500),
  _xlfn.IFNA(_xlpm.result, "")
)</f>
        <v/>
      </c>
      <c r="S123" t="str">
        <f>_xlfn.LET(
  _xlpm.result, _xlfn.XLOOKUP($B123, Result_Database!$A$2:$A$500, Result_Database!R$2:R$500),
  _xlfn.IFNA(_xlpm.result, "")
)</f>
        <v/>
      </c>
      <c r="T123" t="str">
        <f>_xlfn.LET(
  _xlpm.result, _xlfn.XLOOKUP($B123, Result_Database!$A$2:$A$500, Result_Database!S$2:S$500),
  _xlfn.IFNA(_xlpm.result, "")
)</f>
        <v/>
      </c>
      <c r="U123" t="str">
        <f>_xlfn.LET(
  _xlpm.result, _xlfn.XLOOKUP($B123, Result_Database!$A$2:$A$500, Result_Database!T$2:T$500),
  _xlfn.IFNA(_xlpm.result, "")
)</f>
        <v/>
      </c>
      <c r="V123" t="str">
        <f>_xlfn.LET(
  _xlpm.result, _xlfn.XLOOKUP($B123, Result_Database!$A$2:$A$500, Result_Database!U$2:U$500),
  _xlfn.IFNA(_xlpm.result, "")
)</f>
        <v/>
      </c>
      <c r="W123" t="str">
        <f>_xlfn.LET(
  _xlpm.result, _xlfn.XLOOKUP($B123, Result_Database!$A$2:$A$500, Result_Database!V$2:V$500),
  _xlfn.IFNA(_xlpm.result, "")
)</f>
        <v/>
      </c>
      <c r="X123" t="str">
        <f>_xlfn.LET(
  _xlpm.result, _xlfn.XLOOKUP($B123, Result_Database!$A$2:$A$500, Result_Database!W$2:W$500),
  _xlfn.IFNA(_xlpm.result, "")
)</f>
        <v/>
      </c>
      <c r="Y123" t="str">
        <f>_xlfn.LET(
  _xlpm.result, _xlfn.XLOOKUP($B123, Result_Database!$A$2:$A$500, Result_Database!X$2:X$500),
  _xlfn.IFNA(_xlpm.result, "")
)</f>
        <v/>
      </c>
      <c r="Z123" t="str">
        <f>_xlfn.LET(
  _xlpm.result, _xlfn.XLOOKUP($B123, Result_Database!$A$2:$A$500, Result_Database!Y$2:Y$500),
  _xlfn.IFNA(_xlpm.result, "")
)</f>
        <v/>
      </c>
      <c r="AA123" t="str">
        <f>_xlfn.LET(
  _xlpm.result, _xlfn.XLOOKUP($B123, Result_Database!$A$2:$A$500, Result_Database!Z$2:Z$500),
  _xlfn.IFNA(_xlpm.result, "")
)</f>
        <v/>
      </c>
      <c r="AB123" t="str">
        <f>_xlfn.LET(
  _xlpm.result, _xlfn.XLOOKUP($B123, Result_Database!$A$2:$A$500, Result_Database!AA$2:AA$500),
  _xlfn.IFNA(_xlpm.result, "")
)</f>
        <v/>
      </c>
      <c r="AC123" t="str">
        <f>_xlfn.LET(
  _xlpm.result, _xlfn.XLOOKUP($B123, Result_Database!$A$2:$A$500, Result_Database!AB$2:AB$500),
  _xlfn.IFNA(_xlpm.result, "")
)</f>
        <v/>
      </c>
      <c r="AD123" t="str">
        <f>_xlfn.LET(
  _xlpm.result, _xlfn.XLOOKUP($B123, Result_Database!$A$2:$A$500, Result_Database!AC$2:AC$500),
  _xlfn.IFNA(_xlpm.result, "")
)</f>
        <v/>
      </c>
      <c r="AE123" t="str">
        <f>_xlfn.LET(
  _xlpm.result, _xlfn.XLOOKUP($B123, Result_Database!$A$2:$A$500, Result_Database!AD$2:AD$500),
  _xlfn.IFNA(_xlpm.result, "")
)</f>
        <v/>
      </c>
      <c r="AF123" t="str">
        <f>_xlfn.LET(
  _xlpm.result, _xlfn.XLOOKUP($B123, Result_Database!$A$2:$A$500, Result_Database!AE$2:AE$500),
  _xlfn.IFNA(_xlpm.result, "")
)</f>
        <v/>
      </c>
      <c r="AG123" t="str">
        <f>_xlfn.LET(
  _xlpm.result, _xlfn.XLOOKUP($B123, Result_Database!$A$2:$A$500, Result_Database!AF$2:AF$500),
  _xlfn.IFNA(_xlpm.result, "")
)</f>
        <v/>
      </c>
      <c r="AH123" t="str">
        <f>_xlfn.LET(
  _xlpm.result, _xlfn.XLOOKUP($B123, Result_Database!$A$2:$A$500, Result_Database!AG$2:AG$500),
  _xlfn.IFNA(_xlpm.result, "")
)</f>
        <v/>
      </c>
      <c r="AI123" t="str">
        <f>_xlfn.LET(
  _xlpm.result, _xlfn.XLOOKUP($B123, Result_Database!$A$2:$A$500, Result_Database!AH$2:AH$500),
  _xlfn.IFNA(_xlpm.result, "")
)</f>
        <v/>
      </c>
      <c r="AJ123" t="str">
        <f>_xlfn.LET(
  _xlpm.result, _xlfn.XLOOKUP($B123, Result_Database!$A$2:$A$500, Result_Database!AI$2:AI$500),
  _xlfn.IFNA(_xlpm.result, "")
)</f>
        <v/>
      </c>
      <c r="AK123" t="str">
        <f>_xlfn.LET(
  _xlpm.result, _xlfn.XLOOKUP($B123, Result_Database!$A$2:$A$500, Result_Database!AJ$2:AJ$500),
  _xlfn.IFNA(_xlpm.result, "")
)</f>
        <v/>
      </c>
      <c r="AL123" t="str">
        <f>_xlfn.LET(
  _xlpm.result, _xlfn.XLOOKUP($B123, Result_Database!$A$2:$A$500, Result_Database!AK$2:AK$500),
  _xlfn.IFNA(_xlpm.result, "")
)</f>
        <v/>
      </c>
      <c r="AM12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2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2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2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2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2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2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2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2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23" t="str">
        <f>IF(SUM(Table5[[#This Row],[A1]:[C6]])&lt;&gt;0,SUM(Table5[[#This Row],[A1]:[C6]]),"")</f>
        <v/>
      </c>
      <c r="AW123" t="str">
        <f>IF(SUM(Table5[[#This Row],[D7]:[F9]])=0,"",SUM(Table5[[#This Row],[D7]:[F9]]))</f>
        <v/>
      </c>
      <c r="AX12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2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2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2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2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2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23" t="str">
        <f>IF(COUNTIF(Table5[[#This Row],[English Language]:[Electrical/ Electronics]],"WITHHELD")=0,"",COUNTIF(Table5[[#This Row],[English Language]:[Electrical/ Electronics]],"WITHHELD"))</f>
        <v/>
      </c>
      <c r="BE123" t="str">
        <f>IF(SUM(Table5[[#This Row],[NO OF CREDITS]:[BELOW CREDITS]])=0,"",SUM(Table5[[#This Row],[NO OF CREDITS]:[BELOW CREDITS]]))</f>
        <v/>
      </c>
    </row>
    <row r="124" spans="1:57" x14ac:dyDescent="0.3">
      <c r="A124" t="str">
        <f>IF(B124&lt;&gt;"",COUNTA($B$6:B124),"")</f>
        <v/>
      </c>
      <c r="B124" t="str">
        <f>IF(Result_Database!A120="","",Result_Database!A120)</f>
        <v/>
      </c>
      <c r="C124" t="str">
        <f>_xlfn.LET(
_xlpm.result,_xlfn.XLOOKUP($B124,Result_Database!$A$2:$A$500,Result_Database!$B$2:$B$500),
_xlfn.IFNA(_xlpm.result,"")
)</f>
        <v/>
      </c>
      <c r="D124" t="str">
        <f>_xlfn.LET(
  _xlpm.result, _xlfn.XLOOKUP($B124, Result_Database!$A$2:$A$500, Result_Database!C$2:C$500),
  _xlfn.IFNA(_xlpm.result, "")
)</f>
        <v/>
      </c>
      <c r="E124" t="str">
        <f>_xlfn.LET(
  _xlpm.result, _xlfn.XLOOKUP($B124, Result_Database!$A$2:$A$500, Result_Database!D$2:D$500),
  _xlfn.IFNA(_xlpm.result, "")
)</f>
        <v/>
      </c>
      <c r="F124" t="str">
        <f>_xlfn.LET(
  _xlpm.result, _xlfn.XLOOKUP($B124, Result_Database!$A$2:$A$500, Result_Database!E$2:E$500),
  _xlfn.IFNA(_xlpm.result, "")
)</f>
        <v/>
      </c>
      <c r="G124" t="str">
        <f>_xlfn.LET(
  _xlpm.result, _xlfn.XLOOKUP($B124, Result_Database!$A$2:$A$500, Result_Database!F$2:F$500),
  _xlfn.IFNA(_xlpm.result, "")
)</f>
        <v/>
      </c>
      <c r="H124" t="str">
        <f>_xlfn.LET(
  _xlpm.result, _xlfn.XLOOKUP($B124, Result_Database!$A$2:$A$500, Result_Database!G$2:G$500),
  _xlfn.IFNA(_xlpm.result, "")
)</f>
        <v/>
      </c>
      <c r="I124" t="str">
        <f>_xlfn.LET(
  _xlpm.result, _xlfn.XLOOKUP($B124, Result_Database!$A$2:$A$500, Result_Database!H$2:H$500),
  _xlfn.IFNA(_xlpm.result, "")
)</f>
        <v/>
      </c>
      <c r="J124" t="str">
        <f>_xlfn.LET(
  _xlpm.result, _xlfn.XLOOKUP($B124, Result_Database!$A$2:$A$500, Result_Database!I$2:I$500),
  _xlfn.IFNA(_xlpm.result, "")
)</f>
        <v/>
      </c>
      <c r="K124" t="str">
        <f>_xlfn.LET(
  _xlpm.result, _xlfn.XLOOKUP($B124, Result_Database!$A$2:$A$500, Result_Database!J$2:J$500),
  _xlfn.IFNA(_xlpm.result, "")
)</f>
        <v/>
      </c>
      <c r="L124" t="str">
        <f>_xlfn.LET(
  _xlpm.result, _xlfn.XLOOKUP($B124, Result_Database!$A$2:$A$500, Result_Database!K$2:K$500),
  _xlfn.IFNA(_xlpm.result, "")
)</f>
        <v/>
      </c>
      <c r="M124" t="str">
        <f>_xlfn.LET(
  _xlpm.result, _xlfn.XLOOKUP($B124, Result_Database!$A$2:$A$500, Result_Database!L$2:L$500),
  _xlfn.IFNA(_xlpm.result, "")
)</f>
        <v/>
      </c>
      <c r="N124" t="str">
        <f>_xlfn.LET(
  _xlpm.result, _xlfn.XLOOKUP($B124, Result_Database!$A$2:$A$500, Result_Database!M$2:M$500),
  _xlfn.IFNA(_xlpm.result, "")
)</f>
        <v/>
      </c>
      <c r="O124" t="str">
        <f>_xlfn.LET(
  _xlpm.result, _xlfn.XLOOKUP($B124, Result_Database!$A$2:$A$500, Result_Database!N$2:N$500),
  _xlfn.IFNA(_xlpm.result, "")
)</f>
        <v/>
      </c>
      <c r="P124" t="str">
        <f>_xlfn.LET(
  _xlpm.result, _xlfn.XLOOKUP($B124, Result_Database!$A$2:$A$500, Result_Database!O$2:O$500),
  _xlfn.IFNA(_xlpm.result, "")
)</f>
        <v/>
      </c>
      <c r="Q124" t="str">
        <f>_xlfn.LET(
  _xlpm.result, _xlfn.XLOOKUP($B124, Result_Database!$A$2:$A$500, Result_Database!P$2:P$500),
  _xlfn.IFNA(_xlpm.result, "")
)</f>
        <v/>
      </c>
      <c r="R124" t="str">
        <f>_xlfn.LET(
  _xlpm.result, _xlfn.XLOOKUP($B124, Result_Database!$A$2:$A$500, Result_Database!Q$2:Q$500),
  _xlfn.IFNA(_xlpm.result, "")
)</f>
        <v/>
      </c>
      <c r="S124" t="str">
        <f>_xlfn.LET(
  _xlpm.result, _xlfn.XLOOKUP($B124, Result_Database!$A$2:$A$500, Result_Database!R$2:R$500),
  _xlfn.IFNA(_xlpm.result, "")
)</f>
        <v/>
      </c>
      <c r="T124" t="str">
        <f>_xlfn.LET(
  _xlpm.result, _xlfn.XLOOKUP($B124, Result_Database!$A$2:$A$500, Result_Database!S$2:S$500),
  _xlfn.IFNA(_xlpm.result, "")
)</f>
        <v/>
      </c>
      <c r="U124" t="str">
        <f>_xlfn.LET(
  _xlpm.result, _xlfn.XLOOKUP($B124, Result_Database!$A$2:$A$500, Result_Database!T$2:T$500),
  _xlfn.IFNA(_xlpm.result, "")
)</f>
        <v/>
      </c>
      <c r="V124" t="str">
        <f>_xlfn.LET(
  _xlpm.result, _xlfn.XLOOKUP($B124, Result_Database!$A$2:$A$500, Result_Database!U$2:U$500),
  _xlfn.IFNA(_xlpm.result, "")
)</f>
        <v/>
      </c>
      <c r="W124" t="str">
        <f>_xlfn.LET(
  _xlpm.result, _xlfn.XLOOKUP($B124, Result_Database!$A$2:$A$500, Result_Database!V$2:V$500),
  _xlfn.IFNA(_xlpm.result, "")
)</f>
        <v/>
      </c>
      <c r="X124" t="str">
        <f>_xlfn.LET(
  _xlpm.result, _xlfn.XLOOKUP($B124, Result_Database!$A$2:$A$500, Result_Database!W$2:W$500),
  _xlfn.IFNA(_xlpm.result, "")
)</f>
        <v/>
      </c>
      <c r="Y124" t="str">
        <f>_xlfn.LET(
  _xlpm.result, _xlfn.XLOOKUP($B124, Result_Database!$A$2:$A$500, Result_Database!X$2:X$500),
  _xlfn.IFNA(_xlpm.result, "")
)</f>
        <v/>
      </c>
      <c r="Z124" t="str">
        <f>_xlfn.LET(
  _xlpm.result, _xlfn.XLOOKUP($B124, Result_Database!$A$2:$A$500, Result_Database!Y$2:Y$500),
  _xlfn.IFNA(_xlpm.result, "")
)</f>
        <v/>
      </c>
      <c r="AA124" t="str">
        <f>_xlfn.LET(
  _xlpm.result, _xlfn.XLOOKUP($B124, Result_Database!$A$2:$A$500, Result_Database!Z$2:Z$500),
  _xlfn.IFNA(_xlpm.result, "")
)</f>
        <v/>
      </c>
      <c r="AB124" t="str">
        <f>_xlfn.LET(
  _xlpm.result, _xlfn.XLOOKUP($B124, Result_Database!$A$2:$A$500, Result_Database!AA$2:AA$500),
  _xlfn.IFNA(_xlpm.result, "")
)</f>
        <v/>
      </c>
      <c r="AC124" t="str">
        <f>_xlfn.LET(
  _xlpm.result, _xlfn.XLOOKUP($B124, Result_Database!$A$2:$A$500, Result_Database!AB$2:AB$500),
  _xlfn.IFNA(_xlpm.result, "")
)</f>
        <v/>
      </c>
      <c r="AD124" t="str">
        <f>_xlfn.LET(
  _xlpm.result, _xlfn.XLOOKUP($B124, Result_Database!$A$2:$A$500, Result_Database!AC$2:AC$500),
  _xlfn.IFNA(_xlpm.result, "")
)</f>
        <v/>
      </c>
      <c r="AE124" t="str">
        <f>_xlfn.LET(
  _xlpm.result, _xlfn.XLOOKUP($B124, Result_Database!$A$2:$A$500, Result_Database!AD$2:AD$500),
  _xlfn.IFNA(_xlpm.result, "")
)</f>
        <v/>
      </c>
      <c r="AF124" t="str">
        <f>_xlfn.LET(
  _xlpm.result, _xlfn.XLOOKUP($B124, Result_Database!$A$2:$A$500, Result_Database!AE$2:AE$500),
  _xlfn.IFNA(_xlpm.result, "")
)</f>
        <v/>
      </c>
      <c r="AG124" t="str">
        <f>_xlfn.LET(
  _xlpm.result, _xlfn.XLOOKUP($B124, Result_Database!$A$2:$A$500, Result_Database!AF$2:AF$500),
  _xlfn.IFNA(_xlpm.result, "")
)</f>
        <v/>
      </c>
      <c r="AH124" t="str">
        <f>_xlfn.LET(
  _xlpm.result, _xlfn.XLOOKUP($B124, Result_Database!$A$2:$A$500, Result_Database!AG$2:AG$500),
  _xlfn.IFNA(_xlpm.result, "")
)</f>
        <v/>
      </c>
      <c r="AI124" t="str">
        <f>_xlfn.LET(
  _xlpm.result, _xlfn.XLOOKUP($B124, Result_Database!$A$2:$A$500, Result_Database!AH$2:AH$500),
  _xlfn.IFNA(_xlpm.result, "")
)</f>
        <v/>
      </c>
      <c r="AJ124" t="str">
        <f>_xlfn.LET(
  _xlpm.result, _xlfn.XLOOKUP($B124, Result_Database!$A$2:$A$500, Result_Database!AI$2:AI$500),
  _xlfn.IFNA(_xlpm.result, "")
)</f>
        <v/>
      </c>
      <c r="AK124" t="str">
        <f>_xlfn.LET(
  _xlpm.result, _xlfn.XLOOKUP($B124, Result_Database!$A$2:$A$500, Result_Database!AJ$2:AJ$500),
  _xlfn.IFNA(_xlpm.result, "")
)</f>
        <v/>
      </c>
      <c r="AL124" t="str">
        <f>_xlfn.LET(
  _xlpm.result, _xlfn.XLOOKUP($B124, Result_Database!$A$2:$A$500, Result_Database!AK$2:AK$500),
  _xlfn.IFNA(_xlpm.result, "")
)</f>
        <v/>
      </c>
      <c r="AM12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2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2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2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2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2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2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2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2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24" t="str">
        <f>IF(SUM(Table5[[#This Row],[A1]:[C6]])&lt;&gt;0,SUM(Table5[[#This Row],[A1]:[C6]]),"")</f>
        <v/>
      </c>
      <c r="AW124" t="str">
        <f>IF(SUM(Table5[[#This Row],[D7]:[F9]])=0,"",SUM(Table5[[#This Row],[D7]:[F9]]))</f>
        <v/>
      </c>
      <c r="AX12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2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2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2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2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2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24" t="str">
        <f>IF(COUNTIF(Table5[[#This Row],[English Language]:[Electrical/ Electronics]],"WITHHELD")=0,"",COUNTIF(Table5[[#This Row],[English Language]:[Electrical/ Electronics]],"WITHHELD"))</f>
        <v/>
      </c>
      <c r="BE124" t="str">
        <f>IF(SUM(Table5[[#This Row],[NO OF CREDITS]:[BELOW CREDITS]])=0,"",SUM(Table5[[#This Row],[NO OF CREDITS]:[BELOW CREDITS]]))</f>
        <v/>
      </c>
    </row>
    <row r="125" spans="1:57" x14ac:dyDescent="0.3">
      <c r="A125" t="str">
        <f>IF(B125&lt;&gt;"",COUNTA($B$6:B125),"")</f>
        <v/>
      </c>
      <c r="B125" t="str">
        <f>IF(Result_Database!A121="","",Result_Database!A121)</f>
        <v/>
      </c>
      <c r="C125" t="str">
        <f>_xlfn.LET(
_xlpm.result,_xlfn.XLOOKUP($B125,Result_Database!$A$2:$A$500,Result_Database!$B$2:$B$500),
_xlfn.IFNA(_xlpm.result,"")
)</f>
        <v/>
      </c>
      <c r="D125" t="str">
        <f>_xlfn.LET(
  _xlpm.result, _xlfn.XLOOKUP($B125, Result_Database!$A$2:$A$500, Result_Database!C$2:C$500),
  _xlfn.IFNA(_xlpm.result, "")
)</f>
        <v/>
      </c>
      <c r="E125" t="str">
        <f>_xlfn.LET(
  _xlpm.result, _xlfn.XLOOKUP($B125, Result_Database!$A$2:$A$500, Result_Database!D$2:D$500),
  _xlfn.IFNA(_xlpm.result, "")
)</f>
        <v/>
      </c>
      <c r="F125" t="str">
        <f>_xlfn.LET(
  _xlpm.result, _xlfn.XLOOKUP($B125, Result_Database!$A$2:$A$500, Result_Database!E$2:E$500),
  _xlfn.IFNA(_xlpm.result, "")
)</f>
        <v/>
      </c>
      <c r="G125" t="str">
        <f>_xlfn.LET(
  _xlpm.result, _xlfn.XLOOKUP($B125, Result_Database!$A$2:$A$500, Result_Database!F$2:F$500),
  _xlfn.IFNA(_xlpm.result, "")
)</f>
        <v/>
      </c>
      <c r="H125" t="str">
        <f>_xlfn.LET(
  _xlpm.result, _xlfn.XLOOKUP($B125, Result_Database!$A$2:$A$500, Result_Database!G$2:G$500),
  _xlfn.IFNA(_xlpm.result, "")
)</f>
        <v/>
      </c>
      <c r="I125" t="str">
        <f>_xlfn.LET(
  _xlpm.result, _xlfn.XLOOKUP($B125, Result_Database!$A$2:$A$500, Result_Database!H$2:H$500),
  _xlfn.IFNA(_xlpm.result, "")
)</f>
        <v/>
      </c>
      <c r="J125" t="str">
        <f>_xlfn.LET(
  _xlpm.result, _xlfn.XLOOKUP($B125, Result_Database!$A$2:$A$500, Result_Database!I$2:I$500),
  _xlfn.IFNA(_xlpm.result, "")
)</f>
        <v/>
      </c>
      <c r="K125" t="str">
        <f>_xlfn.LET(
  _xlpm.result, _xlfn.XLOOKUP($B125, Result_Database!$A$2:$A$500, Result_Database!J$2:J$500),
  _xlfn.IFNA(_xlpm.result, "")
)</f>
        <v/>
      </c>
      <c r="L125" t="str">
        <f>_xlfn.LET(
  _xlpm.result, _xlfn.XLOOKUP($B125, Result_Database!$A$2:$A$500, Result_Database!K$2:K$500),
  _xlfn.IFNA(_xlpm.result, "")
)</f>
        <v/>
      </c>
      <c r="M125" t="str">
        <f>_xlfn.LET(
  _xlpm.result, _xlfn.XLOOKUP($B125, Result_Database!$A$2:$A$500, Result_Database!L$2:L$500),
  _xlfn.IFNA(_xlpm.result, "")
)</f>
        <v/>
      </c>
      <c r="N125" t="str">
        <f>_xlfn.LET(
  _xlpm.result, _xlfn.XLOOKUP($B125, Result_Database!$A$2:$A$500, Result_Database!M$2:M$500),
  _xlfn.IFNA(_xlpm.result, "")
)</f>
        <v/>
      </c>
      <c r="O125" t="str">
        <f>_xlfn.LET(
  _xlpm.result, _xlfn.XLOOKUP($B125, Result_Database!$A$2:$A$500, Result_Database!N$2:N$500),
  _xlfn.IFNA(_xlpm.result, "")
)</f>
        <v/>
      </c>
      <c r="P125" t="str">
        <f>_xlfn.LET(
  _xlpm.result, _xlfn.XLOOKUP($B125, Result_Database!$A$2:$A$500, Result_Database!O$2:O$500),
  _xlfn.IFNA(_xlpm.result, "")
)</f>
        <v/>
      </c>
      <c r="Q125" t="str">
        <f>_xlfn.LET(
  _xlpm.result, _xlfn.XLOOKUP($B125, Result_Database!$A$2:$A$500, Result_Database!P$2:P$500),
  _xlfn.IFNA(_xlpm.result, "")
)</f>
        <v/>
      </c>
      <c r="R125" t="str">
        <f>_xlfn.LET(
  _xlpm.result, _xlfn.XLOOKUP($B125, Result_Database!$A$2:$A$500, Result_Database!Q$2:Q$500),
  _xlfn.IFNA(_xlpm.result, "")
)</f>
        <v/>
      </c>
      <c r="S125" t="str">
        <f>_xlfn.LET(
  _xlpm.result, _xlfn.XLOOKUP($B125, Result_Database!$A$2:$A$500, Result_Database!R$2:R$500),
  _xlfn.IFNA(_xlpm.result, "")
)</f>
        <v/>
      </c>
      <c r="T125" t="str">
        <f>_xlfn.LET(
  _xlpm.result, _xlfn.XLOOKUP($B125, Result_Database!$A$2:$A$500, Result_Database!S$2:S$500),
  _xlfn.IFNA(_xlpm.result, "")
)</f>
        <v/>
      </c>
      <c r="U125" t="str">
        <f>_xlfn.LET(
  _xlpm.result, _xlfn.XLOOKUP($B125, Result_Database!$A$2:$A$500, Result_Database!T$2:T$500),
  _xlfn.IFNA(_xlpm.result, "")
)</f>
        <v/>
      </c>
      <c r="V125" t="str">
        <f>_xlfn.LET(
  _xlpm.result, _xlfn.XLOOKUP($B125, Result_Database!$A$2:$A$500, Result_Database!U$2:U$500),
  _xlfn.IFNA(_xlpm.result, "")
)</f>
        <v/>
      </c>
      <c r="W125" t="str">
        <f>_xlfn.LET(
  _xlpm.result, _xlfn.XLOOKUP($B125, Result_Database!$A$2:$A$500, Result_Database!V$2:V$500),
  _xlfn.IFNA(_xlpm.result, "")
)</f>
        <v/>
      </c>
      <c r="X125" t="str">
        <f>_xlfn.LET(
  _xlpm.result, _xlfn.XLOOKUP($B125, Result_Database!$A$2:$A$500, Result_Database!W$2:W$500),
  _xlfn.IFNA(_xlpm.result, "")
)</f>
        <v/>
      </c>
      <c r="Y125" t="str">
        <f>_xlfn.LET(
  _xlpm.result, _xlfn.XLOOKUP($B125, Result_Database!$A$2:$A$500, Result_Database!X$2:X$500),
  _xlfn.IFNA(_xlpm.result, "")
)</f>
        <v/>
      </c>
      <c r="Z125" t="str">
        <f>_xlfn.LET(
  _xlpm.result, _xlfn.XLOOKUP($B125, Result_Database!$A$2:$A$500, Result_Database!Y$2:Y$500),
  _xlfn.IFNA(_xlpm.result, "")
)</f>
        <v/>
      </c>
      <c r="AA125" t="str">
        <f>_xlfn.LET(
  _xlpm.result, _xlfn.XLOOKUP($B125, Result_Database!$A$2:$A$500, Result_Database!Z$2:Z$500),
  _xlfn.IFNA(_xlpm.result, "")
)</f>
        <v/>
      </c>
      <c r="AB125" t="str">
        <f>_xlfn.LET(
  _xlpm.result, _xlfn.XLOOKUP($B125, Result_Database!$A$2:$A$500, Result_Database!AA$2:AA$500),
  _xlfn.IFNA(_xlpm.result, "")
)</f>
        <v/>
      </c>
      <c r="AC125" t="str">
        <f>_xlfn.LET(
  _xlpm.result, _xlfn.XLOOKUP($B125, Result_Database!$A$2:$A$500, Result_Database!AB$2:AB$500),
  _xlfn.IFNA(_xlpm.result, "")
)</f>
        <v/>
      </c>
      <c r="AD125" t="str">
        <f>_xlfn.LET(
  _xlpm.result, _xlfn.XLOOKUP($B125, Result_Database!$A$2:$A$500, Result_Database!AC$2:AC$500),
  _xlfn.IFNA(_xlpm.result, "")
)</f>
        <v/>
      </c>
      <c r="AE125" t="str">
        <f>_xlfn.LET(
  _xlpm.result, _xlfn.XLOOKUP($B125, Result_Database!$A$2:$A$500, Result_Database!AD$2:AD$500),
  _xlfn.IFNA(_xlpm.result, "")
)</f>
        <v/>
      </c>
      <c r="AF125" t="str">
        <f>_xlfn.LET(
  _xlpm.result, _xlfn.XLOOKUP($B125, Result_Database!$A$2:$A$500, Result_Database!AE$2:AE$500),
  _xlfn.IFNA(_xlpm.result, "")
)</f>
        <v/>
      </c>
      <c r="AG125" t="str">
        <f>_xlfn.LET(
  _xlpm.result, _xlfn.XLOOKUP($B125, Result_Database!$A$2:$A$500, Result_Database!AF$2:AF$500),
  _xlfn.IFNA(_xlpm.result, "")
)</f>
        <v/>
      </c>
      <c r="AH125" t="str">
        <f>_xlfn.LET(
  _xlpm.result, _xlfn.XLOOKUP($B125, Result_Database!$A$2:$A$500, Result_Database!AG$2:AG$500),
  _xlfn.IFNA(_xlpm.result, "")
)</f>
        <v/>
      </c>
      <c r="AI125" t="str">
        <f>_xlfn.LET(
  _xlpm.result, _xlfn.XLOOKUP($B125, Result_Database!$A$2:$A$500, Result_Database!AH$2:AH$500),
  _xlfn.IFNA(_xlpm.result, "")
)</f>
        <v/>
      </c>
      <c r="AJ125" t="str">
        <f>_xlfn.LET(
  _xlpm.result, _xlfn.XLOOKUP($B125, Result_Database!$A$2:$A$500, Result_Database!AI$2:AI$500),
  _xlfn.IFNA(_xlpm.result, "")
)</f>
        <v/>
      </c>
      <c r="AK125" t="str">
        <f>_xlfn.LET(
  _xlpm.result, _xlfn.XLOOKUP($B125, Result_Database!$A$2:$A$500, Result_Database!AJ$2:AJ$500),
  _xlfn.IFNA(_xlpm.result, "")
)</f>
        <v/>
      </c>
      <c r="AL125" t="str">
        <f>_xlfn.LET(
  _xlpm.result, _xlfn.XLOOKUP($B125, Result_Database!$A$2:$A$500, Result_Database!AK$2:AK$500),
  _xlfn.IFNA(_xlpm.result, "")
)</f>
        <v/>
      </c>
      <c r="AM12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2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2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2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2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2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2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2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2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25" t="str">
        <f>IF(SUM(Table5[[#This Row],[A1]:[C6]])&lt;&gt;0,SUM(Table5[[#This Row],[A1]:[C6]]),"")</f>
        <v/>
      </c>
      <c r="AW125" t="str">
        <f>IF(SUM(Table5[[#This Row],[D7]:[F9]])=0,"",SUM(Table5[[#This Row],[D7]:[F9]]))</f>
        <v/>
      </c>
      <c r="AX12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2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2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2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2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2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25" t="str">
        <f>IF(COUNTIF(Table5[[#This Row],[English Language]:[Electrical/ Electronics]],"WITHHELD")=0,"",COUNTIF(Table5[[#This Row],[English Language]:[Electrical/ Electronics]],"WITHHELD"))</f>
        <v/>
      </c>
      <c r="BE125" t="str">
        <f>IF(SUM(Table5[[#This Row],[NO OF CREDITS]:[BELOW CREDITS]])=0,"",SUM(Table5[[#This Row],[NO OF CREDITS]:[BELOW CREDITS]]))</f>
        <v/>
      </c>
    </row>
    <row r="126" spans="1:57" x14ac:dyDescent="0.3">
      <c r="A126" t="str">
        <f>IF(B126&lt;&gt;"",COUNTA($B$6:B126),"")</f>
        <v/>
      </c>
      <c r="B126" t="str">
        <f>IF(Result_Database!A122="","",Result_Database!A122)</f>
        <v/>
      </c>
      <c r="C126" t="str">
        <f>_xlfn.LET(
_xlpm.result,_xlfn.XLOOKUP($B126,Result_Database!$A$2:$A$500,Result_Database!$B$2:$B$500),
_xlfn.IFNA(_xlpm.result,"")
)</f>
        <v/>
      </c>
      <c r="D126" t="str">
        <f>_xlfn.LET(
  _xlpm.result, _xlfn.XLOOKUP($B126, Result_Database!$A$2:$A$500, Result_Database!C$2:C$500),
  _xlfn.IFNA(_xlpm.result, "")
)</f>
        <v/>
      </c>
      <c r="E126" t="str">
        <f>_xlfn.LET(
  _xlpm.result, _xlfn.XLOOKUP($B126, Result_Database!$A$2:$A$500, Result_Database!D$2:D$500),
  _xlfn.IFNA(_xlpm.result, "")
)</f>
        <v/>
      </c>
      <c r="F126" t="str">
        <f>_xlfn.LET(
  _xlpm.result, _xlfn.XLOOKUP($B126, Result_Database!$A$2:$A$500, Result_Database!E$2:E$500),
  _xlfn.IFNA(_xlpm.result, "")
)</f>
        <v/>
      </c>
      <c r="G126" t="str">
        <f>_xlfn.LET(
  _xlpm.result, _xlfn.XLOOKUP($B126, Result_Database!$A$2:$A$500, Result_Database!F$2:F$500),
  _xlfn.IFNA(_xlpm.result, "")
)</f>
        <v/>
      </c>
      <c r="H126" t="str">
        <f>_xlfn.LET(
  _xlpm.result, _xlfn.XLOOKUP($B126, Result_Database!$A$2:$A$500, Result_Database!G$2:G$500),
  _xlfn.IFNA(_xlpm.result, "")
)</f>
        <v/>
      </c>
      <c r="I126" t="str">
        <f>_xlfn.LET(
  _xlpm.result, _xlfn.XLOOKUP($B126, Result_Database!$A$2:$A$500, Result_Database!H$2:H$500),
  _xlfn.IFNA(_xlpm.result, "")
)</f>
        <v/>
      </c>
      <c r="J126" t="str">
        <f>_xlfn.LET(
  _xlpm.result, _xlfn.XLOOKUP($B126, Result_Database!$A$2:$A$500, Result_Database!I$2:I$500),
  _xlfn.IFNA(_xlpm.result, "")
)</f>
        <v/>
      </c>
      <c r="K126" t="str">
        <f>_xlfn.LET(
  _xlpm.result, _xlfn.XLOOKUP($B126, Result_Database!$A$2:$A$500, Result_Database!J$2:J$500),
  _xlfn.IFNA(_xlpm.result, "")
)</f>
        <v/>
      </c>
      <c r="L126" t="str">
        <f>_xlfn.LET(
  _xlpm.result, _xlfn.XLOOKUP($B126, Result_Database!$A$2:$A$500, Result_Database!K$2:K$500),
  _xlfn.IFNA(_xlpm.result, "")
)</f>
        <v/>
      </c>
      <c r="M126" t="str">
        <f>_xlfn.LET(
  _xlpm.result, _xlfn.XLOOKUP($B126, Result_Database!$A$2:$A$500, Result_Database!L$2:L$500),
  _xlfn.IFNA(_xlpm.result, "")
)</f>
        <v/>
      </c>
      <c r="N126" t="str">
        <f>_xlfn.LET(
  _xlpm.result, _xlfn.XLOOKUP($B126, Result_Database!$A$2:$A$500, Result_Database!M$2:M$500),
  _xlfn.IFNA(_xlpm.result, "")
)</f>
        <v/>
      </c>
      <c r="O126" t="str">
        <f>_xlfn.LET(
  _xlpm.result, _xlfn.XLOOKUP($B126, Result_Database!$A$2:$A$500, Result_Database!N$2:N$500),
  _xlfn.IFNA(_xlpm.result, "")
)</f>
        <v/>
      </c>
      <c r="P126" t="str">
        <f>_xlfn.LET(
  _xlpm.result, _xlfn.XLOOKUP($B126, Result_Database!$A$2:$A$500, Result_Database!O$2:O$500),
  _xlfn.IFNA(_xlpm.result, "")
)</f>
        <v/>
      </c>
      <c r="Q126" t="str">
        <f>_xlfn.LET(
  _xlpm.result, _xlfn.XLOOKUP($B126, Result_Database!$A$2:$A$500, Result_Database!P$2:P$500),
  _xlfn.IFNA(_xlpm.result, "")
)</f>
        <v/>
      </c>
      <c r="R126" t="str">
        <f>_xlfn.LET(
  _xlpm.result, _xlfn.XLOOKUP($B126, Result_Database!$A$2:$A$500, Result_Database!Q$2:Q$500),
  _xlfn.IFNA(_xlpm.result, "")
)</f>
        <v/>
      </c>
      <c r="S126" t="str">
        <f>_xlfn.LET(
  _xlpm.result, _xlfn.XLOOKUP($B126, Result_Database!$A$2:$A$500, Result_Database!R$2:R$500),
  _xlfn.IFNA(_xlpm.result, "")
)</f>
        <v/>
      </c>
      <c r="T126" t="str">
        <f>_xlfn.LET(
  _xlpm.result, _xlfn.XLOOKUP($B126, Result_Database!$A$2:$A$500, Result_Database!S$2:S$500),
  _xlfn.IFNA(_xlpm.result, "")
)</f>
        <v/>
      </c>
      <c r="U126" t="str">
        <f>_xlfn.LET(
  _xlpm.result, _xlfn.XLOOKUP($B126, Result_Database!$A$2:$A$500, Result_Database!T$2:T$500),
  _xlfn.IFNA(_xlpm.result, "")
)</f>
        <v/>
      </c>
      <c r="V126" t="str">
        <f>_xlfn.LET(
  _xlpm.result, _xlfn.XLOOKUP($B126, Result_Database!$A$2:$A$500, Result_Database!U$2:U$500),
  _xlfn.IFNA(_xlpm.result, "")
)</f>
        <v/>
      </c>
      <c r="W126" t="str">
        <f>_xlfn.LET(
  _xlpm.result, _xlfn.XLOOKUP($B126, Result_Database!$A$2:$A$500, Result_Database!V$2:V$500),
  _xlfn.IFNA(_xlpm.result, "")
)</f>
        <v/>
      </c>
      <c r="X126" t="str">
        <f>_xlfn.LET(
  _xlpm.result, _xlfn.XLOOKUP($B126, Result_Database!$A$2:$A$500, Result_Database!W$2:W$500),
  _xlfn.IFNA(_xlpm.result, "")
)</f>
        <v/>
      </c>
      <c r="Y126" t="str">
        <f>_xlfn.LET(
  _xlpm.result, _xlfn.XLOOKUP($B126, Result_Database!$A$2:$A$500, Result_Database!X$2:X$500),
  _xlfn.IFNA(_xlpm.result, "")
)</f>
        <v/>
      </c>
      <c r="Z126" t="str">
        <f>_xlfn.LET(
  _xlpm.result, _xlfn.XLOOKUP($B126, Result_Database!$A$2:$A$500, Result_Database!Y$2:Y$500),
  _xlfn.IFNA(_xlpm.result, "")
)</f>
        <v/>
      </c>
      <c r="AA126" t="str">
        <f>_xlfn.LET(
  _xlpm.result, _xlfn.XLOOKUP($B126, Result_Database!$A$2:$A$500, Result_Database!Z$2:Z$500),
  _xlfn.IFNA(_xlpm.result, "")
)</f>
        <v/>
      </c>
      <c r="AB126" t="str">
        <f>_xlfn.LET(
  _xlpm.result, _xlfn.XLOOKUP($B126, Result_Database!$A$2:$A$500, Result_Database!AA$2:AA$500),
  _xlfn.IFNA(_xlpm.result, "")
)</f>
        <v/>
      </c>
      <c r="AC126" t="str">
        <f>_xlfn.LET(
  _xlpm.result, _xlfn.XLOOKUP($B126, Result_Database!$A$2:$A$500, Result_Database!AB$2:AB$500),
  _xlfn.IFNA(_xlpm.result, "")
)</f>
        <v/>
      </c>
      <c r="AD126" t="str">
        <f>_xlfn.LET(
  _xlpm.result, _xlfn.XLOOKUP($B126, Result_Database!$A$2:$A$500, Result_Database!AC$2:AC$500),
  _xlfn.IFNA(_xlpm.result, "")
)</f>
        <v/>
      </c>
      <c r="AE126" t="str">
        <f>_xlfn.LET(
  _xlpm.result, _xlfn.XLOOKUP($B126, Result_Database!$A$2:$A$500, Result_Database!AD$2:AD$500),
  _xlfn.IFNA(_xlpm.result, "")
)</f>
        <v/>
      </c>
      <c r="AF126" t="str">
        <f>_xlfn.LET(
  _xlpm.result, _xlfn.XLOOKUP($B126, Result_Database!$A$2:$A$500, Result_Database!AE$2:AE$500),
  _xlfn.IFNA(_xlpm.result, "")
)</f>
        <v/>
      </c>
      <c r="AG126" t="str">
        <f>_xlfn.LET(
  _xlpm.result, _xlfn.XLOOKUP($B126, Result_Database!$A$2:$A$500, Result_Database!AF$2:AF$500),
  _xlfn.IFNA(_xlpm.result, "")
)</f>
        <v/>
      </c>
      <c r="AH126" t="str">
        <f>_xlfn.LET(
  _xlpm.result, _xlfn.XLOOKUP($B126, Result_Database!$A$2:$A$500, Result_Database!AG$2:AG$500),
  _xlfn.IFNA(_xlpm.result, "")
)</f>
        <v/>
      </c>
      <c r="AI126" t="str">
        <f>_xlfn.LET(
  _xlpm.result, _xlfn.XLOOKUP($B126, Result_Database!$A$2:$A$500, Result_Database!AH$2:AH$500),
  _xlfn.IFNA(_xlpm.result, "")
)</f>
        <v/>
      </c>
      <c r="AJ126" t="str">
        <f>_xlfn.LET(
  _xlpm.result, _xlfn.XLOOKUP($B126, Result_Database!$A$2:$A$500, Result_Database!AI$2:AI$500),
  _xlfn.IFNA(_xlpm.result, "")
)</f>
        <v/>
      </c>
      <c r="AK126" t="str">
        <f>_xlfn.LET(
  _xlpm.result, _xlfn.XLOOKUP($B126, Result_Database!$A$2:$A$500, Result_Database!AJ$2:AJ$500),
  _xlfn.IFNA(_xlpm.result, "")
)</f>
        <v/>
      </c>
      <c r="AL126" t="str">
        <f>_xlfn.LET(
  _xlpm.result, _xlfn.XLOOKUP($B126, Result_Database!$A$2:$A$500, Result_Database!AK$2:AK$500),
  _xlfn.IFNA(_xlpm.result, "")
)</f>
        <v/>
      </c>
      <c r="AM12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2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2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2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2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2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2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2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2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26" t="str">
        <f>IF(SUM(Table5[[#This Row],[A1]:[C6]])&lt;&gt;0,SUM(Table5[[#This Row],[A1]:[C6]]),"")</f>
        <v/>
      </c>
      <c r="AW126" t="str">
        <f>IF(SUM(Table5[[#This Row],[D7]:[F9]])=0,"",SUM(Table5[[#This Row],[D7]:[F9]]))</f>
        <v/>
      </c>
      <c r="AX12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2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2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2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2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2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26" t="str">
        <f>IF(COUNTIF(Table5[[#This Row],[English Language]:[Electrical/ Electronics]],"WITHHELD")=0,"",COUNTIF(Table5[[#This Row],[English Language]:[Electrical/ Electronics]],"WITHHELD"))</f>
        <v/>
      </c>
      <c r="BE126" t="str">
        <f>IF(SUM(Table5[[#This Row],[NO OF CREDITS]:[BELOW CREDITS]])=0,"",SUM(Table5[[#This Row],[NO OF CREDITS]:[BELOW CREDITS]]))</f>
        <v/>
      </c>
    </row>
    <row r="127" spans="1:57" x14ac:dyDescent="0.3">
      <c r="A127" t="str">
        <f>IF(B127&lt;&gt;"",COUNTA($B$6:B127),"")</f>
        <v/>
      </c>
      <c r="B127" t="str">
        <f>IF(Result_Database!A123="","",Result_Database!A123)</f>
        <v/>
      </c>
      <c r="C127" t="str">
        <f>_xlfn.LET(
_xlpm.result,_xlfn.XLOOKUP($B127,Result_Database!$A$2:$A$500,Result_Database!$B$2:$B$500),
_xlfn.IFNA(_xlpm.result,"")
)</f>
        <v/>
      </c>
      <c r="D127" t="str">
        <f>_xlfn.LET(
  _xlpm.result, _xlfn.XLOOKUP($B127, Result_Database!$A$2:$A$500, Result_Database!C$2:C$500),
  _xlfn.IFNA(_xlpm.result, "")
)</f>
        <v/>
      </c>
      <c r="E127" t="str">
        <f>_xlfn.LET(
  _xlpm.result, _xlfn.XLOOKUP($B127, Result_Database!$A$2:$A$500, Result_Database!D$2:D$500),
  _xlfn.IFNA(_xlpm.result, "")
)</f>
        <v/>
      </c>
      <c r="F127" t="str">
        <f>_xlfn.LET(
  _xlpm.result, _xlfn.XLOOKUP($B127, Result_Database!$A$2:$A$500, Result_Database!E$2:E$500),
  _xlfn.IFNA(_xlpm.result, "")
)</f>
        <v/>
      </c>
      <c r="G127" t="str">
        <f>_xlfn.LET(
  _xlpm.result, _xlfn.XLOOKUP($B127, Result_Database!$A$2:$A$500, Result_Database!F$2:F$500),
  _xlfn.IFNA(_xlpm.result, "")
)</f>
        <v/>
      </c>
      <c r="H127" t="str">
        <f>_xlfn.LET(
  _xlpm.result, _xlfn.XLOOKUP($B127, Result_Database!$A$2:$A$500, Result_Database!G$2:G$500),
  _xlfn.IFNA(_xlpm.result, "")
)</f>
        <v/>
      </c>
      <c r="I127" t="str">
        <f>_xlfn.LET(
  _xlpm.result, _xlfn.XLOOKUP($B127, Result_Database!$A$2:$A$500, Result_Database!H$2:H$500),
  _xlfn.IFNA(_xlpm.result, "")
)</f>
        <v/>
      </c>
      <c r="J127" t="str">
        <f>_xlfn.LET(
  _xlpm.result, _xlfn.XLOOKUP($B127, Result_Database!$A$2:$A$500, Result_Database!I$2:I$500),
  _xlfn.IFNA(_xlpm.result, "")
)</f>
        <v/>
      </c>
      <c r="K127" t="str">
        <f>_xlfn.LET(
  _xlpm.result, _xlfn.XLOOKUP($B127, Result_Database!$A$2:$A$500, Result_Database!J$2:J$500),
  _xlfn.IFNA(_xlpm.result, "")
)</f>
        <v/>
      </c>
      <c r="L127" t="str">
        <f>_xlfn.LET(
  _xlpm.result, _xlfn.XLOOKUP($B127, Result_Database!$A$2:$A$500, Result_Database!K$2:K$500),
  _xlfn.IFNA(_xlpm.result, "")
)</f>
        <v/>
      </c>
      <c r="M127" t="str">
        <f>_xlfn.LET(
  _xlpm.result, _xlfn.XLOOKUP($B127, Result_Database!$A$2:$A$500, Result_Database!L$2:L$500),
  _xlfn.IFNA(_xlpm.result, "")
)</f>
        <v/>
      </c>
      <c r="N127" t="str">
        <f>_xlfn.LET(
  _xlpm.result, _xlfn.XLOOKUP($B127, Result_Database!$A$2:$A$500, Result_Database!M$2:M$500),
  _xlfn.IFNA(_xlpm.result, "")
)</f>
        <v/>
      </c>
      <c r="O127" t="str">
        <f>_xlfn.LET(
  _xlpm.result, _xlfn.XLOOKUP($B127, Result_Database!$A$2:$A$500, Result_Database!N$2:N$500),
  _xlfn.IFNA(_xlpm.result, "")
)</f>
        <v/>
      </c>
      <c r="P127" t="str">
        <f>_xlfn.LET(
  _xlpm.result, _xlfn.XLOOKUP($B127, Result_Database!$A$2:$A$500, Result_Database!O$2:O$500),
  _xlfn.IFNA(_xlpm.result, "")
)</f>
        <v/>
      </c>
      <c r="Q127" t="str">
        <f>_xlfn.LET(
  _xlpm.result, _xlfn.XLOOKUP($B127, Result_Database!$A$2:$A$500, Result_Database!P$2:P$500),
  _xlfn.IFNA(_xlpm.result, "")
)</f>
        <v/>
      </c>
      <c r="R127" t="str">
        <f>_xlfn.LET(
  _xlpm.result, _xlfn.XLOOKUP($B127, Result_Database!$A$2:$A$500, Result_Database!Q$2:Q$500),
  _xlfn.IFNA(_xlpm.result, "")
)</f>
        <v/>
      </c>
      <c r="S127" t="str">
        <f>_xlfn.LET(
  _xlpm.result, _xlfn.XLOOKUP($B127, Result_Database!$A$2:$A$500, Result_Database!R$2:R$500),
  _xlfn.IFNA(_xlpm.result, "")
)</f>
        <v/>
      </c>
      <c r="T127" t="str">
        <f>_xlfn.LET(
  _xlpm.result, _xlfn.XLOOKUP($B127, Result_Database!$A$2:$A$500, Result_Database!S$2:S$500),
  _xlfn.IFNA(_xlpm.result, "")
)</f>
        <v/>
      </c>
      <c r="U127" t="str">
        <f>_xlfn.LET(
  _xlpm.result, _xlfn.XLOOKUP($B127, Result_Database!$A$2:$A$500, Result_Database!T$2:T$500),
  _xlfn.IFNA(_xlpm.result, "")
)</f>
        <v/>
      </c>
      <c r="V127" t="str">
        <f>_xlfn.LET(
  _xlpm.result, _xlfn.XLOOKUP($B127, Result_Database!$A$2:$A$500, Result_Database!U$2:U$500),
  _xlfn.IFNA(_xlpm.result, "")
)</f>
        <v/>
      </c>
      <c r="W127" t="str">
        <f>_xlfn.LET(
  _xlpm.result, _xlfn.XLOOKUP($B127, Result_Database!$A$2:$A$500, Result_Database!V$2:V$500),
  _xlfn.IFNA(_xlpm.result, "")
)</f>
        <v/>
      </c>
      <c r="X127" t="str">
        <f>_xlfn.LET(
  _xlpm.result, _xlfn.XLOOKUP($B127, Result_Database!$A$2:$A$500, Result_Database!W$2:W$500),
  _xlfn.IFNA(_xlpm.result, "")
)</f>
        <v/>
      </c>
      <c r="Y127" t="str">
        <f>_xlfn.LET(
  _xlpm.result, _xlfn.XLOOKUP($B127, Result_Database!$A$2:$A$500, Result_Database!X$2:X$500),
  _xlfn.IFNA(_xlpm.result, "")
)</f>
        <v/>
      </c>
      <c r="Z127" t="str">
        <f>_xlfn.LET(
  _xlpm.result, _xlfn.XLOOKUP($B127, Result_Database!$A$2:$A$500, Result_Database!Y$2:Y$500),
  _xlfn.IFNA(_xlpm.result, "")
)</f>
        <v/>
      </c>
      <c r="AA127" t="str">
        <f>_xlfn.LET(
  _xlpm.result, _xlfn.XLOOKUP($B127, Result_Database!$A$2:$A$500, Result_Database!Z$2:Z$500),
  _xlfn.IFNA(_xlpm.result, "")
)</f>
        <v/>
      </c>
      <c r="AB127" t="str">
        <f>_xlfn.LET(
  _xlpm.result, _xlfn.XLOOKUP($B127, Result_Database!$A$2:$A$500, Result_Database!AA$2:AA$500),
  _xlfn.IFNA(_xlpm.result, "")
)</f>
        <v/>
      </c>
      <c r="AC127" t="str">
        <f>_xlfn.LET(
  _xlpm.result, _xlfn.XLOOKUP($B127, Result_Database!$A$2:$A$500, Result_Database!AB$2:AB$500),
  _xlfn.IFNA(_xlpm.result, "")
)</f>
        <v/>
      </c>
      <c r="AD127" t="str">
        <f>_xlfn.LET(
  _xlpm.result, _xlfn.XLOOKUP($B127, Result_Database!$A$2:$A$500, Result_Database!AC$2:AC$500),
  _xlfn.IFNA(_xlpm.result, "")
)</f>
        <v/>
      </c>
      <c r="AE127" t="str">
        <f>_xlfn.LET(
  _xlpm.result, _xlfn.XLOOKUP($B127, Result_Database!$A$2:$A$500, Result_Database!AD$2:AD$500),
  _xlfn.IFNA(_xlpm.result, "")
)</f>
        <v/>
      </c>
      <c r="AF127" t="str">
        <f>_xlfn.LET(
  _xlpm.result, _xlfn.XLOOKUP($B127, Result_Database!$A$2:$A$500, Result_Database!AE$2:AE$500),
  _xlfn.IFNA(_xlpm.result, "")
)</f>
        <v/>
      </c>
      <c r="AG127" t="str">
        <f>_xlfn.LET(
  _xlpm.result, _xlfn.XLOOKUP($B127, Result_Database!$A$2:$A$500, Result_Database!AF$2:AF$500),
  _xlfn.IFNA(_xlpm.result, "")
)</f>
        <v/>
      </c>
      <c r="AH127" t="str">
        <f>_xlfn.LET(
  _xlpm.result, _xlfn.XLOOKUP($B127, Result_Database!$A$2:$A$500, Result_Database!AG$2:AG$500),
  _xlfn.IFNA(_xlpm.result, "")
)</f>
        <v/>
      </c>
      <c r="AI127" t="str">
        <f>_xlfn.LET(
  _xlpm.result, _xlfn.XLOOKUP($B127, Result_Database!$A$2:$A$500, Result_Database!AH$2:AH$500),
  _xlfn.IFNA(_xlpm.result, "")
)</f>
        <v/>
      </c>
      <c r="AJ127" t="str">
        <f>_xlfn.LET(
  _xlpm.result, _xlfn.XLOOKUP($B127, Result_Database!$A$2:$A$500, Result_Database!AI$2:AI$500),
  _xlfn.IFNA(_xlpm.result, "")
)</f>
        <v/>
      </c>
      <c r="AK127" t="str">
        <f>_xlfn.LET(
  _xlpm.result, _xlfn.XLOOKUP($B127, Result_Database!$A$2:$A$500, Result_Database!AJ$2:AJ$500),
  _xlfn.IFNA(_xlpm.result, "")
)</f>
        <v/>
      </c>
      <c r="AL127" t="str">
        <f>_xlfn.LET(
  _xlpm.result, _xlfn.XLOOKUP($B127, Result_Database!$A$2:$A$500, Result_Database!AK$2:AK$500),
  _xlfn.IFNA(_xlpm.result, "")
)</f>
        <v/>
      </c>
      <c r="AM12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2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2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2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2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2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2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2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2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27" t="str">
        <f>IF(SUM(Table5[[#This Row],[A1]:[C6]])&lt;&gt;0,SUM(Table5[[#This Row],[A1]:[C6]]),"")</f>
        <v/>
      </c>
      <c r="AW127" t="str">
        <f>IF(SUM(Table5[[#This Row],[D7]:[F9]])=0,"",SUM(Table5[[#This Row],[D7]:[F9]]))</f>
        <v/>
      </c>
      <c r="AX12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2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2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2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2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2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27" t="str">
        <f>IF(COUNTIF(Table5[[#This Row],[English Language]:[Electrical/ Electronics]],"WITHHELD")=0,"",COUNTIF(Table5[[#This Row],[English Language]:[Electrical/ Electronics]],"WITHHELD"))</f>
        <v/>
      </c>
      <c r="BE127" t="str">
        <f>IF(SUM(Table5[[#This Row],[NO OF CREDITS]:[BELOW CREDITS]])=0,"",SUM(Table5[[#This Row],[NO OF CREDITS]:[BELOW CREDITS]]))</f>
        <v/>
      </c>
    </row>
    <row r="128" spans="1:57" x14ac:dyDescent="0.3">
      <c r="A128" t="str">
        <f>IF(B128&lt;&gt;"",COUNTA($B$6:B128),"")</f>
        <v/>
      </c>
      <c r="B128" t="str">
        <f>IF(Result_Database!A124="","",Result_Database!A124)</f>
        <v/>
      </c>
      <c r="C128" t="str">
        <f>_xlfn.LET(
_xlpm.result,_xlfn.XLOOKUP($B128,Result_Database!$A$2:$A$500,Result_Database!$B$2:$B$500),
_xlfn.IFNA(_xlpm.result,"")
)</f>
        <v/>
      </c>
      <c r="D128" t="str">
        <f>_xlfn.LET(
  _xlpm.result, _xlfn.XLOOKUP($B128, Result_Database!$A$2:$A$500, Result_Database!C$2:C$500),
  _xlfn.IFNA(_xlpm.result, "")
)</f>
        <v/>
      </c>
      <c r="E128" t="str">
        <f>_xlfn.LET(
  _xlpm.result, _xlfn.XLOOKUP($B128, Result_Database!$A$2:$A$500, Result_Database!D$2:D$500),
  _xlfn.IFNA(_xlpm.result, "")
)</f>
        <v/>
      </c>
      <c r="F128" t="str">
        <f>_xlfn.LET(
  _xlpm.result, _xlfn.XLOOKUP($B128, Result_Database!$A$2:$A$500, Result_Database!E$2:E$500),
  _xlfn.IFNA(_xlpm.result, "")
)</f>
        <v/>
      </c>
      <c r="G128" t="str">
        <f>_xlfn.LET(
  _xlpm.result, _xlfn.XLOOKUP($B128, Result_Database!$A$2:$A$500, Result_Database!F$2:F$500),
  _xlfn.IFNA(_xlpm.result, "")
)</f>
        <v/>
      </c>
      <c r="H128" t="str">
        <f>_xlfn.LET(
  _xlpm.result, _xlfn.XLOOKUP($B128, Result_Database!$A$2:$A$500, Result_Database!G$2:G$500),
  _xlfn.IFNA(_xlpm.result, "")
)</f>
        <v/>
      </c>
      <c r="I128" t="str">
        <f>_xlfn.LET(
  _xlpm.result, _xlfn.XLOOKUP($B128, Result_Database!$A$2:$A$500, Result_Database!H$2:H$500),
  _xlfn.IFNA(_xlpm.result, "")
)</f>
        <v/>
      </c>
      <c r="J128" t="str">
        <f>_xlfn.LET(
  _xlpm.result, _xlfn.XLOOKUP($B128, Result_Database!$A$2:$A$500, Result_Database!I$2:I$500),
  _xlfn.IFNA(_xlpm.result, "")
)</f>
        <v/>
      </c>
      <c r="K128" t="str">
        <f>_xlfn.LET(
  _xlpm.result, _xlfn.XLOOKUP($B128, Result_Database!$A$2:$A$500, Result_Database!J$2:J$500),
  _xlfn.IFNA(_xlpm.result, "")
)</f>
        <v/>
      </c>
      <c r="L128" t="str">
        <f>_xlfn.LET(
  _xlpm.result, _xlfn.XLOOKUP($B128, Result_Database!$A$2:$A$500, Result_Database!K$2:K$500),
  _xlfn.IFNA(_xlpm.result, "")
)</f>
        <v/>
      </c>
      <c r="M128" t="str">
        <f>_xlfn.LET(
  _xlpm.result, _xlfn.XLOOKUP($B128, Result_Database!$A$2:$A$500, Result_Database!L$2:L$500),
  _xlfn.IFNA(_xlpm.result, "")
)</f>
        <v/>
      </c>
      <c r="N128" t="str">
        <f>_xlfn.LET(
  _xlpm.result, _xlfn.XLOOKUP($B128, Result_Database!$A$2:$A$500, Result_Database!M$2:M$500),
  _xlfn.IFNA(_xlpm.result, "")
)</f>
        <v/>
      </c>
      <c r="O128" t="str">
        <f>_xlfn.LET(
  _xlpm.result, _xlfn.XLOOKUP($B128, Result_Database!$A$2:$A$500, Result_Database!N$2:N$500),
  _xlfn.IFNA(_xlpm.result, "")
)</f>
        <v/>
      </c>
      <c r="P128" t="str">
        <f>_xlfn.LET(
  _xlpm.result, _xlfn.XLOOKUP($B128, Result_Database!$A$2:$A$500, Result_Database!O$2:O$500),
  _xlfn.IFNA(_xlpm.result, "")
)</f>
        <v/>
      </c>
      <c r="Q128" t="str">
        <f>_xlfn.LET(
  _xlpm.result, _xlfn.XLOOKUP($B128, Result_Database!$A$2:$A$500, Result_Database!P$2:P$500),
  _xlfn.IFNA(_xlpm.result, "")
)</f>
        <v/>
      </c>
      <c r="R128" t="str">
        <f>_xlfn.LET(
  _xlpm.result, _xlfn.XLOOKUP($B128, Result_Database!$A$2:$A$500, Result_Database!Q$2:Q$500),
  _xlfn.IFNA(_xlpm.result, "")
)</f>
        <v/>
      </c>
      <c r="S128" t="str">
        <f>_xlfn.LET(
  _xlpm.result, _xlfn.XLOOKUP($B128, Result_Database!$A$2:$A$500, Result_Database!R$2:R$500),
  _xlfn.IFNA(_xlpm.result, "")
)</f>
        <v/>
      </c>
      <c r="T128" t="str">
        <f>_xlfn.LET(
  _xlpm.result, _xlfn.XLOOKUP($B128, Result_Database!$A$2:$A$500, Result_Database!S$2:S$500),
  _xlfn.IFNA(_xlpm.result, "")
)</f>
        <v/>
      </c>
      <c r="U128" t="str">
        <f>_xlfn.LET(
  _xlpm.result, _xlfn.XLOOKUP($B128, Result_Database!$A$2:$A$500, Result_Database!T$2:T$500),
  _xlfn.IFNA(_xlpm.result, "")
)</f>
        <v/>
      </c>
      <c r="V128" t="str">
        <f>_xlfn.LET(
  _xlpm.result, _xlfn.XLOOKUP($B128, Result_Database!$A$2:$A$500, Result_Database!U$2:U$500),
  _xlfn.IFNA(_xlpm.result, "")
)</f>
        <v/>
      </c>
      <c r="W128" t="str">
        <f>_xlfn.LET(
  _xlpm.result, _xlfn.XLOOKUP($B128, Result_Database!$A$2:$A$500, Result_Database!V$2:V$500),
  _xlfn.IFNA(_xlpm.result, "")
)</f>
        <v/>
      </c>
      <c r="X128" t="str">
        <f>_xlfn.LET(
  _xlpm.result, _xlfn.XLOOKUP($B128, Result_Database!$A$2:$A$500, Result_Database!W$2:W$500),
  _xlfn.IFNA(_xlpm.result, "")
)</f>
        <v/>
      </c>
      <c r="Y128" t="str">
        <f>_xlfn.LET(
  _xlpm.result, _xlfn.XLOOKUP($B128, Result_Database!$A$2:$A$500, Result_Database!X$2:X$500),
  _xlfn.IFNA(_xlpm.result, "")
)</f>
        <v/>
      </c>
      <c r="Z128" t="str">
        <f>_xlfn.LET(
  _xlpm.result, _xlfn.XLOOKUP($B128, Result_Database!$A$2:$A$500, Result_Database!Y$2:Y$500),
  _xlfn.IFNA(_xlpm.result, "")
)</f>
        <v/>
      </c>
      <c r="AA128" t="str">
        <f>_xlfn.LET(
  _xlpm.result, _xlfn.XLOOKUP($B128, Result_Database!$A$2:$A$500, Result_Database!Z$2:Z$500),
  _xlfn.IFNA(_xlpm.result, "")
)</f>
        <v/>
      </c>
      <c r="AB128" t="str">
        <f>_xlfn.LET(
  _xlpm.result, _xlfn.XLOOKUP($B128, Result_Database!$A$2:$A$500, Result_Database!AA$2:AA$500),
  _xlfn.IFNA(_xlpm.result, "")
)</f>
        <v/>
      </c>
      <c r="AC128" t="str">
        <f>_xlfn.LET(
  _xlpm.result, _xlfn.XLOOKUP($B128, Result_Database!$A$2:$A$500, Result_Database!AB$2:AB$500),
  _xlfn.IFNA(_xlpm.result, "")
)</f>
        <v/>
      </c>
      <c r="AD128" t="str">
        <f>_xlfn.LET(
  _xlpm.result, _xlfn.XLOOKUP($B128, Result_Database!$A$2:$A$500, Result_Database!AC$2:AC$500),
  _xlfn.IFNA(_xlpm.result, "")
)</f>
        <v/>
      </c>
      <c r="AE128" t="str">
        <f>_xlfn.LET(
  _xlpm.result, _xlfn.XLOOKUP($B128, Result_Database!$A$2:$A$500, Result_Database!AD$2:AD$500),
  _xlfn.IFNA(_xlpm.result, "")
)</f>
        <v/>
      </c>
      <c r="AF128" t="str">
        <f>_xlfn.LET(
  _xlpm.result, _xlfn.XLOOKUP($B128, Result_Database!$A$2:$A$500, Result_Database!AE$2:AE$500),
  _xlfn.IFNA(_xlpm.result, "")
)</f>
        <v/>
      </c>
      <c r="AG128" t="str">
        <f>_xlfn.LET(
  _xlpm.result, _xlfn.XLOOKUP($B128, Result_Database!$A$2:$A$500, Result_Database!AF$2:AF$500),
  _xlfn.IFNA(_xlpm.result, "")
)</f>
        <v/>
      </c>
      <c r="AH128" t="str">
        <f>_xlfn.LET(
  _xlpm.result, _xlfn.XLOOKUP($B128, Result_Database!$A$2:$A$500, Result_Database!AG$2:AG$500),
  _xlfn.IFNA(_xlpm.result, "")
)</f>
        <v/>
      </c>
      <c r="AI128" t="str">
        <f>_xlfn.LET(
  _xlpm.result, _xlfn.XLOOKUP($B128, Result_Database!$A$2:$A$500, Result_Database!AH$2:AH$500),
  _xlfn.IFNA(_xlpm.result, "")
)</f>
        <v/>
      </c>
      <c r="AJ128" t="str">
        <f>_xlfn.LET(
  _xlpm.result, _xlfn.XLOOKUP($B128, Result_Database!$A$2:$A$500, Result_Database!AI$2:AI$500),
  _xlfn.IFNA(_xlpm.result, "")
)</f>
        <v/>
      </c>
      <c r="AK128" t="str">
        <f>_xlfn.LET(
  _xlpm.result, _xlfn.XLOOKUP($B128, Result_Database!$A$2:$A$500, Result_Database!AJ$2:AJ$500),
  _xlfn.IFNA(_xlpm.result, "")
)</f>
        <v/>
      </c>
      <c r="AL128" t="str">
        <f>_xlfn.LET(
  _xlpm.result, _xlfn.XLOOKUP($B128, Result_Database!$A$2:$A$500, Result_Database!AK$2:AK$500),
  _xlfn.IFNA(_xlpm.result, "")
)</f>
        <v/>
      </c>
      <c r="AM12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2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2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2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2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2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2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2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2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28" t="str">
        <f>IF(SUM(Table5[[#This Row],[A1]:[C6]])&lt;&gt;0,SUM(Table5[[#This Row],[A1]:[C6]]),"")</f>
        <v/>
      </c>
      <c r="AW128" t="str">
        <f>IF(SUM(Table5[[#This Row],[D7]:[F9]])=0,"",SUM(Table5[[#This Row],[D7]:[F9]]))</f>
        <v/>
      </c>
      <c r="AX12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2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2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2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2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2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28" t="str">
        <f>IF(COUNTIF(Table5[[#This Row],[English Language]:[Electrical/ Electronics]],"WITHHELD")=0,"",COUNTIF(Table5[[#This Row],[English Language]:[Electrical/ Electronics]],"WITHHELD"))</f>
        <v/>
      </c>
      <c r="BE128" t="str">
        <f>IF(SUM(Table5[[#This Row],[NO OF CREDITS]:[BELOW CREDITS]])=0,"",SUM(Table5[[#This Row],[NO OF CREDITS]:[BELOW CREDITS]]))</f>
        <v/>
      </c>
    </row>
    <row r="129" spans="1:57" x14ac:dyDescent="0.3">
      <c r="A129" t="str">
        <f>IF(B129&lt;&gt;"",COUNTA($B$6:B129),"")</f>
        <v/>
      </c>
      <c r="B129" t="str">
        <f>IF(Result_Database!A125="","",Result_Database!A125)</f>
        <v/>
      </c>
      <c r="C129" t="str">
        <f>_xlfn.LET(
_xlpm.result,_xlfn.XLOOKUP($B129,Result_Database!$A$2:$A$500,Result_Database!$B$2:$B$500),
_xlfn.IFNA(_xlpm.result,"")
)</f>
        <v/>
      </c>
      <c r="D129" t="str">
        <f>_xlfn.LET(
  _xlpm.result, _xlfn.XLOOKUP($B129, Result_Database!$A$2:$A$500, Result_Database!C$2:C$500),
  _xlfn.IFNA(_xlpm.result, "")
)</f>
        <v/>
      </c>
      <c r="E129" t="str">
        <f>_xlfn.LET(
  _xlpm.result, _xlfn.XLOOKUP($B129, Result_Database!$A$2:$A$500, Result_Database!D$2:D$500),
  _xlfn.IFNA(_xlpm.result, "")
)</f>
        <v/>
      </c>
      <c r="F129" t="str">
        <f>_xlfn.LET(
  _xlpm.result, _xlfn.XLOOKUP($B129, Result_Database!$A$2:$A$500, Result_Database!E$2:E$500),
  _xlfn.IFNA(_xlpm.result, "")
)</f>
        <v/>
      </c>
      <c r="G129" t="str">
        <f>_xlfn.LET(
  _xlpm.result, _xlfn.XLOOKUP($B129, Result_Database!$A$2:$A$500, Result_Database!F$2:F$500),
  _xlfn.IFNA(_xlpm.result, "")
)</f>
        <v/>
      </c>
      <c r="H129" t="str">
        <f>_xlfn.LET(
  _xlpm.result, _xlfn.XLOOKUP($B129, Result_Database!$A$2:$A$500, Result_Database!G$2:G$500),
  _xlfn.IFNA(_xlpm.result, "")
)</f>
        <v/>
      </c>
      <c r="I129" t="str">
        <f>_xlfn.LET(
  _xlpm.result, _xlfn.XLOOKUP($B129, Result_Database!$A$2:$A$500, Result_Database!H$2:H$500),
  _xlfn.IFNA(_xlpm.result, "")
)</f>
        <v/>
      </c>
      <c r="J129" t="str">
        <f>_xlfn.LET(
  _xlpm.result, _xlfn.XLOOKUP($B129, Result_Database!$A$2:$A$500, Result_Database!I$2:I$500),
  _xlfn.IFNA(_xlpm.result, "")
)</f>
        <v/>
      </c>
      <c r="K129" t="str">
        <f>_xlfn.LET(
  _xlpm.result, _xlfn.XLOOKUP($B129, Result_Database!$A$2:$A$500, Result_Database!J$2:J$500),
  _xlfn.IFNA(_xlpm.result, "")
)</f>
        <v/>
      </c>
      <c r="L129" t="str">
        <f>_xlfn.LET(
  _xlpm.result, _xlfn.XLOOKUP($B129, Result_Database!$A$2:$A$500, Result_Database!K$2:K$500),
  _xlfn.IFNA(_xlpm.result, "")
)</f>
        <v/>
      </c>
      <c r="M129" t="str">
        <f>_xlfn.LET(
  _xlpm.result, _xlfn.XLOOKUP($B129, Result_Database!$A$2:$A$500, Result_Database!L$2:L$500),
  _xlfn.IFNA(_xlpm.result, "")
)</f>
        <v/>
      </c>
      <c r="N129" t="str">
        <f>_xlfn.LET(
  _xlpm.result, _xlfn.XLOOKUP($B129, Result_Database!$A$2:$A$500, Result_Database!M$2:M$500),
  _xlfn.IFNA(_xlpm.result, "")
)</f>
        <v/>
      </c>
      <c r="O129" t="str">
        <f>_xlfn.LET(
  _xlpm.result, _xlfn.XLOOKUP($B129, Result_Database!$A$2:$A$500, Result_Database!N$2:N$500),
  _xlfn.IFNA(_xlpm.result, "")
)</f>
        <v/>
      </c>
      <c r="P129" t="str">
        <f>_xlfn.LET(
  _xlpm.result, _xlfn.XLOOKUP($B129, Result_Database!$A$2:$A$500, Result_Database!O$2:O$500),
  _xlfn.IFNA(_xlpm.result, "")
)</f>
        <v/>
      </c>
      <c r="Q129" t="str">
        <f>_xlfn.LET(
  _xlpm.result, _xlfn.XLOOKUP($B129, Result_Database!$A$2:$A$500, Result_Database!P$2:P$500),
  _xlfn.IFNA(_xlpm.result, "")
)</f>
        <v/>
      </c>
      <c r="R129" t="str">
        <f>_xlfn.LET(
  _xlpm.result, _xlfn.XLOOKUP($B129, Result_Database!$A$2:$A$500, Result_Database!Q$2:Q$500),
  _xlfn.IFNA(_xlpm.result, "")
)</f>
        <v/>
      </c>
      <c r="S129" t="str">
        <f>_xlfn.LET(
  _xlpm.result, _xlfn.XLOOKUP($B129, Result_Database!$A$2:$A$500, Result_Database!R$2:R$500),
  _xlfn.IFNA(_xlpm.result, "")
)</f>
        <v/>
      </c>
      <c r="T129" t="str">
        <f>_xlfn.LET(
  _xlpm.result, _xlfn.XLOOKUP($B129, Result_Database!$A$2:$A$500, Result_Database!S$2:S$500),
  _xlfn.IFNA(_xlpm.result, "")
)</f>
        <v/>
      </c>
      <c r="U129" t="str">
        <f>_xlfn.LET(
  _xlpm.result, _xlfn.XLOOKUP($B129, Result_Database!$A$2:$A$500, Result_Database!T$2:T$500),
  _xlfn.IFNA(_xlpm.result, "")
)</f>
        <v/>
      </c>
      <c r="V129" t="str">
        <f>_xlfn.LET(
  _xlpm.result, _xlfn.XLOOKUP($B129, Result_Database!$A$2:$A$500, Result_Database!U$2:U$500),
  _xlfn.IFNA(_xlpm.result, "")
)</f>
        <v/>
      </c>
      <c r="W129" t="str">
        <f>_xlfn.LET(
  _xlpm.result, _xlfn.XLOOKUP($B129, Result_Database!$A$2:$A$500, Result_Database!V$2:V$500),
  _xlfn.IFNA(_xlpm.result, "")
)</f>
        <v/>
      </c>
      <c r="X129" t="str">
        <f>_xlfn.LET(
  _xlpm.result, _xlfn.XLOOKUP($B129, Result_Database!$A$2:$A$500, Result_Database!W$2:W$500),
  _xlfn.IFNA(_xlpm.result, "")
)</f>
        <v/>
      </c>
      <c r="Y129" t="str">
        <f>_xlfn.LET(
  _xlpm.result, _xlfn.XLOOKUP($B129, Result_Database!$A$2:$A$500, Result_Database!X$2:X$500),
  _xlfn.IFNA(_xlpm.result, "")
)</f>
        <v/>
      </c>
      <c r="Z129" t="str">
        <f>_xlfn.LET(
  _xlpm.result, _xlfn.XLOOKUP($B129, Result_Database!$A$2:$A$500, Result_Database!Y$2:Y$500),
  _xlfn.IFNA(_xlpm.result, "")
)</f>
        <v/>
      </c>
      <c r="AA129" t="str">
        <f>_xlfn.LET(
  _xlpm.result, _xlfn.XLOOKUP($B129, Result_Database!$A$2:$A$500, Result_Database!Z$2:Z$500),
  _xlfn.IFNA(_xlpm.result, "")
)</f>
        <v/>
      </c>
      <c r="AB129" t="str">
        <f>_xlfn.LET(
  _xlpm.result, _xlfn.XLOOKUP($B129, Result_Database!$A$2:$A$500, Result_Database!AA$2:AA$500),
  _xlfn.IFNA(_xlpm.result, "")
)</f>
        <v/>
      </c>
      <c r="AC129" t="str">
        <f>_xlfn.LET(
  _xlpm.result, _xlfn.XLOOKUP($B129, Result_Database!$A$2:$A$500, Result_Database!AB$2:AB$500),
  _xlfn.IFNA(_xlpm.result, "")
)</f>
        <v/>
      </c>
      <c r="AD129" t="str">
        <f>_xlfn.LET(
  _xlpm.result, _xlfn.XLOOKUP($B129, Result_Database!$A$2:$A$500, Result_Database!AC$2:AC$500),
  _xlfn.IFNA(_xlpm.result, "")
)</f>
        <v/>
      </c>
      <c r="AE129" t="str">
        <f>_xlfn.LET(
  _xlpm.result, _xlfn.XLOOKUP($B129, Result_Database!$A$2:$A$500, Result_Database!AD$2:AD$500),
  _xlfn.IFNA(_xlpm.result, "")
)</f>
        <v/>
      </c>
      <c r="AF129" t="str">
        <f>_xlfn.LET(
  _xlpm.result, _xlfn.XLOOKUP($B129, Result_Database!$A$2:$A$500, Result_Database!AE$2:AE$500),
  _xlfn.IFNA(_xlpm.result, "")
)</f>
        <v/>
      </c>
      <c r="AG129" t="str">
        <f>_xlfn.LET(
  _xlpm.result, _xlfn.XLOOKUP($B129, Result_Database!$A$2:$A$500, Result_Database!AF$2:AF$500),
  _xlfn.IFNA(_xlpm.result, "")
)</f>
        <v/>
      </c>
      <c r="AH129" t="str">
        <f>_xlfn.LET(
  _xlpm.result, _xlfn.XLOOKUP($B129, Result_Database!$A$2:$A$500, Result_Database!AG$2:AG$500),
  _xlfn.IFNA(_xlpm.result, "")
)</f>
        <v/>
      </c>
      <c r="AI129" t="str">
        <f>_xlfn.LET(
  _xlpm.result, _xlfn.XLOOKUP($B129, Result_Database!$A$2:$A$500, Result_Database!AH$2:AH$500),
  _xlfn.IFNA(_xlpm.result, "")
)</f>
        <v/>
      </c>
      <c r="AJ129" t="str">
        <f>_xlfn.LET(
  _xlpm.result, _xlfn.XLOOKUP($B129, Result_Database!$A$2:$A$500, Result_Database!AI$2:AI$500),
  _xlfn.IFNA(_xlpm.result, "")
)</f>
        <v/>
      </c>
      <c r="AK129" t="str">
        <f>_xlfn.LET(
  _xlpm.result, _xlfn.XLOOKUP($B129, Result_Database!$A$2:$A$500, Result_Database!AJ$2:AJ$500),
  _xlfn.IFNA(_xlpm.result, "")
)</f>
        <v/>
      </c>
      <c r="AL129" t="str">
        <f>_xlfn.LET(
  _xlpm.result, _xlfn.XLOOKUP($B129, Result_Database!$A$2:$A$500, Result_Database!AK$2:AK$500),
  _xlfn.IFNA(_xlpm.result, "")
)</f>
        <v/>
      </c>
      <c r="AM12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2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2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2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2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2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2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2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2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29" t="str">
        <f>IF(SUM(Table5[[#This Row],[A1]:[C6]])&lt;&gt;0,SUM(Table5[[#This Row],[A1]:[C6]]),"")</f>
        <v/>
      </c>
      <c r="AW129" t="str">
        <f>IF(SUM(Table5[[#This Row],[D7]:[F9]])=0,"",SUM(Table5[[#This Row],[D7]:[F9]]))</f>
        <v/>
      </c>
      <c r="AX12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2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2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2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2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2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29" t="str">
        <f>IF(COUNTIF(Table5[[#This Row],[English Language]:[Electrical/ Electronics]],"WITHHELD")=0,"",COUNTIF(Table5[[#This Row],[English Language]:[Electrical/ Electronics]],"WITHHELD"))</f>
        <v/>
      </c>
      <c r="BE129" t="str">
        <f>IF(SUM(Table5[[#This Row],[NO OF CREDITS]:[BELOW CREDITS]])=0,"",SUM(Table5[[#This Row],[NO OF CREDITS]:[BELOW CREDITS]]))</f>
        <v/>
      </c>
    </row>
    <row r="130" spans="1:57" x14ac:dyDescent="0.3">
      <c r="A130" t="str">
        <f>IF(B130&lt;&gt;"",COUNTA($B$6:B130),"")</f>
        <v/>
      </c>
      <c r="B130" t="str">
        <f>IF(Result_Database!A126="","",Result_Database!A126)</f>
        <v/>
      </c>
      <c r="C130" t="str">
        <f>_xlfn.LET(
_xlpm.result,_xlfn.XLOOKUP($B130,Result_Database!$A$2:$A$500,Result_Database!$B$2:$B$500),
_xlfn.IFNA(_xlpm.result,"")
)</f>
        <v/>
      </c>
      <c r="D130" t="str">
        <f>_xlfn.LET(
  _xlpm.result, _xlfn.XLOOKUP($B130, Result_Database!$A$2:$A$500, Result_Database!C$2:C$500),
  _xlfn.IFNA(_xlpm.result, "")
)</f>
        <v/>
      </c>
      <c r="E130" t="str">
        <f>_xlfn.LET(
  _xlpm.result, _xlfn.XLOOKUP($B130, Result_Database!$A$2:$A$500, Result_Database!D$2:D$500),
  _xlfn.IFNA(_xlpm.result, "")
)</f>
        <v/>
      </c>
      <c r="F130" t="str">
        <f>_xlfn.LET(
  _xlpm.result, _xlfn.XLOOKUP($B130, Result_Database!$A$2:$A$500, Result_Database!E$2:E$500),
  _xlfn.IFNA(_xlpm.result, "")
)</f>
        <v/>
      </c>
      <c r="G130" t="str">
        <f>_xlfn.LET(
  _xlpm.result, _xlfn.XLOOKUP($B130, Result_Database!$A$2:$A$500, Result_Database!F$2:F$500),
  _xlfn.IFNA(_xlpm.result, "")
)</f>
        <v/>
      </c>
      <c r="H130" t="str">
        <f>_xlfn.LET(
  _xlpm.result, _xlfn.XLOOKUP($B130, Result_Database!$A$2:$A$500, Result_Database!G$2:G$500),
  _xlfn.IFNA(_xlpm.result, "")
)</f>
        <v/>
      </c>
      <c r="I130" t="str">
        <f>_xlfn.LET(
  _xlpm.result, _xlfn.XLOOKUP($B130, Result_Database!$A$2:$A$500, Result_Database!H$2:H$500),
  _xlfn.IFNA(_xlpm.result, "")
)</f>
        <v/>
      </c>
      <c r="J130" t="str">
        <f>_xlfn.LET(
  _xlpm.result, _xlfn.XLOOKUP($B130, Result_Database!$A$2:$A$500, Result_Database!I$2:I$500),
  _xlfn.IFNA(_xlpm.result, "")
)</f>
        <v/>
      </c>
      <c r="K130" t="str">
        <f>_xlfn.LET(
  _xlpm.result, _xlfn.XLOOKUP($B130, Result_Database!$A$2:$A$500, Result_Database!J$2:J$500),
  _xlfn.IFNA(_xlpm.result, "")
)</f>
        <v/>
      </c>
      <c r="L130" t="str">
        <f>_xlfn.LET(
  _xlpm.result, _xlfn.XLOOKUP($B130, Result_Database!$A$2:$A$500, Result_Database!K$2:K$500),
  _xlfn.IFNA(_xlpm.result, "")
)</f>
        <v/>
      </c>
      <c r="M130" t="str">
        <f>_xlfn.LET(
  _xlpm.result, _xlfn.XLOOKUP($B130, Result_Database!$A$2:$A$500, Result_Database!L$2:L$500),
  _xlfn.IFNA(_xlpm.result, "")
)</f>
        <v/>
      </c>
      <c r="N130" t="str">
        <f>_xlfn.LET(
  _xlpm.result, _xlfn.XLOOKUP($B130, Result_Database!$A$2:$A$500, Result_Database!M$2:M$500),
  _xlfn.IFNA(_xlpm.result, "")
)</f>
        <v/>
      </c>
      <c r="O130" t="str">
        <f>_xlfn.LET(
  _xlpm.result, _xlfn.XLOOKUP($B130, Result_Database!$A$2:$A$500, Result_Database!N$2:N$500),
  _xlfn.IFNA(_xlpm.result, "")
)</f>
        <v/>
      </c>
      <c r="P130" t="str">
        <f>_xlfn.LET(
  _xlpm.result, _xlfn.XLOOKUP($B130, Result_Database!$A$2:$A$500, Result_Database!O$2:O$500),
  _xlfn.IFNA(_xlpm.result, "")
)</f>
        <v/>
      </c>
      <c r="Q130" t="str">
        <f>_xlfn.LET(
  _xlpm.result, _xlfn.XLOOKUP($B130, Result_Database!$A$2:$A$500, Result_Database!P$2:P$500),
  _xlfn.IFNA(_xlpm.result, "")
)</f>
        <v/>
      </c>
      <c r="R130" t="str">
        <f>_xlfn.LET(
  _xlpm.result, _xlfn.XLOOKUP($B130, Result_Database!$A$2:$A$500, Result_Database!Q$2:Q$500),
  _xlfn.IFNA(_xlpm.result, "")
)</f>
        <v/>
      </c>
      <c r="S130" t="str">
        <f>_xlfn.LET(
  _xlpm.result, _xlfn.XLOOKUP($B130, Result_Database!$A$2:$A$500, Result_Database!R$2:R$500),
  _xlfn.IFNA(_xlpm.result, "")
)</f>
        <v/>
      </c>
      <c r="T130" t="str">
        <f>_xlfn.LET(
  _xlpm.result, _xlfn.XLOOKUP($B130, Result_Database!$A$2:$A$500, Result_Database!S$2:S$500),
  _xlfn.IFNA(_xlpm.result, "")
)</f>
        <v/>
      </c>
      <c r="U130" t="str">
        <f>_xlfn.LET(
  _xlpm.result, _xlfn.XLOOKUP($B130, Result_Database!$A$2:$A$500, Result_Database!T$2:T$500),
  _xlfn.IFNA(_xlpm.result, "")
)</f>
        <v/>
      </c>
      <c r="V130" t="str">
        <f>_xlfn.LET(
  _xlpm.result, _xlfn.XLOOKUP($B130, Result_Database!$A$2:$A$500, Result_Database!U$2:U$500),
  _xlfn.IFNA(_xlpm.result, "")
)</f>
        <v/>
      </c>
      <c r="W130" t="str">
        <f>_xlfn.LET(
  _xlpm.result, _xlfn.XLOOKUP($B130, Result_Database!$A$2:$A$500, Result_Database!V$2:V$500),
  _xlfn.IFNA(_xlpm.result, "")
)</f>
        <v/>
      </c>
      <c r="X130" t="str">
        <f>_xlfn.LET(
  _xlpm.result, _xlfn.XLOOKUP($B130, Result_Database!$A$2:$A$500, Result_Database!W$2:W$500),
  _xlfn.IFNA(_xlpm.result, "")
)</f>
        <v/>
      </c>
      <c r="Y130" t="str">
        <f>_xlfn.LET(
  _xlpm.result, _xlfn.XLOOKUP($B130, Result_Database!$A$2:$A$500, Result_Database!X$2:X$500),
  _xlfn.IFNA(_xlpm.result, "")
)</f>
        <v/>
      </c>
      <c r="Z130" t="str">
        <f>_xlfn.LET(
  _xlpm.result, _xlfn.XLOOKUP($B130, Result_Database!$A$2:$A$500, Result_Database!Y$2:Y$500),
  _xlfn.IFNA(_xlpm.result, "")
)</f>
        <v/>
      </c>
      <c r="AA130" t="str">
        <f>_xlfn.LET(
  _xlpm.result, _xlfn.XLOOKUP($B130, Result_Database!$A$2:$A$500, Result_Database!Z$2:Z$500),
  _xlfn.IFNA(_xlpm.result, "")
)</f>
        <v/>
      </c>
      <c r="AB130" t="str">
        <f>_xlfn.LET(
  _xlpm.result, _xlfn.XLOOKUP($B130, Result_Database!$A$2:$A$500, Result_Database!AA$2:AA$500),
  _xlfn.IFNA(_xlpm.result, "")
)</f>
        <v/>
      </c>
      <c r="AC130" t="str">
        <f>_xlfn.LET(
  _xlpm.result, _xlfn.XLOOKUP($B130, Result_Database!$A$2:$A$500, Result_Database!AB$2:AB$500),
  _xlfn.IFNA(_xlpm.result, "")
)</f>
        <v/>
      </c>
      <c r="AD130" t="str">
        <f>_xlfn.LET(
  _xlpm.result, _xlfn.XLOOKUP($B130, Result_Database!$A$2:$A$500, Result_Database!AC$2:AC$500),
  _xlfn.IFNA(_xlpm.result, "")
)</f>
        <v/>
      </c>
      <c r="AE130" t="str">
        <f>_xlfn.LET(
  _xlpm.result, _xlfn.XLOOKUP($B130, Result_Database!$A$2:$A$500, Result_Database!AD$2:AD$500),
  _xlfn.IFNA(_xlpm.result, "")
)</f>
        <v/>
      </c>
      <c r="AF130" t="str">
        <f>_xlfn.LET(
  _xlpm.result, _xlfn.XLOOKUP($B130, Result_Database!$A$2:$A$500, Result_Database!AE$2:AE$500),
  _xlfn.IFNA(_xlpm.result, "")
)</f>
        <v/>
      </c>
      <c r="AG130" t="str">
        <f>_xlfn.LET(
  _xlpm.result, _xlfn.XLOOKUP($B130, Result_Database!$A$2:$A$500, Result_Database!AF$2:AF$500),
  _xlfn.IFNA(_xlpm.result, "")
)</f>
        <v/>
      </c>
      <c r="AH130" t="str">
        <f>_xlfn.LET(
  _xlpm.result, _xlfn.XLOOKUP($B130, Result_Database!$A$2:$A$500, Result_Database!AG$2:AG$500),
  _xlfn.IFNA(_xlpm.result, "")
)</f>
        <v/>
      </c>
      <c r="AI130" t="str">
        <f>_xlfn.LET(
  _xlpm.result, _xlfn.XLOOKUP($B130, Result_Database!$A$2:$A$500, Result_Database!AH$2:AH$500),
  _xlfn.IFNA(_xlpm.result, "")
)</f>
        <v/>
      </c>
      <c r="AJ130" t="str">
        <f>_xlfn.LET(
  _xlpm.result, _xlfn.XLOOKUP($B130, Result_Database!$A$2:$A$500, Result_Database!AI$2:AI$500),
  _xlfn.IFNA(_xlpm.result, "")
)</f>
        <v/>
      </c>
      <c r="AK130" t="str">
        <f>_xlfn.LET(
  _xlpm.result, _xlfn.XLOOKUP($B130, Result_Database!$A$2:$A$500, Result_Database!AJ$2:AJ$500),
  _xlfn.IFNA(_xlpm.result, "")
)</f>
        <v/>
      </c>
      <c r="AL130" t="str">
        <f>_xlfn.LET(
  _xlpm.result, _xlfn.XLOOKUP($B130, Result_Database!$A$2:$A$500, Result_Database!AK$2:AK$500),
  _xlfn.IFNA(_xlpm.result, "")
)</f>
        <v/>
      </c>
      <c r="AM13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3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3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3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3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3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3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3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3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30" t="str">
        <f>IF(SUM(Table5[[#This Row],[A1]:[C6]])&lt;&gt;0,SUM(Table5[[#This Row],[A1]:[C6]]),"")</f>
        <v/>
      </c>
      <c r="AW130" t="str">
        <f>IF(SUM(Table5[[#This Row],[D7]:[F9]])=0,"",SUM(Table5[[#This Row],[D7]:[F9]]))</f>
        <v/>
      </c>
      <c r="AX13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3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3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3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3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3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30" t="str">
        <f>IF(COUNTIF(Table5[[#This Row],[English Language]:[Electrical/ Electronics]],"WITHHELD")=0,"",COUNTIF(Table5[[#This Row],[English Language]:[Electrical/ Electronics]],"WITHHELD"))</f>
        <v/>
      </c>
      <c r="BE130" t="str">
        <f>IF(SUM(Table5[[#This Row],[NO OF CREDITS]:[BELOW CREDITS]])=0,"",SUM(Table5[[#This Row],[NO OF CREDITS]:[BELOW CREDITS]]))</f>
        <v/>
      </c>
    </row>
    <row r="131" spans="1:57" x14ac:dyDescent="0.3">
      <c r="A131" t="str">
        <f>IF(B131&lt;&gt;"",COUNTA($B$6:B131),"")</f>
        <v/>
      </c>
      <c r="B131" t="str">
        <f>IF(Result_Database!A127="","",Result_Database!A127)</f>
        <v/>
      </c>
      <c r="C131" t="str">
        <f>_xlfn.LET(
_xlpm.result,_xlfn.XLOOKUP($B131,Result_Database!$A$2:$A$500,Result_Database!$B$2:$B$500),
_xlfn.IFNA(_xlpm.result,"")
)</f>
        <v/>
      </c>
      <c r="D131" t="str">
        <f>_xlfn.LET(
  _xlpm.result, _xlfn.XLOOKUP($B131, Result_Database!$A$2:$A$500, Result_Database!C$2:C$500),
  _xlfn.IFNA(_xlpm.result, "")
)</f>
        <v/>
      </c>
      <c r="E131" t="str">
        <f>_xlfn.LET(
  _xlpm.result, _xlfn.XLOOKUP($B131, Result_Database!$A$2:$A$500, Result_Database!D$2:D$500),
  _xlfn.IFNA(_xlpm.result, "")
)</f>
        <v/>
      </c>
      <c r="F131" t="str">
        <f>_xlfn.LET(
  _xlpm.result, _xlfn.XLOOKUP($B131, Result_Database!$A$2:$A$500, Result_Database!E$2:E$500),
  _xlfn.IFNA(_xlpm.result, "")
)</f>
        <v/>
      </c>
      <c r="G131" t="str">
        <f>_xlfn.LET(
  _xlpm.result, _xlfn.XLOOKUP($B131, Result_Database!$A$2:$A$500, Result_Database!F$2:F$500),
  _xlfn.IFNA(_xlpm.result, "")
)</f>
        <v/>
      </c>
      <c r="H131" t="str">
        <f>_xlfn.LET(
  _xlpm.result, _xlfn.XLOOKUP($B131, Result_Database!$A$2:$A$500, Result_Database!G$2:G$500),
  _xlfn.IFNA(_xlpm.result, "")
)</f>
        <v/>
      </c>
      <c r="I131" t="str">
        <f>_xlfn.LET(
  _xlpm.result, _xlfn.XLOOKUP($B131, Result_Database!$A$2:$A$500, Result_Database!H$2:H$500),
  _xlfn.IFNA(_xlpm.result, "")
)</f>
        <v/>
      </c>
      <c r="J131" t="str">
        <f>_xlfn.LET(
  _xlpm.result, _xlfn.XLOOKUP($B131, Result_Database!$A$2:$A$500, Result_Database!I$2:I$500),
  _xlfn.IFNA(_xlpm.result, "")
)</f>
        <v/>
      </c>
      <c r="K131" t="str">
        <f>_xlfn.LET(
  _xlpm.result, _xlfn.XLOOKUP($B131, Result_Database!$A$2:$A$500, Result_Database!J$2:J$500),
  _xlfn.IFNA(_xlpm.result, "")
)</f>
        <v/>
      </c>
      <c r="L131" t="str">
        <f>_xlfn.LET(
  _xlpm.result, _xlfn.XLOOKUP($B131, Result_Database!$A$2:$A$500, Result_Database!K$2:K$500),
  _xlfn.IFNA(_xlpm.result, "")
)</f>
        <v/>
      </c>
      <c r="M131" t="str">
        <f>_xlfn.LET(
  _xlpm.result, _xlfn.XLOOKUP($B131, Result_Database!$A$2:$A$500, Result_Database!L$2:L$500),
  _xlfn.IFNA(_xlpm.result, "")
)</f>
        <v/>
      </c>
      <c r="N131" t="str">
        <f>_xlfn.LET(
  _xlpm.result, _xlfn.XLOOKUP($B131, Result_Database!$A$2:$A$500, Result_Database!M$2:M$500),
  _xlfn.IFNA(_xlpm.result, "")
)</f>
        <v/>
      </c>
      <c r="O131" t="str">
        <f>_xlfn.LET(
  _xlpm.result, _xlfn.XLOOKUP($B131, Result_Database!$A$2:$A$500, Result_Database!N$2:N$500),
  _xlfn.IFNA(_xlpm.result, "")
)</f>
        <v/>
      </c>
      <c r="P131" t="str">
        <f>_xlfn.LET(
  _xlpm.result, _xlfn.XLOOKUP($B131, Result_Database!$A$2:$A$500, Result_Database!O$2:O$500),
  _xlfn.IFNA(_xlpm.result, "")
)</f>
        <v/>
      </c>
      <c r="Q131" t="str">
        <f>_xlfn.LET(
  _xlpm.result, _xlfn.XLOOKUP($B131, Result_Database!$A$2:$A$500, Result_Database!P$2:P$500),
  _xlfn.IFNA(_xlpm.result, "")
)</f>
        <v/>
      </c>
      <c r="R131" t="str">
        <f>_xlfn.LET(
  _xlpm.result, _xlfn.XLOOKUP($B131, Result_Database!$A$2:$A$500, Result_Database!Q$2:Q$500),
  _xlfn.IFNA(_xlpm.result, "")
)</f>
        <v/>
      </c>
      <c r="S131" t="str">
        <f>_xlfn.LET(
  _xlpm.result, _xlfn.XLOOKUP($B131, Result_Database!$A$2:$A$500, Result_Database!R$2:R$500),
  _xlfn.IFNA(_xlpm.result, "")
)</f>
        <v/>
      </c>
      <c r="T131" t="str">
        <f>_xlfn.LET(
  _xlpm.result, _xlfn.XLOOKUP($B131, Result_Database!$A$2:$A$500, Result_Database!S$2:S$500),
  _xlfn.IFNA(_xlpm.result, "")
)</f>
        <v/>
      </c>
      <c r="U131" t="str">
        <f>_xlfn.LET(
  _xlpm.result, _xlfn.XLOOKUP($B131, Result_Database!$A$2:$A$500, Result_Database!T$2:T$500),
  _xlfn.IFNA(_xlpm.result, "")
)</f>
        <v/>
      </c>
      <c r="V131" t="str">
        <f>_xlfn.LET(
  _xlpm.result, _xlfn.XLOOKUP($B131, Result_Database!$A$2:$A$500, Result_Database!U$2:U$500),
  _xlfn.IFNA(_xlpm.result, "")
)</f>
        <v/>
      </c>
      <c r="W131" t="str">
        <f>_xlfn.LET(
  _xlpm.result, _xlfn.XLOOKUP($B131, Result_Database!$A$2:$A$500, Result_Database!V$2:V$500),
  _xlfn.IFNA(_xlpm.result, "")
)</f>
        <v/>
      </c>
      <c r="X131" t="str">
        <f>_xlfn.LET(
  _xlpm.result, _xlfn.XLOOKUP($B131, Result_Database!$A$2:$A$500, Result_Database!W$2:W$500),
  _xlfn.IFNA(_xlpm.result, "")
)</f>
        <v/>
      </c>
      <c r="Y131" t="str">
        <f>_xlfn.LET(
  _xlpm.result, _xlfn.XLOOKUP($B131, Result_Database!$A$2:$A$500, Result_Database!X$2:X$500),
  _xlfn.IFNA(_xlpm.result, "")
)</f>
        <v/>
      </c>
      <c r="Z131" t="str">
        <f>_xlfn.LET(
  _xlpm.result, _xlfn.XLOOKUP($B131, Result_Database!$A$2:$A$500, Result_Database!Y$2:Y$500),
  _xlfn.IFNA(_xlpm.result, "")
)</f>
        <v/>
      </c>
      <c r="AA131" t="str">
        <f>_xlfn.LET(
  _xlpm.result, _xlfn.XLOOKUP($B131, Result_Database!$A$2:$A$500, Result_Database!Z$2:Z$500),
  _xlfn.IFNA(_xlpm.result, "")
)</f>
        <v/>
      </c>
      <c r="AB131" t="str">
        <f>_xlfn.LET(
  _xlpm.result, _xlfn.XLOOKUP($B131, Result_Database!$A$2:$A$500, Result_Database!AA$2:AA$500),
  _xlfn.IFNA(_xlpm.result, "")
)</f>
        <v/>
      </c>
      <c r="AC131" t="str">
        <f>_xlfn.LET(
  _xlpm.result, _xlfn.XLOOKUP($B131, Result_Database!$A$2:$A$500, Result_Database!AB$2:AB$500),
  _xlfn.IFNA(_xlpm.result, "")
)</f>
        <v/>
      </c>
      <c r="AD131" t="str">
        <f>_xlfn.LET(
  _xlpm.result, _xlfn.XLOOKUP($B131, Result_Database!$A$2:$A$500, Result_Database!AC$2:AC$500),
  _xlfn.IFNA(_xlpm.result, "")
)</f>
        <v/>
      </c>
      <c r="AE131" t="str">
        <f>_xlfn.LET(
  _xlpm.result, _xlfn.XLOOKUP($B131, Result_Database!$A$2:$A$500, Result_Database!AD$2:AD$500),
  _xlfn.IFNA(_xlpm.result, "")
)</f>
        <v/>
      </c>
      <c r="AF131" t="str">
        <f>_xlfn.LET(
  _xlpm.result, _xlfn.XLOOKUP($B131, Result_Database!$A$2:$A$500, Result_Database!AE$2:AE$500),
  _xlfn.IFNA(_xlpm.result, "")
)</f>
        <v/>
      </c>
      <c r="AG131" t="str">
        <f>_xlfn.LET(
  _xlpm.result, _xlfn.XLOOKUP($B131, Result_Database!$A$2:$A$500, Result_Database!AF$2:AF$500),
  _xlfn.IFNA(_xlpm.result, "")
)</f>
        <v/>
      </c>
      <c r="AH131" t="str">
        <f>_xlfn.LET(
  _xlpm.result, _xlfn.XLOOKUP($B131, Result_Database!$A$2:$A$500, Result_Database!AG$2:AG$500),
  _xlfn.IFNA(_xlpm.result, "")
)</f>
        <v/>
      </c>
      <c r="AI131" t="str">
        <f>_xlfn.LET(
  _xlpm.result, _xlfn.XLOOKUP($B131, Result_Database!$A$2:$A$500, Result_Database!AH$2:AH$500),
  _xlfn.IFNA(_xlpm.result, "")
)</f>
        <v/>
      </c>
      <c r="AJ131" t="str">
        <f>_xlfn.LET(
  _xlpm.result, _xlfn.XLOOKUP($B131, Result_Database!$A$2:$A$500, Result_Database!AI$2:AI$500),
  _xlfn.IFNA(_xlpm.result, "")
)</f>
        <v/>
      </c>
      <c r="AK131" t="str">
        <f>_xlfn.LET(
  _xlpm.result, _xlfn.XLOOKUP($B131, Result_Database!$A$2:$A$500, Result_Database!AJ$2:AJ$500),
  _xlfn.IFNA(_xlpm.result, "")
)</f>
        <v/>
      </c>
      <c r="AL131" t="str">
        <f>_xlfn.LET(
  _xlpm.result, _xlfn.XLOOKUP($B131, Result_Database!$A$2:$A$500, Result_Database!AK$2:AK$500),
  _xlfn.IFNA(_xlpm.result, "")
)</f>
        <v/>
      </c>
      <c r="AM13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3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3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3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3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3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3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3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3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31" t="str">
        <f>IF(SUM(Table5[[#This Row],[A1]:[C6]])&lt;&gt;0,SUM(Table5[[#This Row],[A1]:[C6]]),"")</f>
        <v/>
      </c>
      <c r="AW131" t="str">
        <f>IF(SUM(Table5[[#This Row],[D7]:[F9]])=0,"",SUM(Table5[[#This Row],[D7]:[F9]]))</f>
        <v/>
      </c>
      <c r="AX13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3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3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3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3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3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31" t="str">
        <f>IF(COUNTIF(Table5[[#This Row],[English Language]:[Electrical/ Electronics]],"WITHHELD")=0,"",COUNTIF(Table5[[#This Row],[English Language]:[Electrical/ Electronics]],"WITHHELD"))</f>
        <v/>
      </c>
      <c r="BE131" t="str">
        <f>IF(SUM(Table5[[#This Row],[NO OF CREDITS]:[BELOW CREDITS]])=0,"",SUM(Table5[[#This Row],[NO OF CREDITS]:[BELOW CREDITS]]))</f>
        <v/>
      </c>
    </row>
    <row r="132" spans="1:57" x14ac:dyDescent="0.3">
      <c r="A132" t="str">
        <f>IF(B132&lt;&gt;"",COUNTA($B$6:B132),"")</f>
        <v/>
      </c>
      <c r="B132" t="str">
        <f>IF(Result_Database!A128="","",Result_Database!A128)</f>
        <v/>
      </c>
      <c r="C132" t="str">
        <f>_xlfn.LET(
_xlpm.result,_xlfn.XLOOKUP($B132,Result_Database!$A$2:$A$500,Result_Database!$B$2:$B$500),
_xlfn.IFNA(_xlpm.result,"")
)</f>
        <v/>
      </c>
      <c r="D132" t="str">
        <f>_xlfn.LET(
  _xlpm.result, _xlfn.XLOOKUP($B132, Result_Database!$A$2:$A$500, Result_Database!C$2:C$500),
  _xlfn.IFNA(_xlpm.result, "")
)</f>
        <v/>
      </c>
      <c r="E132" t="str">
        <f>_xlfn.LET(
  _xlpm.result, _xlfn.XLOOKUP($B132, Result_Database!$A$2:$A$500, Result_Database!D$2:D$500),
  _xlfn.IFNA(_xlpm.result, "")
)</f>
        <v/>
      </c>
      <c r="F132" t="str">
        <f>_xlfn.LET(
  _xlpm.result, _xlfn.XLOOKUP($B132, Result_Database!$A$2:$A$500, Result_Database!E$2:E$500),
  _xlfn.IFNA(_xlpm.result, "")
)</f>
        <v/>
      </c>
      <c r="G132" t="str">
        <f>_xlfn.LET(
  _xlpm.result, _xlfn.XLOOKUP($B132, Result_Database!$A$2:$A$500, Result_Database!F$2:F$500),
  _xlfn.IFNA(_xlpm.result, "")
)</f>
        <v/>
      </c>
      <c r="H132" t="str">
        <f>_xlfn.LET(
  _xlpm.result, _xlfn.XLOOKUP($B132, Result_Database!$A$2:$A$500, Result_Database!G$2:G$500),
  _xlfn.IFNA(_xlpm.result, "")
)</f>
        <v/>
      </c>
      <c r="I132" t="str">
        <f>_xlfn.LET(
  _xlpm.result, _xlfn.XLOOKUP($B132, Result_Database!$A$2:$A$500, Result_Database!H$2:H$500),
  _xlfn.IFNA(_xlpm.result, "")
)</f>
        <v/>
      </c>
      <c r="J132" t="str">
        <f>_xlfn.LET(
  _xlpm.result, _xlfn.XLOOKUP($B132, Result_Database!$A$2:$A$500, Result_Database!I$2:I$500),
  _xlfn.IFNA(_xlpm.result, "")
)</f>
        <v/>
      </c>
      <c r="K132" t="str">
        <f>_xlfn.LET(
  _xlpm.result, _xlfn.XLOOKUP($B132, Result_Database!$A$2:$A$500, Result_Database!J$2:J$500),
  _xlfn.IFNA(_xlpm.result, "")
)</f>
        <v/>
      </c>
      <c r="L132" t="str">
        <f>_xlfn.LET(
  _xlpm.result, _xlfn.XLOOKUP($B132, Result_Database!$A$2:$A$500, Result_Database!K$2:K$500),
  _xlfn.IFNA(_xlpm.result, "")
)</f>
        <v/>
      </c>
      <c r="M132" t="str">
        <f>_xlfn.LET(
  _xlpm.result, _xlfn.XLOOKUP($B132, Result_Database!$A$2:$A$500, Result_Database!L$2:L$500),
  _xlfn.IFNA(_xlpm.result, "")
)</f>
        <v/>
      </c>
      <c r="N132" t="str">
        <f>_xlfn.LET(
  _xlpm.result, _xlfn.XLOOKUP($B132, Result_Database!$A$2:$A$500, Result_Database!M$2:M$500),
  _xlfn.IFNA(_xlpm.result, "")
)</f>
        <v/>
      </c>
      <c r="O132" t="str">
        <f>_xlfn.LET(
  _xlpm.result, _xlfn.XLOOKUP($B132, Result_Database!$A$2:$A$500, Result_Database!N$2:N$500),
  _xlfn.IFNA(_xlpm.result, "")
)</f>
        <v/>
      </c>
      <c r="P132" t="str">
        <f>_xlfn.LET(
  _xlpm.result, _xlfn.XLOOKUP($B132, Result_Database!$A$2:$A$500, Result_Database!O$2:O$500),
  _xlfn.IFNA(_xlpm.result, "")
)</f>
        <v/>
      </c>
      <c r="Q132" t="str">
        <f>_xlfn.LET(
  _xlpm.result, _xlfn.XLOOKUP($B132, Result_Database!$A$2:$A$500, Result_Database!P$2:P$500),
  _xlfn.IFNA(_xlpm.result, "")
)</f>
        <v/>
      </c>
      <c r="R132" t="str">
        <f>_xlfn.LET(
  _xlpm.result, _xlfn.XLOOKUP($B132, Result_Database!$A$2:$A$500, Result_Database!Q$2:Q$500),
  _xlfn.IFNA(_xlpm.result, "")
)</f>
        <v/>
      </c>
      <c r="S132" t="str">
        <f>_xlfn.LET(
  _xlpm.result, _xlfn.XLOOKUP($B132, Result_Database!$A$2:$A$500, Result_Database!R$2:R$500),
  _xlfn.IFNA(_xlpm.result, "")
)</f>
        <v/>
      </c>
      <c r="T132" t="str">
        <f>_xlfn.LET(
  _xlpm.result, _xlfn.XLOOKUP($B132, Result_Database!$A$2:$A$500, Result_Database!S$2:S$500),
  _xlfn.IFNA(_xlpm.result, "")
)</f>
        <v/>
      </c>
      <c r="U132" t="str">
        <f>_xlfn.LET(
  _xlpm.result, _xlfn.XLOOKUP($B132, Result_Database!$A$2:$A$500, Result_Database!T$2:T$500),
  _xlfn.IFNA(_xlpm.result, "")
)</f>
        <v/>
      </c>
      <c r="V132" t="str">
        <f>_xlfn.LET(
  _xlpm.result, _xlfn.XLOOKUP($B132, Result_Database!$A$2:$A$500, Result_Database!U$2:U$500),
  _xlfn.IFNA(_xlpm.result, "")
)</f>
        <v/>
      </c>
      <c r="W132" t="str">
        <f>_xlfn.LET(
  _xlpm.result, _xlfn.XLOOKUP($B132, Result_Database!$A$2:$A$500, Result_Database!V$2:V$500),
  _xlfn.IFNA(_xlpm.result, "")
)</f>
        <v/>
      </c>
      <c r="X132" t="str">
        <f>_xlfn.LET(
  _xlpm.result, _xlfn.XLOOKUP($B132, Result_Database!$A$2:$A$500, Result_Database!W$2:W$500),
  _xlfn.IFNA(_xlpm.result, "")
)</f>
        <v/>
      </c>
      <c r="Y132" t="str">
        <f>_xlfn.LET(
  _xlpm.result, _xlfn.XLOOKUP($B132, Result_Database!$A$2:$A$500, Result_Database!X$2:X$500),
  _xlfn.IFNA(_xlpm.result, "")
)</f>
        <v/>
      </c>
      <c r="Z132" t="str">
        <f>_xlfn.LET(
  _xlpm.result, _xlfn.XLOOKUP($B132, Result_Database!$A$2:$A$500, Result_Database!Y$2:Y$500),
  _xlfn.IFNA(_xlpm.result, "")
)</f>
        <v/>
      </c>
      <c r="AA132" t="str">
        <f>_xlfn.LET(
  _xlpm.result, _xlfn.XLOOKUP($B132, Result_Database!$A$2:$A$500, Result_Database!Z$2:Z$500),
  _xlfn.IFNA(_xlpm.result, "")
)</f>
        <v/>
      </c>
      <c r="AB132" t="str">
        <f>_xlfn.LET(
  _xlpm.result, _xlfn.XLOOKUP($B132, Result_Database!$A$2:$A$500, Result_Database!AA$2:AA$500),
  _xlfn.IFNA(_xlpm.result, "")
)</f>
        <v/>
      </c>
      <c r="AC132" t="str">
        <f>_xlfn.LET(
  _xlpm.result, _xlfn.XLOOKUP($B132, Result_Database!$A$2:$A$500, Result_Database!AB$2:AB$500),
  _xlfn.IFNA(_xlpm.result, "")
)</f>
        <v/>
      </c>
      <c r="AD132" t="str">
        <f>_xlfn.LET(
  _xlpm.result, _xlfn.XLOOKUP($B132, Result_Database!$A$2:$A$500, Result_Database!AC$2:AC$500),
  _xlfn.IFNA(_xlpm.result, "")
)</f>
        <v/>
      </c>
      <c r="AE132" t="str">
        <f>_xlfn.LET(
  _xlpm.result, _xlfn.XLOOKUP($B132, Result_Database!$A$2:$A$500, Result_Database!AD$2:AD$500),
  _xlfn.IFNA(_xlpm.result, "")
)</f>
        <v/>
      </c>
      <c r="AF132" t="str">
        <f>_xlfn.LET(
  _xlpm.result, _xlfn.XLOOKUP($B132, Result_Database!$A$2:$A$500, Result_Database!AE$2:AE$500),
  _xlfn.IFNA(_xlpm.result, "")
)</f>
        <v/>
      </c>
      <c r="AG132" t="str">
        <f>_xlfn.LET(
  _xlpm.result, _xlfn.XLOOKUP($B132, Result_Database!$A$2:$A$500, Result_Database!AF$2:AF$500),
  _xlfn.IFNA(_xlpm.result, "")
)</f>
        <v/>
      </c>
      <c r="AH132" t="str">
        <f>_xlfn.LET(
  _xlpm.result, _xlfn.XLOOKUP($B132, Result_Database!$A$2:$A$500, Result_Database!AG$2:AG$500),
  _xlfn.IFNA(_xlpm.result, "")
)</f>
        <v/>
      </c>
      <c r="AI132" t="str">
        <f>_xlfn.LET(
  _xlpm.result, _xlfn.XLOOKUP($B132, Result_Database!$A$2:$A$500, Result_Database!AH$2:AH$500),
  _xlfn.IFNA(_xlpm.result, "")
)</f>
        <v/>
      </c>
      <c r="AJ132" t="str">
        <f>_xlfn.LET(
  _xlpm.result, _xlfn.XLOOKUP($B132, Result_Database!$A$2:$A$500, Result_Database!AI$2:AI$500),
  _xlfn.IFNA(_xlpm.result, "")
)</f>
        <v/>
      </c>
      <c r="AK132" t="str">
        <f>_xlfn.LET(
  _xlpm.result, _xlfn.XLOOKUP($B132, Result_Database!$A$2:$A$500, Result_Database!AJ$2:AJ$500),
  _xlfn.IFNA(_xlpm.result, "")
)</f>
        <v/>
      </c>
      <c r="AL132" t="str">
        <f>_xlfn.LET(
  _xlpm.result, _xlfn.XLOOKUP($B132, Result_Database!$A$2:$A$500, Result_Database!AK$2:AK$500),
  _xlfn.IFNA(_xlpm.result, "")
)</f>
        <v/>
      </c>
      <c r="AM13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3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3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3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3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3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3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3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3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32" t="str">
        <f>IF(SUM(Table5[[#This Row],[A1]:[C6]])&lt;&gt;0,SUM(Table5[[#This Row],[A1]:[C6]]),"")</f>
        <v/>
      </c>
      <c r="AW132" t="str">
        <f>IF(SUM(Table5[[#This Row],[D7]:[F9]])=0,"",SUM(Table5[[#This Row],[D7]:[F9]]))</f>
        <v/>
      </c>
      <c r="AX13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3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3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3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3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3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32" t="str">
        <f>IF(COUNTIF(Table5[[#This Row],[English Language]:[Electrical/ Electronics]],"WITHHELD")=0,"",COUNTIF(Table5[[#This Row],[English Language]:[Electrical/ Electronics]],"WITHHELD"))</f>
        <v/>
      </c>
      <c r="BE132" t="str">
        <f>IF(SUM(Table5[[#This Row],[NO OF CREDITS]:[BELOW CREDITS]])=0,"",SUM(Table5[[#This Row],[NO OF CREDITS]:[BELOW CREDITS]]))</f>
        <v/>
      </c>
    </row>
    <row r="133" spans="1:57" x14ac:dyDescent="0.3">
      <c r="A133" t="str">
        <f>IF(B133&lt;&gt;"",COUNTA($B$6:B133),"")</f>
        <v/>
      </c>
      <c r="B133" t="str">
        <f>IF(Result_Database!A129="","",Result_Database!A129)</f>
        <v/>
      </c>
      <c r="C133" t="str">
        <f>_xlfn.LET(
_xlpm.result,_xlfn.XLOOKUP($B133,Result_Database!$A$2:$A$500,Result_Database!$B$2:$B$500),
_xlfn.IFNA(_xlpm.result,"")
)</f>
        <v/>
      </c>
      <c r="D133" t="str">
        <f>_xlfn.LET(
  _xlpm.result, _xlfn.XLOOKUP($B133, Result_Database!$A$2:$A$500, Result_Database!C$2:C$500),
  _xlfn.IFNA(_xlpm.result, "")
)</f>
        <v/>
      </c>
      <c r="E133" t="str">
        <f>_xlfn.LET(
  _xlpm.result, _xlfn.XLOOKUP($B133, Result_Database!$A$2:$A$500, Result_Database!D$2:D$500),
  _xlfn.IFNA(_xlpm.result, "")
)</f>
        <v/>
      </c>
      <c r="F133" t="str">
        <f>_xlfn.LET(
  _xlpm.result, _xlfn.XLOOKUP($B133, Result_Database!$A$2:$A$500, Result_Database!E$2:E$500),
  _xlfn.IFNA(_xlpm.result, "")
)</f>
        <v/>
      </c>
      <c r="G133" t="str">
        <f>_xlfn.LET(
  _xlpm.result, _xlfn.XLOOKUP($B133, Result_Database!$A$2:$A$500, Result_Database!F$2:F$500),
  _xlfn.IFNA(_xlpm.result, "")
)</f>
        <v/>
      </c>
      <c r="H133" t="str">
        <f>_xlfn.LET(
  _xlpm.result, _xlfn.XLOOKUP($B133, Result_Database!$A$2:$A$500, Result_Database!G$2:G$500),
  _xlfn.IFNA(_xlpm.result, "")
)</f>
        <v/>
      </c>
      <c r="I133" t="str">
        <f>_xlfn.LET(
  _xlpm.result, _xlfn.XLOOKUP($B133, Result_Database!$A$2:$A$500, Result_Database!H$2:H$500),
  _xlfn.IFNA(_xlpm.result, "")
)</f>
        <v/>
      </c>
      <c r="J133" t="str">
        <f>_xlfn.LET(
  _xlpm.result, _xlfn.XLOOKUP($B133, Result_Database!$A$2:$A$500, Result_Database!I$2:I$500),
  _xlfn.IFNA(_xlpm.result, "")
)</f>
        <v/>
      </c>
      <c r="K133" t="str">
        <f>_xlfn.LET(
  _xlpm.result, _xlfn.XLOOKUP($B133, Result_Database!$A$2:$A$500, Result_Database!J$2:J$500),
  _xlfn.IFNA(_xlpm.result, "")
)</f>
        <v/>
      </c>
      <c r="L133" t="str">
        <f>_xlfn.LET(
  _xlpm.result, _xlfn.XLOOKUP($B133, Result_Database!$A$2:$A$500, Result_Database!K$2:K$500),
  _xlfn.IFNA(_xlpm.result, "")
)</f>
        <v/>
      </c>
      <c r="M133" t="str">
        <f>_xlfn.LET(
  _xlpm.result, _xlfn.XLOOKUP($B133, Result_Database!$A$2:$A$500, Result_Database!L$2:L$500),
  _xlfn.IFNA(_xlpm.result, "")
)</f>
        <v/>
      </c>
      <c r="N133" t="str">
        <f>_xlfn.LET(
  _xlpm.result, _xlfn.XLOOKUP($B133, Result_Database!$A$2:$A$500, Result_Database!M$2:M$500),
  _xlfn.IFNA(_xlpm.result, "")
)</f>
        <v/>
      </c>
      <c r="O133" t="str">
        <f>_xlfn.LET(
  _xlpm.result, _xlfn.XLOOKUP($B133, Result_Database!$A$2:$A$500, Result_Database!N$2:N$500),
  _xlfn.IFNA(_xlpm.result, "")
)</f>
        <v/>
      </c>
      <c r="P133" t="str">
        <f>_xlfn.LET(
  _xlpm.result, _xlfn.XLOOKUP($B133, Result_Database!$A$2:$A$500, Result_Database!O$2:O$500),
  _xlfn.IFNA(_xlpm.result, "")
)</f>
        <v/>
      </c>
      <c r="Q133" t="str">
        <f>_xlfn.LET(
  _xlpm.result, _xlfn.XLOOKUP($B133, Result_Database!$A$2:$A$500, Result_Database!P$2:P$500),
  _xlfn.IFNA(_xlpm.result, "")
)</f>
        <v/>
      </c>
      <c r="R133" t="str">
        <f>_xlfn.LET(
  _xlpm.result, _xlfn.XLOOKUP($B133, Result_Database!$A$2:$A$500, Result_Database!Q$2:Q$500),
  _xlfn.IFNA(_xlpm.result, "")
)</f>
        <v/>
      </c>
      <c r="S133" t="str">
        <f>_xlfn.LET(
  _xlpm.result, _xlfn.XLOOKUP($B133, Result_Database!$A$2:$A$500, Result_Database!R$2:R$500),
  _xlfn.IFNA(_xlpm.result, "")
)</f>
        <v/>
      </c>
      <c r="T133" t="str">
        <f>_xlfn.LET(
  _xlpm.result, _xlfn.XLOOKUP($B133, Result_Database!$A$2:$A$500, Result_Database!S$2:S$500),
  _xlfn.IFNA(_xlpm.result, "")
)</f>
        <v/>
      </c>
      <c r="U133" t="str">
        <f>_xlfn.LET(
  _xlpm.result, _xlfn.XLOOKUP($B133, Result_Database!$A$2:$A$500, Result_Database!T$2:T$500),
  _xlfn.IFNA(_xlpm.result, "")
)</f>
        <v/>
      </c>
      <c r="V133" t="str">
        <f>_xlfn.LET(
  _xlpm.result, _xlfn.XLOOKUP($B133, Result_Database!$A$2:$A$500, Result_Database!U$2:U$500),
  _xlfn.IFNA(_xlpm.result, "")
)</f>
        <v/>
      </c>
      <c r="W133" t="str">
        <f>_xlfn.LET(
  _xlpm.result, _xlfn.XLOOKUP($B133, Result_Database!$A$2:$A$500, Result_Database!V$2:V$500),
  _xlfn.IFNA(_xlpm.result, "")
)</f>
        <v/>
      </c>
      <c r="X133" t="str">
        <f>_xlfn.LET(
  _xlpm.result, _xlfn.XLOOKUP($B133, Result_Database!$A$2:$A$500, Result_Database!W$2:W$500),
  _xlfn.IFNA(_xlpm.result, "")
)</f>
        <v/>
      </c>
      <c r="Y133" t="str">
        <f>_xlfn.LET(
  _xlpm.result, _xlfn.XLOOKUP($B133, Result_Database!$A$2:$A$500, Result_Database!X$2:X$500),
  _xlfn.IFNA(_xlpm.result, "")
)</f>
        <v/>
      </c>
      <c r="Z133" t="str">
        <f>_xlfn.LET(
  _xlpm.result, _xlfn.XLOOKUP($B133, Result_Database!$A$2:$A$500, Result_Database!Y$2:Y$500),
  _xlfn.IFNA(_xlpm.result, "")
)</f>
        <v/>
      </c>
      <c r="AA133" t="str">
        <f>_xlfn.LET(
  _xlpm.result, _xlfn.XLOOKUP($B133, Result_Database!$A$2:$A$500, Result_Database!Z$2:Z$500),
  _xlfn.IFNA(_xlpm.result, "")
)</f>
        <v/>
      </c>
      <c r="AB133" t="str">
        <f>_xlfn.LET(
  _xlpm.result, _xlfn.XLOOKUP($B133, Result_Database!$A$2:$A$500, Result_Database!AA$2:AA$500),
  _xlfn.IFNA(_xlpm.result, "")
)</f>
        <v/>
      </c>
      <c r="AC133" t="str">
        <f>_xlfn.LET(
  _xlpm.result, _xlfn.XLOOKUP($B133, Result_Database!$A$2:$A$500, Result_Database!AB$2:AB$500),
  _xlfn.IFNA(_xlpm.result, "")
)</f>
        <v/>
      </c>
      <c r="AD133" t="str">
        <f>_xlfn.LET(
  _xlpm.result, _xlfn.XLOOKUP($B133, Result_Database!$A$2:$A$500, Result_Database!AC$2:AC$500),
  _xlfn.IFNA(_xlpm.result, "")
)</f>
        <v/>
      </c>
      <c r="AE133" t="str">
        <f>_xlfn.LET(
  _xlpm.result, _xlfn.XLOOKUP($B133, Result_Database!$A$2:$A$500, Result_Database!AD$2:AD$500),
  _xlfn.IFNA(_xlpm.result, "")
)</f>
        <v/>
      </c>
      <c r="AF133" t="str">
        <f>_xlfn.LET(
  _xlpm.result, _xlfn.XLOOKUP($B133, Result_Database!$A$2:$A$500, Result_Database!AE$2:AE$500),
  _xlfn.IFNA(_xlpm.result, "")
)</f>
        <v/>
      </c>
      <c r="AG133" t="str">
        <f>_xlfn.LET(
  _xlpm.result, _xlfn.XLOOKUP($B133, Result_Database!$A$2:$A$500, Result_Database!AF$2:AF$500),
  _xlfn.IFNA(_xlpm.result, "")
)</f>
        <v/>
      </c>
      <c r="AH133" t="str">
        <f>_xlfn.LET(
  _xlpm.result, _xlfn.XLOOKUP($B133, Result_Database!$A$2:$A$500, Result_Database!AG$2:AG$500),
  _xlfn.IFNA(_xlpm.result, "")
)</f>
        <v/>
      </c>
      <c r="AI133" t="str">
        <f>_xlfn.LET(
  _xlpm.result, _xlfn.XLOOKUP($B133, Result_Database!$A$2:$A$500, Result_Database!AH$2:AH$500),
  _xlfn.IFNA(_xlpm.result, "")
)</f>
        <v/>
      </c>
      <c r="AJ133" t="str">
        <f>_xlfn.LET(
  _xlpm.result, _xlfn.XLOOKUP($B133, Result_Database!$A$2:$A$500, Result_Database!AI$2:AI$500),
  _xlfn.IFNA(_xlpm.result, "")
)</f>
        <v/>
      </c>
      <c r="AK133" t="str">
        <f>_xlfn.LET(
  _xlpm.result, _xlfn.XLOOKUP($B133, Result_Database!$A$2:$A$500, Result_Database!AJ$2:AJ$500),
  _xlfn.IFNA(_xlpm.result, "")
)</f>
        <v/>
      </c>
      <c r="AL133" t="str">
        <f>_xlfn.LET(
  _xlpm.result, _xlfn.XLOOKUP($B133, Result_Database!$A$2:$A$500, Result_Database!AK$2:AK$500),
  _xlfn.IFNA(_xlpm.result, "")
)</f>
        <v/>
      </c>
      <c r="AM13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3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3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3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3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3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3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3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3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33" t="str">
        <f>IF(SUM(Table5[[#This Row],[A1]:[C6]])&lt;&gt;0,SUM(Table5[[#This Row],[A1]:[C6]]),"")</f>
        <v/>
      </c>
      <c r="AW133" t="str">
        <f>IF(SUM(Table5[[#This Row],[D7]:[F9]])=0,"",SUM(Table5[[#This Row],[D7]:[F9]]))</f>
        <v/>
      </c>
      <c r="AX13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3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3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3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3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3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33" t="str">
        <f>IF(COUNTIF(Table5[[#This Row],[English Language]:[Electrical/ Electronics]],"WITHHELD")=0,"",COUNTIF(Table5[[#This Row],[English Language]:[Electrical/ Electronics]],"WITHHELD"))</f>
        <v/>
      </c>
      <c r="BE133" t="str">
        <f>IF(SUM(Table5[[#This Row],[NO OF CREDITS]:[BELOW CREDITS]])=0,"",SUM(Table5[[#This Row],[NO OF CREDITS]:[BELOW CREDITS]]))</f>
        <v/>
      </c>
    </row>
    <row r="134" spans="1:57" x14ac:dyDescent="0.3">
      <c r="A134" t="str">
        <f>IF(B134&lt;&gt;"",COUNTA($B$6:B134),"")</f>
        <v/>
      </c>
      <c r="B134" t="str">
        <f>IF(Result_Database!A130="","",Result_Database!A130)</f>
        <v/>
      </c>
      <c r="C134" t="str">
        <f>_xlfn.LET(
_xlpm.result,_xlfn.XLOOKUP($B134,Result_Database!$A$2:$A$500,Result_Database!$B$2:$B$500),
_xlfn.IFNA(_xlpm.result,"")
)</f>
        <v/>
      </c>
      <c r="D134" t="str">
        <f>_xlfn.LET(
  _xlpm.result, _xlfn.XLOOKUP($B134, Result_Database!$A$2:$A$500, Result_Database!C$2:C$500),
  _xlfn.IFNA(_xlpm.result, "")
)</f>
        <v/>
      </c>
      <c r="E134" t="str">
        <f>_xlfn.LET(
  _xlpm.result, _xlfn.XLOOKUP($B134, Result_Database!$A$2:$A$500, Result_Database!D$2:D$500),
  _xlfn.IFNA(_xlpm.result, "")
)</f>
        <v/>
      </c>
      <c r="F134" t="str">
        <f>_xlfn.LET(
  _xlpm.result, _xlfn.XLOOKUP($B134, Result_Database!$A$2:$A$500, Result_Database!E$2:E$500),
  _xlfn.IFNA(_xlpm.result, "")
)</f>
        <v/>
      </c>
      <c r="G134" t="str">
        <f>_xlfn.LET(
  _xlpm.result, _xlfn.XLOOKUP($B134, Result_Database!$A$2:$A$500, Result_Database!F$2:F$500),
  _xlfn.IFNA(_xlpm.result, "")
)</f>
        <v/>
      </c>
      <c r="H134" t="str">
        <f>_xlfn.LET(
  _xlpm.result, _xlfn.XLOOKUP($B134, Result_Database!$A$2:$A$500, Result_Database!G$2:G$500),
  _xlfn.IFNA(_xlpm.result, "")
)</f>
        <v/>
      </c>
      <c r="I134" t="str">
        <f>_xlfn.LET(
  _xlpm.result, _xlfn.XLOOKUP($B134, Result_Database!$A$2:$A$500, Result_Database!H$2:H$500),
  _xlfn.IFNA(_xlpm.result, "")
)</f>
        <v/>
      </c>
      <c r="J134" t="str">
        <f>_xlfn.LET(
  _xlpm.result, _xlfn.XLOOKUP($B134, Result_Database!$A$2:$A$500, Result_Database!I$2:I$500),
  _xlfn.IFNA(_xlpm.result, "")
)</f>
        <v/>
      </c>
      <c r="K134" t="str">
        <f>_xlfn.LET(
  _xlpm.result, _xlfn.XLOOKUP($B134, Result_Database!$A$2:$A$500, Result_Database!J$2:J$500),
  _xlfn.IFNA(_xlpm.result, "")
)</f>
        <v/>
      </c>
      <c r="L134" t="str">
        <f>_xlfn.LET(
  _xlpm.result, _xlfn.XLOOKUP($B134, Result_Database!$A$2:$A$500, Result_Database!K$2:K$500),
  _xlfn.IFNA(_xlpm.result, "")
)</f>
        <v/>
      </c>
      <c r="M134" t="str">
        <f>_xlfn.LET(
  _xlpm.result, _xlfn.XLOOKUP($B134, Result_Database!$A$2:$A$500, Result_Database!L$2:L$500),
  _xlfn.IFNA(_xlpm.result, "")
)</f>
        <v/>
      </c>
      <c r="N134" t="str">
        <f>_xlfn.LET(
  _xlpm.result, _xlfn.XLOOKUP($B134, Result_Database!$A$2:$A$500, Result_Database!M$2:M$500),
  _xlfn.IFNA(_xlpm.result, "")
)</f>
        <v/>
      </c>
      <c r="O134" t="str">
        <f>_xlfn.LET(
  _xlpm.result, _xlfn.XLOOKUP($B134, Result_Database!$A$2:$A$500, Result_Database!N$2:N$500),
  _xlfn.IFNA(_xlpm.result, "")
)</f>
        <v/>
      </c>
      <c r="P134" t="str">
        <f>_xlfn.LET(
  _xlpm.result, _xlfn.XLOOKUP($B134, Result_Database!$A$2:$A$500, Result_Database!O$2:O$500),
  _xlfn.IFNA(_xlpm.result, "")
)</f>
        <v/>
      </c>
      <c r="Q134" t="str">
        <f>_xlfn.LET(
  _xlpm.result, _xlfn.XLOOKUP($B134, Result_Database!$A$2:$A$500, Result_Database!P$2:P$500),
  _xlfn.IFNA(_xlpm.result, "")
)</f>
        <v/>
      </c>
      <c r="R134" t="str">
        <f>_xlfn.LET(
  _xlpm.result, _xlfn.XLOOKUP($B134, Result_Database!$A$2:$A$500, Result_Database!Q$2:Q$500),
  _xlfn.IFNA(_xlpm.result, "")
)</f>
        <v/>
      </c>
      <c r="S134" t="str">
        <f>_xlfn.LET(
  _xlpm.result, _xlfn.XLOOKUP($B134, Result_Database!$A$2:$A$500, Result_Database!R$2:R$500),
  _xlfn.IFNA(_xlpm.result, "")
)</f>
        <v/>
      </c>
      <c r="T134" t="str">
        <f>_xlfn.LET(
  _xlpm.result, _xlfn.XLOOKUP($B134, Result_Database!$A$2:$A$500, Result_Database!S$2:S$500),
  _xlfn.IFNA(_xlpm.result, "")
)</f>
        <v/>
      </c>
      <c r="U134" t="str">
        <f>_xlfn.LET(
  _xlpm.result, _xlfn.XLOOKUP($B134, Result_Database!$A$2:$A$500, Result_Database!T$2:T$500),
  _xlfn.IFNA(_xlpm.result, "")
)</f>
        <v/>
      </c>
      <c r="V134" t="str">
        <f>_xlfn.LET(
  _xlpm.result, _xlfn.XLOOKUP($B134, Result_Database!$A$2:$A$500, Result_Database!U$2:U$500),
  _xlfn.IFNA(_xlpm.result, "")
)</f>
        <v/>
      </c>
      <c r="W134" t="str">
        <f>_xlfn.LET(
  _xlpm.result, _xlfn.XLOOKUP($B134, Result_Database!$A$2:$A$500, Result_Database!V$2:V$500),
  _xlfn.IFNA(_xlpm.result, "")
)</f>
        <v/>
      </c>
      <c r="X134" t="str">
        <f>_xlfn.LET(
  _xlpm.result, _xlfn.XLOOKUP($B134, Result_Database!$A$2:$A$500, Result_Database!W$2:W$500),
  _xlfn.IFNA(_xlpm.result, "")
)</f>
        <v/>
      </c>
      <c r="Y134" t="str">
        <f>_xlfn.LET(
  _xlpm.result, _xlfn.XLOOKUP($B134, Result_Database!$A$2:$A$500, Result_Database!X$2:X$500),
  _xlfn.IFNA(_xlpm.result, "")
)</f>
        <v/>
      </c>
      <c r="Z134" t="str">
        <f>_xlfn.LET(
  _xlpm.result, _xlfn.XLOOKUP($B134, Result_Database!$A$2:$A$500, Result_Database!Y$2:Y$500),
  _xlfn.IFNA(_xlpm.result, "")
)</f>
        <v/>
      </c>
      <c r="AA134" t="str">
        <f>_xlfn.LET(
  _xlpm.result, _xlfn.XLOOKUP($B134, Result_Database!$A$2:$A$500, Result_Database!Z$2:Z$500),
  _xlfn.IFNA(_xlpm.result, "")
)</f>
        <v/>
      </c>
      <c r="AB134" t="str">
        <f>_xlfn.LET(
  _xlpm.result, _xlfn.XLOOKUP($B134, Result_Database!$A$2:$A$500, Result_Database!AA$2:AA$500),
  _xlfn.IFNA(_xlpm.result, "")
)</f>
        <v/>
      </c>
      <c r="AC134" t="str">
        <f>_xlfn.LET(
  _xlpm.result, _xlfn.XLOOKUP($B134, Result_Database!$A$2:$A$500, Result_Database!AB$2:AB$500),
  _xlfn.IFNA(_xlpm.result, "")
)</f>
        <v/>
      </c>
      <c r="AD134" t="str">
        <f>_xlfn.LET(
  _xlpm.result, _xlfn.XLOOKUP($B134, Result_Database!$A$2:$A$500, Result_Database!AC$2:AC$500),
  _xlfn.IFNA(_xlpm.result, "")
)</f>
        <v/>
      </c>
      <c r="AE134" t="str">
        <f>_xlfn.LET(
  _xlpm.result, _xlfn.XLOOKUP($B134, Result_Database!$A$2:$A$500, Result_Database!AD$2:AD$500),
  _xlfn.IFNA(_xlpm.result, "")
)</f>
        <v/>
      </c>
      <c r="AF134" t="str">
        <f>_xlfn.LET(
  _xlpm.result, _xlfn.XLOOKUP($B134, Result_Database!$A$2:$A$500, Result_Database!AE$2:AE$500),
  _xlfn.IFNA(_xlpm.result, "")
)</f>
        <v/>
      </c>
      <c r="AG134" t="str">
        <f>_xlfn.LET(
  _xlpm.result, _xlfn.XLOOKUP($B134, Result_Database!$A$2:$A$500, Result_Database!AF$2:AF$500),
  _xlfn.IFNA(_xlpm.result, "")
)</f>
        <v/>
      </c>
      <c r="AH134" t="str">
        <f>_xlfn.LET(
  _xlpm.result, _xlfn.XLOOKUP($B134, Result_Database!$A$2:$A$500, Result_Database!AG$2:AG$500),
  _xlfn.IFNA(_xlpm.result, "")
)</f>
        <v/>
      </c>
      <c r="AI134" t="str">
        <f>_xlfn.LET(
  _xlpm.result, _xlfn.XLOOKUP($B134, Result_Database!$A$2:$A$500, Result_Database!AH$2:AH$500),
  _xlfn.IFNA(_xlpm.result, "")
)</f>
        <v/>
      </c>
      <c r="AJ134" t="str">
        <f>_xlfn.LET(
  _xlpm.result, _xlfn.XLOOKUP($B134, Result_Database!$A$2:$A$500, Result_Database!AI$2:AI$500),
  _xlfn.IFNA(_xlpm.result, "")
)</f>
        <v/>
      </c>
      <c r="AK134" t="str">
        <f>_xlfn.LET(
  _xlpm.result, _xlfn.XLOOKUP($B134, Result_Database!$A$2:$A$500, Result_Database!AJ$2:AJ$500),
  _xlfn.IFNA(_xlpm.result, "")
)</f>
        <v/>
      </c>
      <c r="AL134" t="str">
        <f>_xlfn.LET(
  _xlpm.result, _xlfn.XLOOKUP($B134, Result_Database!$A$2:$A$500, Result_Database!AK$2:AK$500),
  _xlfn.IFNA(_xlpm.result, "")
)</f>
        <v/>
      </c>
      <c r="AM13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3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3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3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3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3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3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3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3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34" t="str">
        <f>IF(SUM(Table5[[#This Row],[A1]:[C6]])&lt;&gt;0,SUM(Table5[[#This Row],[A1]:[C6]]),"")</f>
        <v/>
      </c>
      <c r="AW134" t="str">
        <f>IF(SUM(Table5[[#This Row],[D7]:[F9]])=0,"",SUM(Table5[[#This Row],[D7]:[F9]]))</f>
        <v/>
      </c>
      <c r="AX13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3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3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3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3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3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34" t="str">
        <f>IF(COUNTIF(Table5[[#This Row],[English Language]:[Electrical/ Electronics]],"WITHHELD")=0,"",COUNTIF(Table5[[#This Row],[English Language]:[Electrical/ Electronics]],"WITHHELD"))</f>
        <v/>
      </c>
      <c r="BE134" t="str">
        <f>IF(SUM(Table5[[#This Row],[NO OF CREDITS]:[BELOW CREDITS]])=0,"",SUM(Table5[[#This Row],[NO OF CREDITS]:[BELOW CREDITS]]))</f>
        <v/>
      </c>
    </row>
    <row r="135" spans="1:57" x14ac:dyDescent="0.3">
      <c r="A135" t="str">
        <f>IF(B135&lt;&gt;"",COUNTA($B$6:B135),"")</f>
        <v/>
      </c>
      <c r="B135" t="str">
        <f>IF(Result_Database!A131="","",Result_Database!A131)</f>
        <v/>
      </c>
      <c r="C135" t="str">
        <f>_xlfn.LET(
_xlpm.result,_xlfn.XLOOKUP($B135,Result_Database!$A$2:$A$500,Result_Database!$B$2:$B$500),
_xlfn.IFNA(_xlpm.result,"")
)</f>
        <v/>
      </c>
      <c r="D135" t="str">
        <f>_xlfn.LET(
  _xlpm.result, _xlfn.XLOOKUP($B135, Result_Database!$A$2:$A$500, Result_Database!C$2:C$500),
  _xlfn.IFNA(_xlpm.result, "")
)</f>
        <v/>
      </c>
      <c r="E135" t="str">
        <f>_xlfn.LET(
  _xlpm.result, _xlfn.XLOOKUP($B135, Result_Database!$A$2:$A$500, Result_Database!D$2:D$500),
  _xlfn.IFNA(_xlpm.result, "")
)</f>
        <v/>
      </c>
      <c r="F135" t="str">
        <f>_xlfn.LET(
  _xlpm.result, _xlfn.XLOOKUP($B135, Result_Database!$A$2:$A$500, Result_Database!E$2:E$500),
  _xlfn.IFNA(_xlpm.result, "")
)</f>
        <v/>
      </c>
      <c r="G135" t="str">
        <f>_xlfn.LET(
  _xlpm.result, _xlfn.XLOOKUP($B135, Result_Database!$A$2:$A$500, Result_Database!F$2:F$500),
  _xlfn.IFNA(_xlpm.result, "")
)</f>
        <v/>
      </c>
      <c r="H135" t="str">
        <f>_xlfn.LET(
  _xlpm.result, _xlfn.XLOOKUP($B135, Result_Database!$A$2:$A$500, Result_Database!G$2:G$500),
  _xlfn.IFNA(_xlpm.result, "")
)</f>
        <v/>
      </c>
      <c r="I135" t="str">
        <f>_xlfn.LET(
  _xlpm.result, _xlfn.XLOOKUP($B135, Result_Database!$A$2:$A$500, Result_Database!H$2:H$500),
  _xlfn.IFNA(_xlpm.result, "")
)</f>
        <v/>
      </c>
      <c r="J135" t="str">
        <f>_xlfn.LET(
  _xlpm.result, _xlfn.XLOOKUP($B135, Result_Database!$A$2:$A$500, Result_Database!I$2:I$500),
  _xlfn.IFNA(_xlpm.result, "")
)</f>
        <v/>
      </c>
      <c r="K135" t="str">
        <f>_xlfn.LET(
  _xlpm.result, _xlfn.XLOOKUP($B135, Result_Database!$A$2:$A$500, Result_Database!J$2:J$500),
  _xlfn.IFNA(_xlpm.result, "")
)</f>
        <v/>
      </c>
      <c r="L135" t="str">
        <f>_xlfn.LET(
  _xlpm.result, _xlfn.XLOOKUP($B135, Result_Database!$A$2:$A$500, Result_Database!K$2:K$500),
  _xlfn.IFNA(_xlpm.result, "")
)</f>
        <v/>
      </c>
      <c r="M135" t="str">
        <f>_xlfn.LET(
  _xlpm.result, _xlfn.XLOOKUP($B135, Result_Database!$A$2:$A$500, Result_Database!L$2:L$500),
  _xlfn.IFNA(_xlpm.result, "")
)</f>
        <v/>
      </c>
      <c r="N135" t="str">
        <f>_xlfn.LET(
  _xlpm.result, _xlfn.XLOOKUP($B135, Result_Database!$A$2:$A$500, Result_Database!M$2:M$500),
  _xlfn.IFNA(_xlpm.result, "")
)</f>
        <v/>
      </c>
      <c r="O135" t="str">
        <f>_xlfn.LET(
  _xlpm.result, _xlfn.XLOOKUP($B135, Result_Database!$A$2:$A$500, Result_Database!N$2:N$500),
  _xlfn.IFNA(_xlpm.result, "")
)</f>
        <v/>
      </c>
      <c r="P135" t="str">
        <f>_xlfn.LET(
  _xlpm.result, _xlfn.XLOOKUP($B135, Result_Database!$A$2:$A$500, Result_Database!O$2:O$500),
  _xlfn.IFNA(_xlpm.result, "")
)</f>
        <v/>
      </c>
      <c r="Q135" t="str">
        <f>_xlfn.LET(
  _xlpm.result, _xlfn.XLOOKUP($B135, Result_Database!$A$2:$A$500, Result_Database!P$2:P$500),
  _xlfn.IFNA(_xlpm.result, "")
)</f>
        <v/>
      </c>
      <c r="R135" t="str">
        <f>_xlfn.LET(
  _xlpm.result, _xlfn.XLOOKUP($B135, Result_Database!$A$2:$A$500, Result_Database!Q$2:Q$500),
  _xlfn.IFNA(_xlpm.result, "")
)</f>
        <v/>
      </c>
      <c r="S135" t="str">
        <f>_xlfn.LET(
  _xlpm.result, _xlfn.XLOOKUP($B135, Result_Database!$A$2:$A$500, Result_Database!R$2:R$500),
  _xlfn.IFNA(_xlpm.result, "")
)</f>
        <v/>
      </c>
      <c r="T135" t="str">
        <f>_xlfn.LET(
  _xlpm.result, _xlfn.XLOOKUP($B135, Result_Database!$A$2:$A$500, Result_Database!S$2:S$500),
  _xlfn.IFNA(_xlpm.result, "")
)</f>
        <v/>
      </c>
      <c r="U135" t="str">
        <f>_xlfn.LET(
  _xlpm.result, _xlfn.XLOOKUP($B135, Result_Database!$A$2:$A$500, Result_Database!T$2:T$500),
  _xlfn.IFNA(_xlpm.result, "")
)</f>
        <v/>
      </c>
      <c r="V135" t="str">
        <f>_xlfn.LET(
  _xlpm.result, _xlfn.XLOOKUP($B135, Result_Database!$A$2:$A$500, Result_Database!U$2:U$500),
  _xlfn.IFNA(_xlpm.result, "")
)</f>
        <v/>
      </c>
      <c r="W135" t="str">
        <f>_xlfn.LET(
  _xlpm.result, _xlfn.XLOOKUP($B135, Result_Database!$A$2:$A$500, Result_Database!V$2:V$500),
  _xlfn.IFNA(_xlpm.result, "")
)</f>
        <v/>
      </c>
      <c r="X135" t="str">
        <f>_xlfn.LET(
  _xlpm.result, _xlfn.XLOOKUP($B135, Result_Database!$A$2:$A$500, Result_Database!W$2:W$500),
  _xlfn.IFNA(_xlpm.result, "")
)</f>
        <v/>
      </c>
      <c r="Y135" t="str">
        <f>_xlfn.LET(
  _xlpm.result, _xlfn.XLOOKUP($B135, Result_Database!$A$2:$A$500, Result_Database!X$2:X$500),
  _xlfn.IFNA(_xlpm.result, "")
)</f>
        <v/>
      </c>
      <c r="Z135" t="str">
        <f>_xlfn.LET(
  _xlpm.result, _xlfn.XLOOKUP($B135, Result_Database!$A$2:$A$500, Result_Database!Y$2:Y$500),
  _xlfn.IFNA(_xlpm.result, "")
)</f>
        <v/>
      </c>
      <c r="AA135" t="str">
        <f>_xlfn.LET(
  _xlpm.result, _xlfn.XLOOKUP($B135, Result_Database!$A$2:$A$500, Result_Database!Z$2:Z$500),
  _xlfn.IFNA(_xlpm.result, "")
)</f>
        <v/>
      </c>
      <c r="AB135" t="str">
        <f>_xlfn.LET(
  _xlpm.result, _xlfn.XLOOKUP($B135, Result_Database!$A$2:$A$500, Result_Database!AA$2:AA$500),
  _xlfn.IFNA(_xlpm.result, "")
)</f>
        <v/>
      </c>
      <c r="AC135" t="str">
        <f>_xlfn.LET(
  _xlpm.result, _xlfn.XLOOKUP($B135, Result_Database!$A$2:$A$500, Result_Database!AB$2:AB$500),
  _xlfn.IFNA(_xlpm.result, "")
)</f>
        <v/>
      </c>
      <c r="AD135" t="str">
        <f>_xlfn.LET(
  _xlpm.result, _xlfn.XLOOKUP($B135, Result_Database!$A$2:$A$500, Result_Database!AC$2:AC$500),
  _xlfn.IFNA(_xlpm.result, "")
)</f>
        <v/>
      </c>
      <c r="AE135" t="str">
        <f>_xlfn.LET(
  _xlpm.result, _xlfn.XLOOKUP($B135, Result_Database!$A$2:$A$500, Result_Database!AD$2:AD$500),
  _xlfn.IFNA(_xlpm.result, "")
)</f>
        <v/>
      </c>
      <c r="AF135" t="str">
        <f>_xlfn.LET(
  _xlpm.result, _xlfn.XLOOKUP($B135, Result_Database!$A$2:$A$500, Result_Database!AE$2:AE$500),
  _xlfn.IFNA(_xlpm.result, "")
)</f>
        <v/>
      </c>
      <c r="AG135" t="str">
        <f>_xlfn.LET(
  _xlpm.result, _xlfn.XLOOKUP($B135, Result_Database!$A$2:$A$500, Result_Database!AF$2:AF$500),
  _xlfn.IFNA(_xlpm.result, "")
)</f>
        <v/>
      </c>
      <c r="AH135" t="str">
        <f>_xlfn.LET(
  _xlpm.result, _xlfn.XLOOKUP($B135, Result_Database!$A$2:$A$500, Result_Database!AG$2:AG$500),
  _xlfn.IFNA(_xlpm.result, "")
)</f>
        <v/>
      </c>
      <c r="AI135" t="str">
        <f>_xlfn.LET(
  _xlpm.result, _xlfn.XLOOKUP($B135, Result_Database!$A$2:$A$500, Result_Database!AH$2:AH$500),
  _xlfn.IFNA(_xlpm.result, "")
)</f>
        <v/>
      </c>
      <c r="AJ135" t="str">
        <f>_xlfn.LET(
  _xlpm.result, _xlfn.XLOOKUP($B135, Result_Database!$A$2:$A$500, Result_Database!AI$2:AI$500),
  _xlfn.IFNA(_xlpm.result, "")
)</f>
        <v/>
      </c>
      <c r="AK135" t="str">
        <f>_xlfn.LET(
  _xlpm.result, _xlfn.XLOOKUP($B135, Result_Database!$A$2:$A$500, Result_Database!AJ$2:AJ$500),
  _xlfn.IFNA(_xlpm.result, "")
)</f>
        <v/>
      </c>
      <c r="AL135" t="str">
        <f>_xlfn.LET(
  _xlpm.result, _xlfn.XLOOKUP($B135, Result_Database!$A$2:$A$500, Result_Database!AK$2:AK$500),
  _xlfn.IFNA(_xlpm.result, "")
)</f>
        <v/>
      </c>
      <c r="AM13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3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3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3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3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3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3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3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3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35" t="str">
        <f>IF(SUM(Table5[[#This Row],[A1]:[C6]])&lt;&gt;0,SUM(Table5[[#This Row],[A1]:[C6]]),"")</f>
        <v/>
      </c>
      <c r="AW135" t="str">
        <f>IF(SUM(Table5[[#This Row],[D7]:[F9]])=0,"",SUM(Table5[[#This Row],[D7]:[F9]]))</f>
        <v/>
      </c>
      <c r="AX13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3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3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3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3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3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35" t="str">
        <f>IF(COUNTIF(Table5[[#This Row],[English Language]:[Electrical/ Electronics]],"WITHHELD")=0,"",COUNTIF(Table5[[#This Row],[English Language]:[Electrical/ Electronics]],"WITHHELD"))</f>
        <v/>
      </c>
      <c r="BE135" t="str">
        <f>IF(SUM(Table5[[#This Row],[NO OF CREDITS]:[BELOW CREDITS]])=0,"",SUM(Table5[[#This Row],[NO OF CREDITS]:[BELOW CREDITS]]))</f>
        <v/>
      </c>
    </row>
    <row r="136" spans="1:57" x14ac:dyDescent="0.3">
      <c r="A136" t="str">
        <f>IF(B136&lt;&gt;"",COUNTA($B$6:B136),"")</f>
        <v/>
      </c>
      <c r="B136" t="str">
        <f>IF(Result_Database!A132="","",Result_Database!A132)</f>
        <v/>
      </c>
      <c r="C136" t="str">
        <f>_xlfn.LET(
_xlpm.result,_xlfn.XLOOKUP($B136,Result_Database!$A$2:$A$500,Result_Database!$B$2:$B$500),
_xlfn.IFNA(_xlpm.result,"")
)</f>
        <v/>
      </c>
      <c r="D136" t="str">
        <f>_xlfn.LET(
  _xlpm.result, _xlfn.XLOOKUP($B136, Result_Database!$A$2:$A$500, Result_Database!C$2:C$500),
  _xlfn.IFNA(_xlpm.result, "")
)</f>
        <v/>
      </c>
      <c r="E136" t="str">
        <f>_xlfn.LET(
  _xlpm.result, _xlfn.XLOOKUP($B136, Result_Database!$A$2:$A$500, Result_Database!D$2:D$500),
  _xlfn.IFNA(_xlpm.result, "")
)</f>
        <v/>
      </c>
      <c r="F136" t="str">
        <f>_xlfn.LET(
  _xlpm.result, _xlfn.XLOOKUP($B136, Result_Database!$A$2:$A$500, Result_Database!E$2:E$500),
  _xlfn.IFNA(_xlpm.result, "")
)</f>
        <v/>
      </c>
      <c r="G136" t="str">
        <f>_xlfn.LET(
  _xlpm.result, _xlfn.XLOOKUP($B136, Result_Database!$A$2:$A$500, Result_Database!F$2:F$500),
  _xlfn.IFNA(_xlpm.result, "")
)</f>
        <v/>
      </c>
      <c r="H136" t="str">
        <f>_xlfn.LET(
  _xlpm.result, _xlfn.XLOOKUP($B136, Result_Database!$A$2:$A$500, Result_Database!G$2:G$500),
  _xlfn.IFNA(_xlpm.result, "")
)</f>
        <v/>
      </c>
      <c r="I136" t="str">
        <f>_xlfn.LET(
  _xlpm.result, _xlfn.XLOOKUP($B136, Result_Database!$A$2:$A$500, Result_Database!H$2:H$500),
  _xlfn.IFNA(_xlpm.result, "")
)</f>
        <v/>
      </c>
      <c r="J136" t="str">
        <f>_xlfn.LET(
  _xlpm.result, _xlfn.XLOOKUP($B136, Result_Database!$A$2:$A$500, Result_Database!I$2:I$500),
  _xlfn.IFNA(_xlpm.result, "")
)</f>
        <v/>
      </c>
      <c r="K136" t="str">
        <f>_xlfn.LET(
  _xlpm.result, _xlfn.XLOOKUP($B136, Result_Database!$A$2:$A$500, Result_Database!J$2:J$500),
  _xlfn.IFNA(_xlpm.result, "")
)</f>
        <v/>
      </c>
      <c r="L136" t="str">
        <f>_xlfn.LET(
  _xlpm.result, _xlfn.XLOOKUP($B136, Result_Database!$A$2:$A$500, Result_Database!K$2:K$500),
  _xlfn.IFNA(_xlpm.result, "")
)</f>
        <v/>
      </c>
      <c r="M136" t="str">
        <f>_xlfn.LET(
  _xlpm.result, _xlfn.XLOOKUP($B136, Result_Database!$A$2:$A$500, Result_Database!L$2:L$500),
  _xlfn.IFNA(_xlpm.result, "")
)</f>
        <v/>
      </c>
      <c r="N136" t="str">
        <f>_xlfn.LET(
  _xlpm.result, _xlfn.XLOOKUP($B136, Result_Database!$A$2:$A$500, Result_Database!M$2:M$500),
  _xlfn.IFNA(_xlpm.result, "")
)</f>
        <v/>
      </c>
      <c r="O136" t="str">
        <f>_xlfn.LET(
  _xlpm.result, _xlfn.XLOOKUP($B136, Result_Database!$A$2:$A$500, Result_Database!N$2:N$500),
  _xlfn.IFNA(_xlpm.result, "")
)</f>
        <v/>
      </c>
      <c r="P136" t="str">
        <f>_xlfn.LET(
  _xlpm.result, _xlfn.XLOOKUP($B136, Result_Database!$A$2:$A$500, Result_Database!O$2:O$500),
  _xlfn.IFNA(_xlpm.result, "")
)</f>
        <v/>
      </c>
      <c r="Q136" t="str">
        <f>_xlfn.LET(
  _xlpm.result, _xlfn.XLOOKUP($B136, Result_Database!$A$2:$A$500, Result_Database!P$2:P$500),
  _xlfn.IFNA(_xlpm.result, "")
)</f>
        <v/>
      </c>
      <c r="R136" t="str">
        <f>_xlfn.LET(
  _xlpm.result, _xlfn.XLOOKUP($B136, Result_Database!$A$2:$A$500, Result_Database!Q$2:Q$500),
  _xlfn.IFNA(_xlpm.result, "")
)</f>
        <v/>
      </c>
      <c r="S136" t="str">
        <f>_xlfn.LET(
  _xlpm.result, _xlfn.XLOOKUP($B136, Result_Database!$A$2:$A$500, Result_Database!R$2:R$500),
  _xlfn.IFNA(_xlpm.result, "")
)</f>
        <v/>
      </c>
      <c r="T136" t="str">
        <f>_xlfn.LET(
  _xlpm.result, _xlfn.XLOOKUP($B136, Result_Database!$A$2:$A$500, Result_Database!S$2:S$500),
  _xlfn.IFNA(_xlpm.result, "")
)</f>
        <v/>
      </c>
      <c r="U136" t="str">
        <f>_xlfn.LET(
  _xlpm.result, _xlfn.XLOOKUP($B136, Result_Database!$A$2:$A$500, Result_Database!T$2:T$500),
  _xlfn.IFNA(_xlpm.result, "")
)</f>
        <v/>
      </c>
      <c r="V136" t="str">
        <f>_xlfn.LET(
  _xlpm.result, _xlfn.XLOOKUP($B136, Result_Database!$A$2:$A$500, Result_Database!U$2:U$500),
  _xlfn.IFNA(_xlpm.result, "")
)</f>
        <v/>
      </c>
      <c r="W136" t="str">
        <f>_xlfn.LET(
  _xlpm.result, _xlfn.XLOOKUP($B136, Result_Database!$A$2:$A$500, Result_Database!V$2:V$500),
  _xlfn.IFNA(_xlpm.result, "")
)</f>
        <v/>
      </c>
      <c r="X136" t="str">
        <f>_xlfn.LET(
  _xlpm.result, _xlfn.XLOOKUP($B136, Result_Database!$A$2:$A$500, Result_Database!W$2:W$500),
  _xlfn.IFNA(_xlpm.result, "")
)</f>
        <v/>
      </c>
      <c r="Y136" t="str">
        <f>_xlfn.LET(
  _xlpm.result, _xlfn.XLOOKUP($B136, Result_Database!$A$2:$A$500, Result_Database!X$2:X$500),
  _xlfn.IFNA(_xlpm.result, "")
)</f>
        <v/>
      </c>
      <c r="Z136" t="str">
        <f>_xlfn.LET(
  _xlpm.result, _xlfn.XLOOKUP($B136, Result_Database!$A$2:$A$500, Result_Database!Y$2:Y$500),
  _xlfn.IFNA(_xlpm.result, "")
)</f>
        <v/>
      </c>
      <c r="AA136" t="str">
        <f>_xlfn.LET(
  _xlpm.result, _xlfn.XLOOKUP($B136, Result_Database!$A$2:$A$500, Result_Database!Z$2:Z$500),
  _xlfn.IFNA(_xlpm.result, "")
)</f>
        <v/>
      </c>
      <c r="AB136" t="str">
        <f>_xlfn.LET(
  _xlpm.result, _xlfn.XLOOKUP($B136, Result_Database!$A$2:$A$500, Result_Database!AA$2:AA$500),
  _xlfn.IFNA(_xlpm.result, "")
)</f>
        <v/>
      </c>
      <c r="AC136" t="str">
        <f>_xlfn.LET(
  _xlpm.result, _xlfn.XLOOKUP($B136, Result_Database!$A$2:$A$500, Result_Database!AB$2:AB$500),
  _xlfn.IFNA(_xlpm.result, "")
)</f>
        <v/>
      </c>
      <c r="AD136" t="str">
        <f>_xlfn.LET(
  _xlpm.result, _xlfn.XLOOKUP($B136, Result_Database!$A$2:$A$500, Result_Database!AC$2:AC$500),
  _xlfn.IFNA(_xlpm.result, "")
)</f>
        <v/>
      </c>
      <c r="AE136" t="str">
        <f>_xlfn.LET(
  _xlpm.result, _xlfn.XLOOKUP($B136, Result_Database!$A$2:$A$500, Result_Database!AD$2:AD$500),
  _xlfn.IFNA(_xlpm.result, "")
)</f>
        <v/>
      </c>
      <c r="AF136" t="str">
        <f>_xlfn.LET(
  _xlpm.result, _xlfn.XLOOKUP($B136, Result_Database!$A$2:$A$500, Result_Database!AE$2:AE$500),
  _xlfn.IFNA(_xlpm.result, "")
)</f>
        <v/>
      </c>
      <c r="AG136" t="str">
        <f>_xlfn.LET(
  _xlpm.result, _xlfn.XLOOKUP($B136, Result_Database!$A$2:$A$500, Result_Database!AF$2:AF$500),
  _xlfn.IFNA(_xlpm.result, "")
)</f>
        <v/>
      </c>
      <c r="AH136" t="str">
        <f>_xlfn.LET(
  _xlpm.result, _xlfn.XLOOKUP($B136, Result_Database!$A$2:$A$500, Result_Database!AG$2:AG$500),
  _xlfn.IFNA(_xlpm.result, "")
)</f>
        <v/>
      </c>
      <c r="AI136" t="str">
        <f>_xlfn.LET(
  _xlpm.result, _xlfn.XLOOKUP($B136, Result_Database!$A$2:$A$500, Result_Database!AH$2:AH$500),
  _xlfn.IFNA(_xlpm.result, "")
)</f>
        <v/>
      </c>
      <c r="AJ136" t="str">
        <f>_xlfn.LET(
  _xlpm.result, _xlfn.XLOOKUP($B136, Result_Database!$A$2:$A$500, Result_Database!AI$2:AI$500),
  _xlfn.IFNA(_xlpm.result, "")
)</f>
        <v/>
      </c>
      <c r="AK136" t="str">
        <f>_xlfn.LET(
  _xlpm.result, _xlfn.XLOOKUP($B136, Result_Database!$A$2:$A$500, Result_Database!AJ$2:AJ$500),
  _xlfn.IFNA(_xlpm.result, "")
)</f>
        <v/>
      </c>
      <c r="AL136" t="str">
        <f>_xlfn.LET(
  _xlpm.result, _xlfn.XLOOKUP($B136, Result_Database!$A$2:$A$500, Result_Database!AK$2:AK$500),
  _xlfn.IFNA(_xlpm.result, "")
)</f>
        <v/>
      </c>
      <c r="AM13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3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3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3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3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3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3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3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3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36" t="str">
        <f>IF(SUM(Table5[[#This Row],[A1]:[C6]])&lt;&gt;0,SUM(Table5[[#This Row],[A1]:[C6]]),"")</f>
        <v/>
      </c>
      <c r="AW136" t="str">
        <f>IF(SUM(Table5[[#This Row],[D7]:[F9]])=0,"",SUM(Table5[[#This Row],[D7]:[F9]]))</f>
        <v/>
      </c>
      <c r="AX13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3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3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3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3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3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36" t="str">
        <f>IF(COUNTIF(Table5[[#This Row],[English Language]:[Electrical/ Electronics]],"WITHHELD")=0,"",COUNTIF(Table5[[#This Row],[English Language]:[Electrical/ Electronics]],"WITHHELD"))</f>
        <v/>
      </c>
      <c r="BE136" t="str">
        <f>IF(SUM(Table5[[#This Row],[NO OF CREDITS]:[BELOW CREDITS]])=0,"",SUM(Table5[[#This Row],[NO OF CREDITS]:[BELOW CREDITS]]))</f>
        <v/>
      </c>
    </row>
    <row r="137" spans="1:57" x14ac:dyDescent="0.3">
      <c r="A137" t="str">
        <f>IF(B137&lt;&gt;"",COUNTA($B$6:B137),"")</f>
        <v/>
      </c>
      <c r="B137" t="str">
        <f>IF(Result_Database!A133="","",Result_Database!A133)</f>
        <v/>
      </c>
      <c r="C137" t="str">
        <f>_xlfn.LET(
_xlpm.result,_xlfn.XLOOKUP($B137,Result_Database!$A$2:$A$500,Result_Database!$B$2:$B$500),
_xlfn.IFNA(_xlpm.result,"")
)</f>
        <v/>
      </c>
      <c r="D137" t="str">
        <f>_xlfn.LET(
  _xlpm.result, _xlfn.XLOOKUP($B137, Result_Database!$A$2:$A$500, Result_Database!C$2:C$500),
  _xlfn.IFNA(_xlpm.result, "")
)</f>
        <v/>
      </c>
      <c r="E137" t="str">
        <f>_xlfn.LET(
  _xlpm.result, _xlfn.XLOOKUP($B137, Result_Database!$A$2:$A$500, Result_Database!D$2:D$500),
  _xlfn.IFNA(_xlpm.result, "")
)</f>
        <v/>
      </c>
      <c r="F137" t="str">
        <f>_xlfn.LET(
  _xlpm.result, _xlfn.XLOOKUP($B137, Result_Database!$A$2:$A$500, Result_Database!E$2:E$500),
  _xlfn.IFNA(_xlpm.result, "")
)</f>
        <v/>
      </c>
      <c r="G137" t="str">
        <f>_xlfn.LET(
  _xlpm.result, _xlfn.XLOOKUP($B137, Result_Database!$A$2:$A$500, Result_Database!F$2:F$500),
  _xlfn.IFNA(_xlpm.result, "")
)</f>
        <v/>
      </c>
      <c r="H137" t="str">
        <f>_xlfn.LET(
  _xlpm.result, _xlfn.XLOOKUP($B137, Result_Database!$A$2:$A$500, Result_Database!G$2:G$500),
  _xlfn.IFNA(_xlpm.result, "")
)</f>
        <v/>
      </c>
      <c r="I137" t="str">
        <f>_xlfn.LET(
  _xlpm.result, _xlfn.XLOOKUP($B137, Result_Database!$A$2:$A$500, Result_Database!H$2:H$500),
  _xlfn.IFNA(_xlpm.result, "")
)</f>
        <v/>
      </c>
      <c r="J137" t="str">
        <f>_xlfn.LET(
  _xlpm.result, _xlfn.XLOOKUP($B137, Result_Database!$A$2:$A$500, Result_Database!I$2:I$500),
  _xlfn.IFNA(_xlpm.result, "")
)</f>
        <v/>
      </c>
      <c r="K137" t="str">
        <f>_xlfn.LET(
  _xlpm.result, _xlfn.XLOOKUP($B137, Result_Database!$A$2:$A$500, Result_Database!J$2:J$500),
  _xlfn.IFNA(_xlpm.result, "")
)</f>
        <v/>
      </c>
      <c r="L137" t="str">
        <f>_xlfn.LET(
  _xlpm.result, _xlfn.XLOOKUP($B137, Result_Database!$A$2:$A$500, Result_Database!K$2:K$500),
  _xlfn.IFNA(_xlpm.result, "")
)</f>
        <v/>
      </c>
      <c r="M137" t="str">
        <f>_xlfn.LET(
  _xlpm.result, _xlfn.XLOOKUP($B137, Result_Database!$A$2:$A$500, Result_Database!L$2:L$500),
  _xlfn.IFNA(_xlpm.result, "")
)</f>
        <v/>
      </c>
      <c r="N137" t="str">
        <f>_xlfn.LET(
  _xlpm.result, _xlfn.XLOOKUP($B137, Result_Database!$A$2:$A$500, Result_Database!M$2:M$500),
  _xlfn.IFNA(_xlpm.result, "")
)</f>
        <v/>
      </c>
      <c r="O137" t="str">
        <f>_xlfn.LET(
  _xlpm.result, _xlfn.XLOOKUP($B137, Result_Database!$A$2:$A$500, Result_Database!N$2:N$500),
  _xlfn.IFNA(_xlpm.result, "")
)</f>
        <v/>
      </c>
      <c r="P137" t="str">
        <f>_xlfn.LET(
  _xlpm.result, _xlfn.XLOOKUP($B137, Result_Database!$A$2:$A$500, Result_Database!O$2:O$500),
  _xlfn.IFNA(_xlpm.result, "")
)</f>
        <v/>
      </c>
      <c r="Q137" t="str">
        <f>_xlfn.LET(
  _xlpm.result, _xlfn.XLOOKUP($B137, Result_Database!$A$2:$A$500, Result_Database!P$2:P$500),
  _xlfn.IFNA(_xlpm.result, "")
)</f>
        <v/>
      </c>
      <c r="R137" t="str">
        <f>_xlfn.LET(
  _xlpm.result, _xlfn.XLOOKUP($B137, Result_Database!$A$2:$A$500, Result_Database!Q$2:Q$500),
  _xlfn.IFNA(_xlpm.result, "")
)</f>
        <v/>
      </c>
      <c r="S137" t="str">
        <f>_xlfn.LET(
  _xlpm.result, _xlfn.XLOOKUP($B137, Result_Database!$A$2:$A$500, Result_Database!R$2:R$500),
  _xlfn.IFNA(_xlpm.result, "")
)</f>
        <v/>
      </c>
      <c r="T137" t="str">
        <f>_xlfn.LET(
  _xlpm.result, _xlfn.XLOOKUP($B137, Result_Database!$A$2:$A$500, Result_Database!S$2:S$500),
  _xlfn.IFNA(_xlpm.result, "")
)</f>
        <v/>
      </c>
      <c r="U137" t="str">
        <f>_xlfn.LET(
  _xlpm.result, _xlfn.XLOOKUP($B137, Result_Database!$A$2:$A$500, Result_Database!T$2:T$500),
  _xlfn.IFNA(_xlpm.result, "")
)</f>
        <v/>
      </c>
      <c r="V137" t="str">
        <f>_xlfn.LET(
  _xlpm.result, _xlfn.XLOOKUP($B137, Result_Database!$A$2:$A$500, Result_Database!U$2:U$500),
  _xlfn.IFNA(_xlpm.result, "")
)</f>
        <v/>
      </c>
      <c r="W137" t="str">
        <f>_xlfn.LET(
  _xlpm.result, _xlfn.XLOOKUP($B137, Result_Database!$A$2:$A$500, Result_Database!V$2:V$500),
  _xlfn.IFNA(_xlpm.result, "")
)</f>
        <v/>
      </c>
      <c r="X137" t="str">
        <f>_xlfn.LET(
  _xlpm.result, _xlfn.XLOOKUP($B137, Result_Database!$A$2:$A$500, Result_Database!W$2:W$500),
  _xlfn.IFNA(_xlpm.result, "")
)</f>
        <v/>
      </c>
      <c r="Y137" t="str">
        <f>_xlfn.LET(
  _xlpm.result, _xlfn.XLOOKUP($B137, Result_Database!$A$2:$A$500, Result_Database!X$2:X$500),
  _xlfn.IFNA(_xlpm.result, "")
)</f>
        <v/>
      </c>
      <c r="Z137" t="str">
        <f>_xlfn.LET(
  _xlpm.result, _xlfn.XLOOKUP($B137, Result_Database!$A$2:$A$500, Result_Database!Y$2:Y$500),
  _xlfn.IFNA(_xlpm.result, "")
)</f>
        <v/>
      </c>
      <c r="AA137" t="str">
        <f>_xlfn.LET(
  _xlpm.result, _xlfn.XLOOKUP($B137, Result_Database!$A$2:$A$500, Result_Database!Z$2:Z$500),
  _xlfn.IFNA(_xlpm.result, "")
)</f>
        <v/>
      </c>
      <c r="AB137" t="str">
        <f>_xlfn.LET(
  _xlpm.result, _xlfn.XLOOKUP($B137, Result_Database!$A$2:$A$500, Result_Database!AA$2:AA$500),
  _xlfn.IFNA(_xlpm.result, "")
)</f>
        <v/>
      </c>
      <c r="AC137" t="str">
        <f>_xlfn.LET(
  _xlpm.result, _xlfn.XLOOKUP($B137, Result_Database!$A$2:$A$500, Result_Database!AB$2:AB$500),
  _xlfn.IFNA(_xlpm.result, "")
)</f>
        <v/>
      </c>
      <c r="AD137" t="str">
        <f>_xlfn.LET(
  _xlpm.result, _xlfn.XLOOKUP($B137, Result_Database!$A$2:$A$500, Result_Database!AC$2:AC$500),
  _xlfn.IFNA(_xlpm.result, "")
)</f>
        <v/>
      </c>
      <c r="AE137" t="str">
        <f>_xlfn.LET(
  _xlpm.result, _xlfn.XLOOKUP($B137, Result_Database!$A$2:$A$500, Result_Database!AD$2:AD$500),
  _xlfn.IFNA(_xlpm.result, "")
)</f>
        <v/>
      </c>
      <c r="AF137" t="str">
        <f>_xlfn.LET(
  _xlpm.result, _xlfn.XLOOKUP($B137, Result_Database!$A$2:$A$500, Result_Database!AE$2:AE$500),
  _xlfn.IFNA(_xlpm.result, "")
)</f>
        <v/>
      </c>
      <c r="AG137" t="str">
        <f>_xlfn.LET(
  _xlpm.result, _xlfn.XLOOKUP($B137, Result_Database!$A$2:$A$500, Result_Database!AF$2:AF$500),
  _xlfn.IFNA(_xlpm.result, "")
)</f>
        <v/>
      </c>
      <c r="AH137" t="str">
        <f>_xlfn.LET(
  _xlpm.result, _xlfn.XLOOKUP($B137, Result_Database!$A$2:$A$500, Result_Database!AG$2:AG$500),
  _xlfn.IFNA(_xlpm.result, "")
)</f>
        <v/>
      </c>
      <c r="AI137" t="str">
        <f>_xlfn.LET(
  _xlpm.result, _xlfn.XLOOKUP($B137, Result_Database!$A$2:$A$500, Result_Database!AH$2:AH$500),
  _xlfn.IFNA(_xlpm.result, "")
)</f>
        <v/>
      </c>
      <c r="AJ137" t="str">
        <f>_xlfn.LET(
  _xlpm.result, _xlfn.XLOOKUP($B137, Result_Database!$A$2:$A$500, Result_Database!AI$2:AI$500),
  _xlfn.IFNA(_xlpm.result, "")
)</f>
        <v/>
      </c>
      <c r="AK137" t="str">
        <f>_xlfn.LET(
  _xlpm.result, _xlfn.XLOOKUP($B137, Result_Database!$A$2:$A$500, Result_Database!AJ$2:AJ$500),
  _xlfn.IFNA(_xlpm.result, "")
)</f>
        <v/>
      </c>
      <c r="AL137" t="str">
        <f>_xlfn.LET(
  _xlpm.result, _xlfn.XLOOKUP($B137, Result_Database!$A$2:$A$500, Result_Database!AK$2:AK$500),
  _xlfn.IFNA(_xlpm.result, "")
)</f>
        <v/>
      </c>
      <c r="AM13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3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3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3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3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3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3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3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3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37" t="str">
        <f>IF(SUM(Table5[[#This Row],[A1]:[C6]])&lt;&gt;0,SUM(Table5[[#This Row],[A1]:[C6]]),"")</f>
        <v/>
      </c>
      <c r="AW137" t="str">
        <f>IF(SUM(Table5[[#This Row],[D7]:[F9]])=0,"",SUM(Table5[[#This Row],[D7]:[F9]]))</f>
        <v/>
      </c>
      <c r="AX13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3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3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3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3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3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37" t="str">
        <f>IF(COUNTIF(Table5[[#This Row],[English Language]:[Electrical/ Electronics]],"WITHHELD")=0,"",COUNTIF(Table5[[#This Row],[English Language]:[Electrical/ Electronics]],"WITHHELD"))</f>
        <v/>
      </c>
      <c r="BE137" t="str">
        <f>IF(SUM(Table5[[#This Row],[NO OF CREDITS]:[BELOW CREDITS]])=0,"",SUM(Table5[[#This Row],[NO OF CREDITS]:[BELOW CREDITS]]))</f>
        <v/>
      </c>
    </row>
    <row r="138" spans="1:57" x14ac:dyDescent="0.3">
      <c r="A138" t="str">
        <f>IF(B138&lt;&gt;"",COUNTA($B$6:B138),"")</f>
        <v/>
      </c>
      <c r="B138" t="str">
        <f>IF(Result_Database!A134="","",Result_Database!A134)</f>
        <v/>
      </c>
      <c r="C138" t="str">
        <f>_xlfn.LET(
_xlpm.result,_xlfn.XLOOKUP($B138,Result_Database!$A$2:$A$500,Result_Database!$B$2:$B$500),
_xlfn.IFNA(_xlpm.result,"")
)</f>
        <v/>
      </c>
      <c r="D138" t="str">
        <f>_xlfn.LET(
  _xlpm.result, _xlfn.XLOOKUP($B138, Result_Database!$A$2:$A$500, Result_Database!C$2:C$500),
  _xlfn.IFNA(_xlpm.result, "")
)</f>
        <v/>
      </c>
      <c r="E138" t="str">
        <f>_xlfn.LET(
  _xlpm.result, _xlfn.XLOOKUP($B138, Result_Database!$A$2:$A$500, Result_Database!D$2:D$500),
  _xlfn.IFNA(_xlpm.result, "")
)</f>
        <v/>
      </c>
      <c r="F138" t="str">
        <f>_xlfn.LET(
  _xlpm.result, _xlfn.XLOOKUP($B138, Result_Database!$A$2:$A$500, Result_Database!E$2:E$500),
  _xlfn.IFNA(_xlpm.result, "")
)</f>
        <v/>
      </c>
      <c r="G138" t="str">
        <f>_xlfn.LET(
  _xlpm.result, _xlfn.XLOOKUP($B138, Result_Database!$A$2:$A$500, Result_Database!F$2:F$500),
  _xlfn.IFNA(_xlpm.result, "")
)</f>
        <v/>
      </c>
      <c r="H138" t="str">
        <f>_xlfn.LET(
  _xlpm.result, _xlfn.XLOOKUP($B138, Result_Database!$A$2:$A$500, Result_Database!G$2:G$500),
  _xlfn.IFNA(_xlpm.result, "")
)</f>
        <v/>
      </c>
      <c r="I138" t="str">
        <f>_xlfn.LET(
  _xlpm.result, _xlfn.XLOOKUP($B138, Result_Database!$A$2:$A$500, Result_Database!H$2:H$500),
  _xlfn.IFNA(_xlpm.result, "")
)</f>
        <v/>
      </c>
      <c r="J138" t="str">
        <f>_xlfn.LET(
  _xlpm.result, _xlfn.XLOOKUP($B138, Result_Database!$A$2:$A$500, Result_Database!I$2:I$500),
  _xlfn.IFNA(_xlpm.result, "")
)</f>
        <v/>
      </c>
      <c r="K138" t="str">
        <f>_xlfn.LET(
  _xlpm.result, _xlfn.XLOOKUP($B138, Result_Database!$A$2:$A$500, Result_Database!J$2:J$500),
  _xlfn.IFNA(_xlpm.result, "")
)</f>
        <v/>
      </c>
      <c r="L138" t="str">
        <f>_xlfn.LET(
  _xlpm.result, _xlfn.XLOOKUP($B138, Result_Database!$A$2:$A$500, Result_Database!K$2:K$500),
  _xlfn.IFNA(_xlpm.result, "")
)</f>
        <v/>
      </c>
      <c r="M138" t="str">
        <f>_xlfn.LET(
  _xlpm.result, _xlfn.XLOOKUP($B138, Result_Database!$A$2:$A$500, Result_Database!L$2:L$500),
  _xlfn.IFNA(_xlpm.result, "")
)</f>
        <v/>
      </c>
      <c r="N138" t="str">
        <f>_xlfn.LET(
  _xlpm.result, _xlfn.XLOOKUP($B138, Result_Database!$A$2:$A$500, Result_Database!M$2:M$500),
  _xlfn.IFNA(_xlpm.result, "")
)</f>
        <v/>
      </c>
      <c r="O138" t="str">
        <f>_xlfn.LET(
  _xlpm.result, _xlfn.XLOOKUP($B138, Result_Database!$A$2:$A$500, Result_Database!N$2:N$500),
  _xlfn.IFNA(_xlpm.result, "")
)</f>
        <v/>
      </c>
      <c r="P138" t="str">
        <f>_xlfn.LET(
  _xlpm.result, _xlfn.XLOOKUP($B138, Result_Database!$A$2:$A$500, Result_Database!O$2:O$500),
  _xlfn.IFNA(_xlpm.result, "")
)</f>
        <v/>
      </c>
      <c r="Q138" t="str">
        <f>_xlfn.LET(
  _xlpm.result, _xlfn.XLOOKUP($B138, Result_Database!$A$2:$A$500, Result_Database!P$2:P$500),
  _xlfn.IFNA(_xlpm.result, "")
)</f>
        <v/>
      </c>
      <c r="R138" t="str">
        <f>_xlfn.LET(
  _xlpm.result, _xlfn.XLOOKUP($B138, Result_Database!$A$2:$A$500, Result_Database!Q$2:Q$500),
  _xlfn.IFNA(_xlpm.result, "")
)</f>
        <v/>
      </c>
      <c r="S138" t="str">
        <f>_xlfn.LET(
  _xlpm.result, _xlfn.XLOOKUP($B138, Result_Database!$A$2:$A$500, Result_Database!R$2:R$500),
  _xlfn.IFNA(_xlpm.result, "")
)</f>
        <v/>
      </c>
      <c r="T138" t="str">
        <f>_xlfn.LET(
  _xlpm.result, _xlfn.XLOOKUP($B138, Result_Database!$A$2:$A$500, Result_Database!S$2:S$500),
  _xlfn.IFNA(_xlpm.result, "")
)</f>
        <v/>
      </c>
      <c r="U138" t="str">
        <f>_xlfn.LET(
  _xlpm.result, _xlfn.XLOOKUP($B138, Result_Database!$A$2:$A$500, Result_Database!T$2:T$500),
  _xlfn.IFNA(_xlpm.result, "")
)</f>
        <v/>
      </c>
      <c r="V138" t="str">
        <f>_xlfn.LET(
  _xlpm.result, _xlfn.XLOOKUP($B138, Result_Database!$A$2:$A$500, Result_Database!U$2:U$500),
  _xlfn.IFNA(_xlpm.result, "")
)</f>
        <v/>
      </c>
      <c r="W138" t="str">
        <f>_xlfn.LET(
  _xlpm.result, _xlfn.XLOOKUP($B138, Result_Database!$A$2:$A$500, Result_Database!V$2:V$500),
  _xlfn.IFNA(_xlpm.result, "")
)</f>
        <v/>
      </c>
      <c r="X138" t="str">
        <f>_xlfn.LET(
  _xlpm.result, _xlfn.XLOOKUP($B138, Result_Database!$A$2:$A$500, Result_Database!W$2:W$500),
  _xlfn.IFNA(_xlpm.result, "")
)</f>
        <v/>
      </c>
      <c r="Y138" t="str">
        <f>_xlfn.LET(
  _xlpm.result, _xlfn.XLOOKUP($B138, Result_Database!$A$2:$A$500, Result_Database!X$2:X$500),
  _xlfn.IFNA(_xlpm.result, "")
)</f>
        <v/>
      </c>
      <c r="Z138" t="str">
        <f>_xlfn.LET(
  _xlpm.result, _xlfn.XLOOKUP($B138, Result_Database!$A$2:$A$500, Result_Database!Y$2:Y$500),
  _xlfn.IFNA(_xlpm.result, "")
)</f>
        <v/>
      </c>
      <c r="AA138" t="str">
        <f>_xlfn.LET(
  _xlpm.result, _xlfn.XLOOKUP($B138, Result_Database!$A$2:$A$500, Result_Database!Z$2:Z$500),
  _xlfn.IFNA(_xlpm.result, "")
)</f>
        <v/>
      </c>
      <c r="AB138" t="str">
        <f>_xlfn.LET(
  _xlpm.result, _xlfn.XLOOKUP($B138, Result_Database!$A$2:$A$500, Result_Database!AA$2:AA$500),
  _xlfn.IFNA(_xlpm.result, "")
)</f>
        <v/>
      </c>
      <c r="AC138" t="str">
        <f>_xlfn.LET(
  _xlpm.result, _xlfn.XLOOKUP($B138, Result_Database!$A$2:$A$500, Result_Database!AB$2:AB$500),
  _xlfn.IFNA(_xlpm.result, "")
)</f>
        <v/>
      </c>
      <c r="AD138" t="str">
        <f>_xlfn.LET(
  _xlpm.result, _xlfn.XLOOKUP($B138, Result_Database!$A$2:$A$500, Result_Database!AC$2:AC$500),
  _xlfn.IFNA(_xlpm.result, "")
)</f>
        <v/>
      </c>
      <c r="AE138" t="str">
        <f>_xlfn.LET(
  _xlpm.result, _xlfn.XLOOKUP($B138, Result_Database!$A$2:$A$500, Result_Database!AD$2:AD$500),
  _xlfn.IFNA(_xlpm.result, "")
)</f>
        <v/>
      </c>
      <c r="AF138" t="str">
        <f>_xlfn.LET(
  _xlpm.result, _xlfn.XLOOKUP($B138, Result_Database!$A$2:$A$500, Result_Database!AE$2:AE$500),
  _xlfn.IFNA(_xlpm.result, "")
)</f>
        <v/>
      </c>
      <c r="AG138" t="str">
        <f>_xlfn.LET(
  _xlpm.result, _xlfn.XLOOKUP($B138, Result_Database!$A$2:$A$500, Result_Database!AF$2:AF$500),
  _xlfn.IFNA(_xlpm.result, "")
)</f>
        <v/>
      </c>
      <c r="AH138" t="str">
        <f>_xlfn.LET(
  _xlpm.result, _xlfn.XLOOKUP($B138, Result_Database!$A$2:$A$500, Result_Database!AG$2:AG$500),
  _xlfn.IFNA(_xlpm.result, "")
)</f>
        <v/>
      </c>
      <c r="AI138" t="str">
        <f>_xlfn.LET(
  _xlpm.result, _xlfn.XLOOKUP($B138, Result_Database!$A$2:$A$500, Result_Database!AH$2:AH$500),
  _xlfn.IFNA(_xlpm.result, "")
)</f>
        <v/>
      </c>
      <c r="AJ138" t="str">
        <f>_xlfn.LET(
  _xlpm.result, _xlfn.XLOOKUP($B138, Result_Database!$A$2:$A$500, Result_Database!AI$2:AI$500),
  _xlfn.IFNA(_xlpm.result, "")
)</f>
        <v/>
      </c>
      <c r="AK138" t="str">
        <f>_xlfn.LET(
  _xlpm.result, _xlfn.XLOOKUP($B138, Result_Database!$A$2:$A$500, Result_Database!AJ$2:AJ$500),
  _xlfn.IFNA(_xlpm.result, "")
)</f>
        <v/>
      </c>
      <c r="AL138" t="str">
        <f>_xlfn.LET(
  _xlpm.result, _xlfn.XLOOKUP($B138, Result_Database!$A$2:$A$500, Result_Database!AK$2:AK$500),
  _xlfn.IFNA(_xlpm.result, "")
)</f>
        <v/>
      </c>
      <c r="AM13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3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3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3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3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3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3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3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3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38" t="str">
        <f>IF(SUM(Table5[[#This Row],[A1]:[C6]])&lt;&gt;0,SUM(Table5[[#This Row],[A1]:[C6]]),"")</f>
        <v/>
      </c>
      <c r="AW138" t="str">
        <f>IF(SUM(Table5[[#This Row],[D7]:[F9]])=0,"",SUM(Table5[[#This Row],[D7]:[F9]]))</f>
        <v/>
      </c>
      <c r="AX13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3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3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3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3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3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38" t="str">
        <f>IF(COUNTIF(Table5[[#This Row],[English Language]:[Electrical/ Electronics]],"WITHHELD")=0,"",COUNTIF(Table5[[#This Row],[English Language]:[Electrical/ Electronics]],"WITHHELD"))</f>
        <v/>
      </c>
      <c r="BE138" t="str">
        <f>IF(SUM(Table5[[#This Row],[NO OF CREDITS]:[BELOW CREDITS]])=0,"",SUM(Table5[[#This Row],[NO OF CREDITS]:[BELOW CREDITS]]))</f>
        <v/>
      </c>
    </row>
    <row r="139" spans="1:57" x14ac:dyDescent="0.3">
      <c r="A139" t="str">
        <f>IF(B139&lt;&gt;"",COUNTA($B$6:B139),"")</f>
        <v/>
      </c>
      <c r="B139" t="str">
        <f>IF(Result_Database!A135="","",Result_Database!A135)</f>
        <v/>
      </c>
      <c r="C139" t="str">
        <f>_xlfn.LET(
_xlpm.result,_xlfn.XLOOKUP($B139,Result_Database!$A$2:$A$500,Result_Database!$B$2:$B$500),
_xlfn.IFNA(_xlpm.result,"")
)</f>
        <v/>
      </c>
      <c r="D139" t="str">
        <f>_xlfn.LET(
  _xlpm.result, _xlfn.XLOOKUP($B139, Result_Database!$A$2:$A$500, Result_Database!C$2:C$500),
  _xlfn.IFNA(_xlpm.result, "")
)</f>
        <v/>
      </c>
      <c r="E139" t="str">
        <f>_xlfn.LET(
  _xlpm.result, _xlfn.XLOOKUP($B139, Result_Database!$A$2:$A$500, Result_Database!D$2:D$500),
  _xlfn.IFNA(_xlpm.result, "")
)</f>
        <v/>
      </c>
      <c r="F139" t="str">
        <f>_xlfn.LET(
  _xlpm.result, _xlfn.XLOOKUP($B139, Result_Database!$A$2:$A$500, Result_Database!E$2:E$500),
  _xlfn.IFNA(_xlpm.result, "")
)</f>
        <v/>
      </c>
      <c r="G139" t="str">
        <f>_xlfn.LET(
  _xlpm.result, _xlfn.XLOOKUP($B139, Result_Database!$A$2:$A$500, Result_Database!F$2:F$500),
  _xlfn.IFNA(_xlpm.result, "")
)</f>
        <v/>
      </c>
      <c r="H139" t="str">
        <f>_xlfn.LET(
  _xlpm.result, _xlfn.XLOOKUP($B139, Result_Database!$A$2:$A$500, Result_Database!G$2:G$500),
  _xlfn.IFNA(_xlpm.result, "")
)</f>
        <v/>
      </c>
      <c r="I139" t="str">
        <f>_xlfn.LET(
  _xlpm.result, _xlfn.XLOOKUP($B139, Result_Database!$A$2:$A$500, Result_Database!H$2:H$500),
  _xlfn.IFNA(_xlpm.result, "")
)</f>
        <v/>
      </c>
      <c r="J139" t="str">
        <f>_xlfn.LET(
  _xlpm.result, _xlfn.XLOOKUP($B139, Result_Database!$A$2:$A$500, Result_Database!I$2:I$500),
  _xlfn.IFNA(_xlpm.result, "")
)</f>
        <v/>
      </c>
      <c r="K139" t="str">
        <f>_xlfn.LET(
  _xlpm.result, _xlfn.XLOOKUP($B139, Result_Database!$A$2:$A$500, Result_Database!J$2:J$500),
  _xlfn.IFNA(_xlpm.result, "")
)</f>
        <v/>
      </c>
      <c r="L139" t="str">
        <f>_xlfn.LET(
  _xlpm.result, _xlfn.XLOOKUP($B139, Result_Database!$A$2:$A$500, Result_Database!K$2:K$500),
  _xlfn.IFNA(_xlpm.result, "")
)</f>
        <v/>
      </c>
      <c r="M139" t="str">
        <f>_xlfn.LET(
  _xlpm.result, _xlfn.XLOOKUP($B139, Result_Database!$A$2:$A$500, Result_Database!L$2:L$500),
  _xlfn.IFNA(_xlpm.result, "")
)</f>
        <v/>
      </c>
      <c r="N139" t="str">
        <f>_xlfn.LET(
  _xlpm.result, _xlfn.XLOOKUP($B139, Result_Database!$A$2:$A$500, Result_Database!M$2:M$500),
  _xlfn.IFNA(_xlpm.result, "")
)</f>
        <v/>
      </c>
      <c r="O139" t="str">
        <f>_xlfn.LET(
  _xlpm.result, _xlfn.XLOOKUP($B139, Result_Database!$A$2:$A$500, Result_Database!N$2:N$500),
  _xlfn.IFNA(_xlpm.result, "")
)</f>
        <v/>
      </c>
      <c r="P139" t="str">
        <f>_xlfn.LET(
  _xlpm.result, _xlfn.XLOOKUP($B139, Result_Database!$A$2:$A$500, Result_Database!O$2:O$500),
  _xlfn.IFNA(_xlpm.result, "")
)</f>
        <v/>
      </c>
      <c r="Q139" t="str">
        <f>_xlfn.LET(
  _xlpm.result, _xlfn.XLOOKUP($B139, Result_Database!$A$2:$A$500, Result_Database!P$2:P$500),
  _xlfn.IFNA(_xlpm.result, "")
)</f>
        <v/>
      </c>
      <c r="R139" t="str">
        <f>_xlfn.LET(
  _xlpm.result, _xlfn.XLOOKUP($B139, Result_Database!$A$2:$A$500, Result_Database!Q$2:Q$500),
  _xlfn.IFNA(_xlpm.result, "")
)</f>
        <v/>
      </c>
      <c r="S139" t="str">
        <f>_xlfn.LET(
  _xlpm.result, _xlfn.XLOOKUP($B139, Result_Database!$A$2:$A$500, Result_Database!R$2:R$500),
  _xlfn.IFNA(_xlpm.result, "")
)</f>
        <v/>
      </c>
      <c r="T139" t="str">
        <f>_xlfn.LET(
  _xlpm.result, _xlfn.XLOOKUP($B139, Result_Database!$A$2:$A$500, Result_Database!S$2:S$500),
  _xlfn.IFNA(_xlpm.result, "")
)</f>
        <v/>
      </c>
      <c r="U139" t="str">
        <f>_xlfn.LET(
  _xlpm.result, _xlfn.XLOOKUP($B139, Result_Database!$A$2:$A$500, Result_Database!T$2:T$500),
  _xlfn.IFNA(_xlpm.result, "")
)</f>
        <v/>
      </c>
      <c r="V139" t="str">
        <f>_xlfn.LET(
  _xlpm.result, _xlfn.XLOOKUP($B139, Result_Database!$A$2:$A$500, Result_Database!U$2:U$500),
  _xlfn.IFNA(_xlpm.result, "")
)</f>
        <v/>
      </c>
      <c r="W139" t="str">
        <f>_xlfn.LET(
  _xlpm.result, _xlfn.XLOOKUP($B139, Result_Database!$A$2:$A$500, Result_Database!V$2:V$500),
  _xlfn.IFNA(_xlpm.result, "")
)</f>
        <v/>
      </c>
      <c r="X139" t="str">
        <f>_xlfn.LET(
  _xlpm.result, _xlfn.XLOOKUP($B139, Result_Database!$A$2:$A$500, Result_Database!W$2:W$500),
  _xlfn.IFNA(_xlpm.result, "")
)</f>
        <v/>
      </c>
      <c r="Y139" t="str">
        <f>_xlfn.LET(
  _xlpm.result, _xlfn.XLOOKUP($B139, Result_Database!$A$2:$A$500, Result_Database!X$2:X$500),
  _xlfn.IFNA(_xlpm.result, "")
)</f>
        <v/>
      </c>
      <c r="Z139" t="str">
        <f>_xlfn.LET(
  _xlpm.result, _xlfn.XLOOKUP($B139, Result_Database!$A$2:$A$500, Result_Database!Y$2:Y$500),
  _xlfn.IFNA(_xlpm.result, "")
)</f>
        <v/>
      </c>
      <c r="AA139" t="str">
        <f>_xlfn.LET(
  _xlpm.result, _xlfn.XLOOKUP($B139, Result_Database!$A$2:$A$500, Result_Database!Z$2:Z$500),
  _xlfn.IFNA(_xlpm.result, "")
)</f>
        <v/>
      </c>
      <c r="AB139" t="str">
        <f>_xlfn.LET(
  _xlpm.result, _xlfn.XLOOKUP($B139, Result_Database!$A$2:$A$500, Result_Database!AA$2:AA$500),
  _xlfn.IFNA(_xlpm.result, "")
)</f>
        <v/>
      </c>
      <c r="AC139" t="str">
        <f>_xlfn.LET(
  _xlpm.result, _xlfn.XLOOKUP($B139, Result_Database!$A$2:$A$500, Result_Database!AB$2:AB$500),
  _xlfn.IFNA(_xlpm.result, "")
)</f>
        <v/>
      </c>
      <c r="AD139" t="str">
        <f>_xlfn.LET(
  _xlpm.result, _xlfn.XLOOKUP($B139, Result_Database!$A$2:$A$500, Result_Database!AC$2:AC$500),
  _xlfn.IFNA(_xlpm.result, "")
)</f>
        <v/>
      </c>
      <c r="AE139" t="str">
        <f>_xlfn.LET(
  _xlpm.result, _xlfn.XLOOKUP($B139, Result_Database!$A$2:$A$500, Result_Database!AD$2:AD$500),
  _xlfn.IFNA(_xlpm.result, "")
)</f>
        <v/>
      </c>
      <c r="AF139" t="str">
        <f>_xlfn.LET(
  _xlpm.result, _xlfn.XLOOKUP($B139, Result_Database!$A$2:$A$500, Result_Database!AE$2:AE$500),
  _xlfn.IFNA(_xlpm.result, "")
)</f>
        <v/>
      </c>
      <c r="AG139" t="str">
        <f>_xlfn.LET(
  _xlpm.result, _xlfn.XLOOKUP($B139, Result_Database!$A$2:$A$500, Result_Database!AF$2:AF$500),
  _xlfn.IFNA(_xlpm.result, "")
)</f>
        <v/>
      </c>
      <c r="AH139" t="str">
        <f>_xlfn.LET(
  _xlpm.result, _xlfn.XLOOKUP($B139, Result_Database!$A$2:$A$500, Result_Database!AG$2:AG$500),
  _xlfn.IFNA(_xlpm.result, "")
)</f>
        <v/>
      </c>
      <c r="AI139" t="str">
        <f>_xlfn.LET(
  _xlpm.result, _xlfn.XLOOKUP($B139, Result_Database!$A$2:$A$500, Result_Database!AH$2:AH$500),
  _xlfn.IFNA(_xlpm.result, "")
)</f>
        <v/>
      </c>
      <c r="AJ139" t="str">
        <f>_xlfn.LET(
  _xlpm.result, _xlfn.XLOOKUP($B139, Result_Database!$A$2:$A$500, Result_Database!AI$2:AI$500),
  _xlfn.IFNA(_xlpm.result, "")
)</f>
        <v/>
      </c>
      <c r="AK139" t="str">
        <f>_xlfn.LET(
  _xlpm.result, _xlfn.XLOOKUP($B139, Result_Database!$A$2:$A$500, Result_Database!AJ$2:AJ$500),
  _xlfn.IFNA(_xlpm.result, "")
)</f>
        <v/>
      </c>
      <c r="AL139" t="str">
        <f>_xlfn.LET(
  _xlpm.result, _xlfn.XLOOKUP($B139, Result_Database!$A$2:$A$500, Result_Database!AK$2:AK$500),
  _xlfn.IFNA(_xlpm.result, "")
)</f>
        <v/>
      </c>
      <c r="AM13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3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3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3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3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3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3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3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3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39" t="str">
        <f>IF(SUM(Table5[[#This Row],[A1]:[C6]])&lt;&gt;0,SUM(Table5[[#This Row],[A1]:[C6]]),"")</f>
        <v/>
      </c>
      <c r="AW139" t="str">
        <f>IF(SUM(Table5[[#This Row],[D7]:[F9]])=0,"",SUM(Table5[[#This Row],[D7]:[F9]]))</f>
        <v/>
      </c>
      <c r="AX13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3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3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3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3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3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39" t="str">
        <f>IF(COUNTIF(Table5[[#This Row],[English Language]:[Electrical/ Electronics]],"WITHHELD")=0,"",COUNTIF(Table5[[#This Row],[English Language]:[Electrical/ Electronics]],"WITHHELD"))</f>
        <v/>
      </c>
      <c r="BE139" t="str">
        <f>IF(SUM(Table5[[#This Row],[NO OF CREDITS]:[BELOW CREDITS]])=0,"",SUM(Table5[[#This Row],[NO OF CREDITS]:[BELOW CREDITS]]))</f>
        <v/>
      </c>
    </row>
    <row r="140" spans="1:57" x14ac:dyDescent="0.3">
      <c r="A140" t="str">
        <f>IF(B140&lt;&gt;"",COUNTA($B$6:B140),"")</f>
        <v/>
      </c>
      <c r="B140" t="str">
        <f>IF(Result_Database!A136="","",Result_Database!A136)</f>
        <v/>
      </c>
      <c r="C140" t="str">
        <f>_xlfn.LET(
_xlpm.result,_xlfn.XLOOKUP($B140,Result_Database!$A$2:$A$500,Result_Database!$B$2:$B$500),
_xlfn.IFNA(_xlpm.result,"")
)</f>
        <v/>
      </c>
      <c r="D140" t="str">
        <f>_xlfn.LET(
  _xlpm.result, _xlfn.XLOOKUP($B140, Result_Database!$A$2:$A$500, Result_Database!C$2:C$500),
  _xlfn.IFNA(_xlpm.result, "")
)</f>
        <v/>
      </c>
      <c r="E140" t="str">
        <f>_xlfn.LET(
  _xlpm.result, _xlfn.XLOOKUP($B140, Result_Database!$A$2:$A$500, Result_Database!D$2:D$500),
  _xlfn.IFNA(_xlpm.result, "")
)</f>
        <v/>
      </c>
      <c r="F140" t="str">
        <f>_xlfn.LET(
  _xlpm.result, _xlfn.XLOOKUP($B140, Result_Database!$A$2:$A$500, Result_Database!E$2:E$500),
  _xlfn.IFNA(_xlpm.result, "")
)</f>
        <v/>
      </c>
      <c r="G140" t="str">
        <f>_xlfn.LET(
  _xlpm.result, _xlfn.XLOOKUP($B140, Result_Database!$A$2:$A$500, Result_Database!F$2:F$500),
  _xlfn.IFNA(_xlpm.result, "")
)</f>
        <v/>
      </c>
      <c r="H140" t="str">
        <f>_xlfn.LET(
  _xlpm.result, _xlfn.XLOOKUP($B140, Result_Database!$A$2:$A$500, Result_Database!G$2:G$500),
  _xlfn.IFNA(_xlpm.result, "")
)</f>
        <v/>
      </c>
      <c r="I140" t="str">
        <f>_xlfn.LET(
  _xlpm.result, _xlfn.XLOOKUP($B140, Result_Database!$A$2:$A$500, Result_Database!H$2:H$500),
  _xlfn.IFNA(_xlpm.result, "")
)</f>
        <v/>
      </c>
      <c r="J140" t="str">
        <f>_xlfn.LET(
  _xlpm.result, _xlfn.XLOOKUP($B140, Result_Database!$A$2:$A$500, Result_Database!I$2:I$500),
  _xlfn.IFNA(_xlpm.result, "")
)</f>
        <v/>
      </c>
      <c r="K140" t="str">
        <f>_xlfn.LET(
  _xlpm.result, _xlfn.XLOOKUP($B140, Result_Database!$A$2:$A$500, Result_Database!J$2:J$500),
  _xlfn.IFNA(_xlpm.result, "")
)</f>
        <v/>
      </c>
      <c r="L140" t="str">
        <f>_xlfn.LET(
  _xlpm.result, _xlfn.XLOOKUP($B140, Result_Database!$A$2:$A$500, Result_Database!K$2:K$500),
  _xlfn.IFNA(_xlpm.result, "")
)</f>
        <v/>
      </c>
      <c r="M140" t="str">
        <f>_xlfn.LET(
  _xlpm.result, _xlfn.XLOOKUP($B140, Result_Database!$A$2:$A$500, Result_Database!L$2:L$500),
  _xlfn.IFNA(_xlpm.result, "")
)</f>
        <v/>
      </c>
      <c r="N140" t="str">
        <f>_xlfn.LET(
  _xlpm.result, _xlfn.XLOOKUP($B140, Result_Database!$A$2:$A$500, Result_Database!M$2:M$500),
  _xlfn.IFNA(_xlpm.result, "")
)</f>
        <v/>
      </c>
      <c r="O140" t="str">
        <f>_xlfn.LET(
  _xlpm.result, _xlfn.XLOOKUP($B140, Result_Database!$A$2:$A$500, Result_Database!N$2:N$500),
  _xlfn.IFNA(_xlpm.result, "")
)</f>
        <v/>
      </c>
      <c r="P140" t="str">
        <f>_xlfn.LET(
  _xlpm.result, _xlfn.XLOOKUP($B140, Result_Database!$A$2:$A$500, Result_Database!O$2:O$500),
  _xlfn.IFNA(_xlpm.result, "")
)</f>
        <v/>
      </c>
      <c r="Q140" t="str">
        <f>_xlfn.LET(
  _xlpm.result, _xlfn.XLOOKUP($B140, Result_Database!$A$2:$A$500, Result_Database!P$2:P$500),
  _xlfn.IFNA(_xlpm.result, "")
)</f>
        <v/>
      </c>
      <c r="R140" t="str">
        <f>_xlfn.LET(
  _xlpm.result, _xlfn.XLOOKUP($B140, Result_Database!$A$2:$A$500, Result_Database!Q$2:Q$500),
  _xlfn.IFNA(_xlpm.result, "")
)</f>
        <v/>
      </c>
      <c r="S140" t="str">
        <f>_xlfn.LET(
  _xlpm.result, _xlfn.XLOOKUP($B140, Result_Database!$A$2:$A$500, Result_Database!R$2:R$500),
  _xlfn.IFNA(_xlpm.result, "")
)</f>
        <v/>
      </c>
      <c r="T140" t="str">
        <f>_xlfn.LET(
  _xlpm.result, _xlfn.XLOOKUP($B140, Result_Database!$A$2:$A$500, Result_Database!S$2:S$500),
  _xlfn.IFNA(_xlpm.result, "")
)</f>
        <v/>
      </c>
      <c r="U140" t="str">
        <f>_xlfn.LET(
  _xlpm.result, _xlfn.XLOOKUP($B140, Result_Database!$A$2:$A$500, Result_Database!T$2:T$500),
  _xlfn.IFNA(_xlpm.result, "")
)</f>
        <v/>
      </c>
      <c r="V140" t="str">
        <f>_xlfn.LET(
  _xlpm.result, _xlfn.XLOOKUP($B140, Result_Database!$A$2:$A$500, Result_Database!U$2:U$500),
  _xlfn.IFNA(_xlpm.result, "")
)</f>
        <v/>
      </c>
      <c r="W140" t="str">
        <f>_xlfn.LET(
  _xlpm.result, _xlfn.XLOOKUP($B140, Result_Database!$A$2:$A$500, Result_Database!V$2:V$500),
  _xlfn.IFNA(_xlpm.result, "")
)</f>
        <v/>
      </c>
      <c r="X140" t="str">
        <f>_xlfn.LET(
  _xlpm.result, _xlfn.XLOOKUP($B140, Result_Database!$A$2:$A$500, Result_Database!W$2:W$500),
  _xlfn.IFNA(_xlpm.result, "")
)</f>
        <v/>
      </c>
      <c r="Y140" t="str">
        <f>_xlfn.LET(
  _xlpm.result, _xlfn.XLOOKUP($B140, Result_Database!$A$2:$A$500, Result_Database!X$2:X$500),
  _xlfn.IFNA(_xlpm.result, "")
)</f>
        <v/>
      </c>
      <c r="Z140" t="str">
        <f>_xlfn.LET(
  _xlpm.result, _xlfn.XLOOKUP($B140, Result_Database!$A$2:$A$500, Result_Database!Y$2:Y$500),
  _xlfn.IFNA(_xlpm.result, "")
)</f>
        <v/>
      </c>
      <c r="AA140" t="str">
        <f>_xlfn.LET(
  _xlpm.result, _xlfn.XLOOKUP($B140, Result_Database!$A$2:$A$500, Result_Database!Z$2:Z$500),
  _xlfn.IFNA(_xlpm.result, "")
)</f>
        <v/>
      </c>
      <c r="AB140" t="str">
        <f>_xlfn.LET(
  _xlpm.result, _xlfn.XLOOKUP($B140, Result_Database!$A$2:$A$500, Result_Database!AA$2:AA$500),
  _xlfn.IFNA(_xlpm.result, "")
)</f>
        <v/>
      </c>
      <c r="AC140" t="str">
        <f>_xlfn.LET(
  _xlpm.result, _xlfn.XLOOKUP($B140, Result_Database!$A$2:$A$500, Result_Database!AB$2:AB$500),
  _xlfn.IFNA(_xlpm.result, "")
)</f>
        <v/>
      </c>
      <c r="AD140" t="str">
        <f>_xlfn.LET(
  _xlpm.result, _xlfn.XLOOKUP($B140, Result_Database!$A$2:$A$500, Result_Database!AC$2:AC$500),
  _xlfn.IFNA(_xlpm.result, "")
)</f>
        <v/>
      </c>
      <c r="AE140" t="str">
        <f>_xlfn.LET(
  _xlpm.result, _xlfn.XLOOKUP($B140, Result_Database!$A$2:$A$500, Result_Database!AD$2:AD$500),
  _xlfn.IFNA(_xlpm.result, "")
)</f>
        <v/>
      </c>
      <c r="AF140" t="str">
        <f>_xlfn.LET(
  _xlpm.result, _xlfn.XLOOKUP($B140, Result_Database!$A$2:$A$500, Result_Database!AE$2:AE$500),
  _xlfn.IFNA(_xlpm.result, "")
)</f>
        <v/>
      </c>
      <c r="AG140" t="str">
        <f>_xlfn.LET(
  _xlpm.result, _xlfn.XLOOKUP($B140, Result_Database!$A$2:$A$500, Result_Database!AF$2:AF$500),
  _xlfn.IFNA(_xlpm.result, "")
)</f>
        <v/>
      </c>
      <c r="AH140" t="str">
        <f>_xlfn.LET(
  _xlpm.result, _xlfn.XLOOKUP($B140, Result_Database!$A$2:$A$500, Result_Database!AG$2:AG$500),
  _xlfn.IFNA(_xlpm.result, "")
)</f>
        <v/>
      </c>
      <c r="AI140" t="str">
        <f>_xlfn.LET(
  _xlpm.result, _xlfn.XLOOKUP($B140, Result_Database!$A$2:$A$500, Result_Database!AH$2:AH$500),
  _xlfn.IFNA(_xlpm.result, "")
)</f>
        <v/>
      </c>
      <c r="AJ140" t="str">
        <f>_xlfn.LET(
  _xlpm.result, _xlfn.XLOOKUP($B140, Result_Database!$A$2:$A$500, Result_Database!AI$2:AI$500),
  _xlfn.IFNA(_xlpm.result, "")
)</f>
        <v/>
      </c>
      <c r="AK140" t="str">
        <f>_xlfn.LET(
  _xlpm.result, _xlfn.XLOOKUP($B140, Result_Database!$A$2:$A$500, Result_Database!AJ$2:AJ$500),
  _xlfn.IFNA(_xlpm.result, "")
)</f>
        <v/>
      </c>
      <c r="AL140" t="str">
        <f>_xlfn.LET(
  _xlpm.result, _xlfn.XLOOKUP($B140, Result_Database!$A$2:$A$500, Result_Database!AK$2:AK$500),
  _xlfn.IFNA(_xlpm.result, "")
)</f>
        <v/>
      </c>
      <c r="AM14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4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4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4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4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4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4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4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4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40" t="str">
        <f>IF(SUM(Table5[[#This Row],[A1]:[C6]])&lt;&gt;0,SUM(Table5[[#This Row],[A1]:[C6]]),"")</f>
        <v/>
      </c>
      <c r="AW140" t="str">
        <f>IF(SUM(Table5[[#This Row],[D7]:[F9]])=0,"",SUM(Table5[[#This Row],[D7]:[F9]]))</f>
        <v/>
      </c>
      <c r="AX14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4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4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4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4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4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40" t="str">
        <f>IF(COUNTIF(Table5[[#This Row],[English Language]:[Electrical/ Electronics]],"WITHHELD")=0,"",COUNTIF(Table5[[#This Row],[English Language]:[Electrical/ Electronics]],"WITHHELD"))</f>
        <v/>
      </c>
      <c r="BE140" t="str">
        <f>IF(SUM(Table5[[#This Row],[NO OF CREDITS]:[BELOW CREDITS]])=0,"",SUM(Table5[[#This Row],[NO OF CREDITS]:[BELOW CREDITS]]))</f>
        <v/>
      </c>
    </row>
    <row r="141" spans="1:57" x14ac:dyDescent="0.3">
      <c r="A141" t="str">
        <f>IF(B141&lt;&gt;"",COUNTA($B$6:B141),"")</f>
        <v/>
      </c>
      <c r="B141" t="str">
        <f>IF(Result_Database!A137="","",Result_Database!A137)</f>
        <v/>
      </c>
      <c r="C141" t="str">
        <f>_xlfn.LET(
_xlpm.result,_xlfn.XLOOKUP($B141,Result_Database!$A$2:$A$500,Result_Database!$B$2:$B$500),
_xlfn.IFNA(_xlpm.result,"")
)</f>
        <v/>
      </c>
      <c r="D141" t="str">
        <f>_xlfn.LET(
  _xlpm.result, _xlfn.XLOOKUP($B141, Result_Database!$A$2:$A$500, Result_Database!C$2:C$500),
  _xlfn.IFNA(_xlpm.result, "")
)</f>
        <v/>
      </c>
      <c r="E141" t="str">
        <f>_xlfn.LET(
  _xlpm.result, _xlfn.XLOOKUP($B141, Result_Database!$A$2:$A$500, Result_Database!D$2:D$500),
  _xlfn.IFNA(_xlpm.result, "")
)</f>
        <v/>
      </c>
      <c r="F141" t="str">
        <f>_xlfn.LET(
  _xlpm.result, _xlfn.XLOOKUP($B141, Result_Database!$A$2:$A$500, Result_Database!E$2:E$500),
  _xlfn.IFNA(_xlpm.result, "")
)</f>
        <v/>
      </c>
      <c r="G141" t="str">
        <f>_xlfn.LET(
  _xlpm.result, _xlfn.XLOOKUP($B141, Result_Database!$A$2:$A$500, Result_Database!F$2:F$500),
  _xlfn.IFNA(_xlpm.result, "")
)</f>
        <v/>
      </c>
      <c r="H141" t="str">
        <f>_xlfn.LET(
  _xlpm.result, _xlfn.XLOOKUP($B141, Result_Database!$A$2:$A$500, Result_Database!G$2:G$500),
  _xlfn.IFNA(_xlpm.result, "")
)</f>
        <v/>
      </c>
      <c r="I141" t="str">
        <f>_xlfn.LET(
  _xlpm.result, _xlfn.XLOOKUP($B141, Result_Database!$A$2:$A$500, Result_Database!H$2:H$500),
  _xlfn.IFNA(_xlpm.result, "")
)</f>
        <v/>
      </c>
      <c r="J141" t="str">
        <f>_xlfn.LET(
  _xlpm.result, _xlfn.XLOOKUP($B141, Result_Database!$A$2:$A$500, Result_Database!I$2:I$500),
  _xlfn.IFNA(_xlpm.result, "")
)</f>
        <v/>
      </c>
      <c r="K141" t="str">
        <f>_xlfn.LET(
  _xlpm.result, _xlfn.XLOOKUP($B141, Result_Database!$A$2:$A$500, Result_Database!J$2:J$500),
  _xlfn.IFNA(_xlpm.result, "")
)</f>
        <v/>
      </c>
      <c r="L141" t="str">
        <f>_xlfn.LET(
  _xlpm.result, _xlfn.XLOOKUP($B141, Result_Database!$A$2:$A$500, Result_Database!K$2:K$500),
  _xlfn.IFNA(_xlpm.result, "")
)</f>
        <v/>
      </c>
      <c r="M141" t="str">
        <f>_xlfn.LET(
  _xlpm.result, _xlfn.XLOOKUP($B141, Result_Database!$A$2:$A$500, Result_Database!L$2:L$500),
  _xlfn.IFNA(_xlpm.result, "")
)</f>
        <v/>
      </c>
      <c r="N141" t="str">
        <f>_xlfn.LET(
  _xlpm.result, _xlfn.XLOOKUP($B141, Result_Database!$A$2:$A$500, Result_Database!M$2:M$500),
  _xlfn.IFNA(_xlpm.result, "")
)</f>
        <v/>
      </c>
      <c r="O141" t="str">
        <f>_xlfn.LET(
  _xlpm.result, _xlfn.XLOOKUP($B141, Result_Database!$A$2:$A$500, Result_Database!N$2:N$500),
  _xlfn.IFNA(_xlpm.result, "")
)</f>
        <v/>
      </c>
      <c r="P141" t="str">
        <f>_xlfn.LET(
  _xlpm.result, _xlfn.XLOOKUP($B141, Result_Database!$A$2:$A$500, Result_Database!O$2:O$500),
  _xlfn.IFNA(_xlpm.result, "")
)</f>
        <v/>
      </c>
      <c r="Q141" t="str">
        <f>_xlfn.LET(
  _xlpm.result, _xlfn.XLOOKUP($B141, Result_Database!$A$2:$A$500, Result_Database!P$2:P$500),
  _xlfn.IFNA(_xlpm.result, "")
)</f>
        <v/>
      </c>
      <c r="R141" t="str">
        <f>_xlfn.LET(
  _xlpm.result, _xlfn.XLOOKUP($B141, Result_Database!$A$2:$A$500, Result_Database!Q$2:Q$500),
  _xlfn.IFNA(_xlpm.result, "")
)</f>
        <v/>
      </c>
      <c r="S141" t="str">
        <f>_xlfn.LET(
  _xlpm.result, _xlfn.XLOOKUP($B141, Result_Database!$A$2:$A$500, Result_Database!R$2:R$500),
  _xlfn.IFNA(_xlpm.result, "")
)</f>
        <v/>
      </c>
      <c r="T141" t="str">
        <f>_xlfn.LET(
  _xlpm.result, _xlfn.XLOOKUP($B141, Result_Database!$A$2:$A$500, Result_Database!S$2:S$500),
  _xlfn.IFNA(_xlpm.result, "")
)</f>
        <v/>
      </c>
      <c r="U141" t="str">
        <f>_xlfn.LET(
  _xlpm.result, _xlfn.XLOOKUP($B141, Result_Database!$A$2:$A$500, Result_Database!T$2:T$500),
  _xlfn.IFNA(_xlpm.result, "")
)</f>
        <v/>
      </c>
      <c r="V141" t="str">
        <f>_xlfn.LET(
  _xlpm.result, _xlfn.XLOOKUP($B141, Result_Database!$A$2:$A$500, Result_Database!U$2:U$500),
  _xlfn.IFNA(_xlpm.result, "")
)</f>
        <v/>
      </c>
      <c r="W141" t="str">
        <f>_xlfn.LET(
  _xlpm.result, _xlfn.XLOOKUP($B141, Result_Database!$A$2:$A$500, Result_Database!V$2:V$500),
  _xlfn.IFNA(_xlpm.result, "")
)</f>
        <v/>
      </c>
      <c r="X141" t="str">
        <f>_xlfn.LET(
  _xlpm.result, _xlfn.XLOOKUP($B141, Result_Database!$A$2:$A$500, Result_Database!W$2:W$500),
  _xlfn.IFNA(_xlpm.result, "")
)</f>
        <v/>
      </c>
      <c r="Y141" t="str">
        <f>_xlfn.LET(
  _xlpm.result, _xlfn.XLOOKUP($B141, Result_Database!$A$2:$A$500, Result_Database!X$2:X$500),
  _xlfn.IFNA(_xlpm.result, "")
)</f>
        <v/>
      </c>
      <c r="Z141" t="str">
        <f>_xlfn.LET(
  _xlpm.result, _xlfn.XLOOKUP($B141, Result_Database!$A$2:$A$500, Result_Database!Y$2:Y$500),
  _xlfn.IFNA(_xlpm.result, "")
)</f>
        <v/>
      </c>
      <c r="AA141" t="str">
        <f>_xlfn.LET(
  _xlpm.result, _xlfn.XLOOKUP($B141, Result_Database!$A$2:$A$500, Result_Database!Z$2:Z$500),
  _xlfn.IFNA(_xlpm.result, "")
)</f>
        <v/>
      </c>
      <c r="AB141" t="str">
        <f>_xlfn.LET(
  _xlpm.result, _xlfn.XLOOKUP($B141, Result_Database!$A$2:$A$500, Result_Database!AA$2:AA$500),
  _xlfn.IFNA(_xlpm.result, "")
)</f>
        <v/>
      </c>
      <c r="AC141" t="str">
        <f>_xlfn.LET(
  _xlpm.result, _xlfn.XLOOKUP($B141, Result_Database!$A$2:$A$500, Result_Database!AB$2:AB$500),
  _xlfn.IFNA(_xlpm.result, "")
)</f>
        <v/>
      </c>
      <c r="AD141" t="str">
        <f>_xlfn.LET(
  _xlpm.result, _xlfn.XLOOKUP($B141, Result_Database!$A$2:$A$500, Result_Database!AC$2:AC$500),
  _xlfn.IFNA(_xlpm.result, "")
)</f>
        <v/>
      </c>
      <c r="AE141" t="str">
        <f>_xlfn.LET(
  _xlpm.result, _xlfn.XLOOKUP($B141, Result_Database!$A$2:$A$500, Result_Database!AD$2:AD$500),
  _xlfn.IFNA(_xlpm.result, "")
)</f>
        <v/>
      </c>
      <c r="AF141" t="str">
        <f>_xlfn.LET(
  _xlpm.result, _xlfn.XLOOKUP($B141, Result_Database!$A$2:$A$500, Result_Database!AE$2:AE$500),
  _xlfn.IFNA(_xlpm.result, "")
)</f>
        <v/>
      </c>
      <c r="AG141" t="str">
        <f>_xlfn.LET(
  _xlpm.result, _xlfn.XLOOKUP($B141, Result_Database!$A$2:$A$500, Result_Database!AF$2:AF$500),
  _xlfn.IFNA(_xlpm.result, "")
)</f>
        <v/>
      </c>
      <c r="AH141" t="str">
        <f>_xlfn.LET(
  _xlpm.result, _xlfn.XLOOKUP($B141, Result_Database!$A$2:$A$500, Result_Database!AG$2:AG$500),
  _xlfn.IFNA(_xlpm.result, "")
)</f>
        <v/>
      </c>
      <c r="AI141" t="str">
        <f>_xlfn.LET(
  _xlpm.result, _xlfn.XLOOKUP($B141, Result_Database!$A$2:$A$500, Result_Database!AH$2:AH$500),
  _xlfn.IFNA(_xlpm.result, "")
)</f>
        <v/>
      </c>
      <c r="AJ141" t="str">
        <f>_xlfn.LET(
  _xlpm.result, _xlfn.XLOOKUP($B141, Result_Database!$A$2:$A$500, Result_Database!AI$2:AI$500),
  _xlfn.IFNA(_xlpm.result, "")
)</f>
        <v/>
      </c>
      <c r="AK141" t="str">
        <f>_xlfn.LET(
  _xlpm.result, _xlfn.XLOOKUP($B141, Result_Database!$A$2:$A$500, Result_Database!AJ$2:AJ$500),
  _xlfn.IFNA(_xlpm.result, "")
)</f>
        <v/>
      </c>
      <c r="AL141" t="str">
        <f>_xlfn.LET(
  _xlpm.result, _xlfn.XLOOKUP($B141, Result_Database!$A$2:$A$500, Result_Database!AK$2:AK$500),
  _xlfn.IFNA(_xlpm.result, "")
)</f>
        <v/>
      </c>
      <c r="AM14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4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4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4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4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4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4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4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4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41" t="str">
        <f>IF(SUM(Table5[[#This Row],[A1]:[C6]])&lt;&gt;0,SUM(Table5[[#This Row],[A1]:[C6]]),"")</f>
        <v/>
      </c>
      <c r="AW141" t="str">
        <f>IF(SUM(Table5[[#This Row],[D7]:[F9]])=0,"",SUM(Table5[[#This Row],[D7]:[F9]]))</f>
        <v/>
      </c>
      <c r="AX14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4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4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4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4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4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41" t="str">
        <f>IF(COUNTIF(Table5[[#This Row],[English Language]:[Electrical/ Electronics]],"WITHHELD")=0,"",COUNTIF(Table5[[#This Row],[English Language]:[Electrical/ Electronics]],"WITHHELD"))</f>
        <v/>
      </c>
      <c r="BE141" t="str">
        <f>IF(SUM(Table5[[#This Row],[NO OF CREDITS]:[BELOW CREDITS]])=0,"",SUM(Table5[[#This Row],[NO OF CREDITS]:[BELOW CREDITS]]))</f>
        <v/>
      </c>
    </row>
    <row r="142" spans="1:57" x14ac:dyDescent="0.3">
      <c r="A142" t="str">
        <f>IF(B142&lt;&gt;"",COUNTA($B$6:B142),"")</f>
        <v/>
      </c>
      <c r="B142" t="str">
        <f>IF(Result_Database!A138="","",Result_Database!A138)</f>
        <v/>
      </c>
      <c r="C142" t="str">
        <f>_xlfn.LET(
_xlpm.result,_xlfn.XLOOKUP($B142,Result_Database!$A$2:$A$500,Result_Database!$B$2:$B$500),
_xlfn.IFNA(_xlpm.result,"")
)</f>
        <v/>
      </c>
      <c r="D142" t="str">
        <f>_xlfn.LET(
  _xlpm.result, _xlfn.XLOOKUP($B142, Result_Database!$A$2:$A$500, Result_Database!C$2:C$500),
  _xlfn.IFNA(_xlpm.result, "")
)</f>
        <v/>
      </c>
      <c r="E142" t="str">
        <f>_xlfn.LET(
  _xlpm.result, _xlfn.XLOOKUP($B142, Result_Database!$A$2:$A$500, Result_Database!D$2:D$500),
  _xlfn.IFNA(_xlpm.result, "")
)</f>
        <v/>
      </c>
      <c r="F142" t="str">
        <f>_xlfn.LET(
  _xlpm.result, _xlfn.XLOOKUP($B142, Result_Database!$A$2:$A$500, Result_Database!E$2:E$500),
  _xlfn.IFNA(_xlpm.result, "")
)</f>
        <v/>
      </c>
      <c r="G142" t="str">
        <f>_xlfn.LET(
  _xlpm.result, _xlfn.XLOOKUP($B142, Result_Database!$A$2:$A$500, Result_Database!F$2:F$500),
  _xlfn.IFNA(_xlpm.result, "")
)</f>
        <v/>
      </c>
      <c r="H142" t="str">
        <f>_xlfn.LET(
  _xlpm.result, _xlfn.XLOOKUP($B142, Result_Database!$A$2:$A$500, Result_Database!G$2:G$500),
  _xlfn.IFNA(_xlpm.result, "")
)</f>
        <v/>
      </c>
      <c r="I142" t="str">
        <f>_xlfn.LET(
  _xlpm.result, _xlfn.XLOOKUP($B142, Result_Database!$A$2:$A$500, Result_Database!H$2:H$500),
  _xlfn.IFNA(_xlpm.result, "")
)</f>
        <v/>
      </c>
      <c r="J142" t="str">
        <f>_xlfn.LET(
  _xlpm.result, _xlfn.XLOOKUP($B142, Result_Database!$A$2:$A$500, Result_Database!I$2:I$500),
  _xlfn.IFNA(_xlpm.result, "")
)</f>
        <v/>
      </c>
      <c r="K142" t="str">
        <f>_xlfn.LET(
  _xlpm.result, _xlfn.XLOOKUP($B142, Result_Database!$A$2:$A$500, Result_Database!J$2:J$500),
  _xlfn.IFNA(_xlpm.result, "")
)</f>
        <v/>
      </c>
      <c r="L142" t="str">
        <f>_xlfn.LET(
  _xlpm.result, _xlfn.XLOOKUP($B142, Result_Database!$A$2:$A$500, Result_Database!K$2:K$500),
  _xlfn.IFNA(_xlpm.result, "")
)</f>
        <v/>
      </c>
      <c r="M142" t="str">
        <f>_xlfn.LET(
  _xlpm.result, _xlfn.XLOOKUP($B142, Result_Database!$A$2:$A$500, Result_Database!L$2:L$500),
  _xlfn.IFNA(_xlpm.result, "")
)</f>
        <v/>
      </c>
      <c r="N142" t="str">
        <f>_xlfn.LET(
  _xlpm.result, _xlfn.XLOOKUP($B142, Result_Database!$A$2:$A$500, Result_Database!M$2:M$500),
  _xlfn.IFNA(_xlpm.result, "")
)</f>
        <v/>
      </c>
      <c r="O142" t="str">
        <f>_xlfn.LET(
  _xlpm.result, _xlfn.XLOOKUP($B142, Result_Database!$A$2:$A$500, Result_Database!N$2:N$500),
  _xlfn.IFNA(_xlpm.result, "")
)</f>
        <v/>
      </c>
      <c r="P142" t="str">
        <f>_xlfn.LET(
  _xlpm.result, _xlfn.XLOOKUP($B142, Result_Database!$A$2:$A$500, Result_Database!O$2:O$500),
  _xlfn.IFNA(_xlpm.result, "")
)</f>
        <v/>
      </c>
      <c r="Q142" t="str">
        <f>_xlfn.LET(
  _xlpm.result, _xlfn.XLOOKUP($B142, Result_Database!$A$2:$A$500, Result_Database!P$2:P$500),
  _xlfn.IFNA(_xlpm.result, "")
)</f>
        <v/>
      </c>
      <c r="R142" t="str">
        <f>_xlfn.LET(
  _xlpm.result, _xlfn.XLOOKUP($B142, Result_Database!$A$2:$A$500, Result_Database!Q$2:Q$500),
  _xlfn.IFNA(_xlpm.result, "")
)</f>
        <v/>
      </c>
      <c r="S142" t="str">
        <f>_xlfn.LET(
  _xlpm.result, _xlfn.XLOOKUP($B142, Result_Database!$A$2:$A$500, Result_Database!R$2:R$500),
  _xlfn.IFNA(_xlpm.result, "")
)</f>
        <v/>
      </c>
      <c r="T142" t="str">
        <f>_xlfn.LET(
  _xlpm.result, _xlfn.XLOOKUP($B142, Result_Database!$A$2:$A$500, Result_Database!S$2:S$500),
  _xlfn.IFNA(_xlpm.result, "")
)</f>
        <v/>
      </c>
      <c r="U142" t="str">
        <f>_xlfn.LET(
  _xlpm.result, _xlfn.XLOOKUP($B142, Result_Database!$A$2:$A$500, Result_Database!T$2:T$500),
  _xlfn.IFNA(_xlpm.result, "")
)</f>
        <v/>
      </c>
      <c r="V142" t="str">
        <f>_xlfn.LET(
  _xlpm.result, _xlfn.XLOOKUP($B142, Result_Database!$A$2:$A$500, Result_Database!U$2:U$500),
  _xlfn.IFNA(_xlpm.result, "")
)</f>
        <v/>
      </c>
      <c r="W142" t="str">
        <f>_xlfn.LET(
  _xlpm.result, _xlfn.XLOOKUP($B142, Result_Database!$A$2:$A$500, Result_Database!V$2:V$500),
  _xlfn.IFNA(_xlpm.result, "")
)</f>
        <v/>
      </c>
      <c r="X142" t="str">
        <f>_xlfn.LET(
  _xlpm.result, _xlfn.XLOOKUP($B142, Result_Database!$A$2:$A$500, Result_Database!W$2:W$500),
  _xlfn.IFNA(_xlpm.result, "")
)</f>
        <v/>
      </c>
      <c r="Y142" t="str">
        <f>_xlfn.LET(
  _xlpm.result, _xlfn.XLOOKUP($B142, Result_Database!$A$2:$A$500, Result_Database!X$2:X$500),
  _xlfn.IFNA(_xlpm.result, "")
)</f>
        <v/>
      </c>
      <c r="Z142" t="str">
        <f>_xlfn.LET(
  _xlpm.result, _xlfn.XLOOKUP($B142, Result_Database!$A$2:$A$500, Result_Database!Y$2:Y$500),
  _xlfn.IFNA(_xlpm.result, "")
)</f>
        <v/>
      </c>
      <c r="AA142" t="str">
        <f>_xlfn.LET(
  _xlpm.result, _xlfn.XLOOKUP($B142, Result_Database!$A$2:$A$500, Result_Database!Z$2:Z$500),
  _xlfn.IFNA(_xlpm.result, "")
)</f>
        <v/>
      </c>
      <c r="AB142" t="str">
        <f>_xlfn.LET(
  _xlpm.result, _xlfn.XLOOKUP($B142, Result_Database!$A$2:$A$500, Result_Database!AA$2:AA$500),
  _xlfn.IFNA(_xlpm.result, "")
)</f>
        <v/>
      </c>
      <c r="AC142" t="str">
        <f>_xlfn.LET(
  _xlpm.result, _xlfn.XLOOKUP($B142, Result_Database!$A$2:$A$500, Result_Database!AB$2:AB$500),
  _xlfn.IFNA(_xlpm.result, "")
)</f>
        <v/>
      </c>
      <c r="AD142" t="str">
        <f>_xlfn.LET(
  _xlpm.result, _xlfn.XLOOKUP($B142, Result_Database!$A$2:$A$500, Result_Database!AC$2:AC$500),
  _xlfn.IFNA(_xlpm.result, "")
)</f>
        <v/>
      </c>
      <c r="AE142" t="str">
        <f>_xlfn.LET(
  _xlpm.result, _xlfn.XLOOKUP($B142, Result_Database!$A$2:$A$500, Result_Database!AD$2:AD$500),
  _xlfn.IFNA(_xlpm.result, "")
)</f>
        <v/>
      </c>
      <c r="AF142" t="str">
        <f>_xlfn.LET(
  _xlpm.result, _xlfn.XLOOKUP($B142, Result_Database!$A$2:$A$500, Result_Database!AE$2:AE$500),
  _xlfn.IFNA(_xlpm.result, "")
)</f>
        <v/>
      </c>
      <c r="AG142" t="str">
        <f>_xlfn.LET(
  _xlpm.result, _xlfn.XLOOKUP($B142, Result_Database!$A$2:$A$500, Result_Database!AF$2:AF$500),
  _xlfn.IFNA(_xlpm.result, "")
)</f>
        <v/>
      </c>
      <c r="AH142" t="str">
        <f>_xlfn.LET(
  _xlpm.result, _xlfn.XLOOKUP($B142, Result_Database!$A$2:$A$500, Result_Database!AG$2:AG$500),
  _xlfn.IFNA(_xlpm.result, "")
)</f>
        <v/>
      </c>
      <c r="AI142" t="str">
        <f>_xlfn.LET(
  _xlpm.result, _xlfn.XLOOKUP($B142, Result_Database!$A$2:$A$500, Result_Database!AH$2:AH$500),
  _xlfn.IFNA(_xlpm.result, "")
)</f>
        <v/>
      </c>
      <c r="AJ142" t="str">
        <f>_xlfn.LET(
  _xlpm.result, _xlfn.XLOOKUP($B142, Result_Database!$A$2:$A$500, Result_Database!AI$2:AI$500),
  _xlfn.IFNA(_xlpm.result, "")
)</f>
        <v/>
      </c>
      <c r="AK142" t="str">
        <f>_xlfn.LET(
  _xlpm.result, _xlfn.XLOOKUP($B142, Result_Database!$A$2:$A$500, Result_Database!AJ$2:AJ$500),
  _xlfn.IFNA(_xlpm.result, "")
)</f>
        <v/>
      </c>
      <c r="AL142" t="str">
        <f>_xlfn.LET(
  _xlpm.result, _xlfn.XLOOKUP($B142, Result_Database!$A$2:$A$500, Result_Database!AK$2:AK$500),
  _xlfn.IFNA(_xlpm.result, "")
)</f>
        <v/>
      </c>
      <c r="AM14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4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4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4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4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4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4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4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4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42" t="str">
        <f>IF(SUM(Table5[[#This Row],[A1]:[C6]])&lt;&gt;0,SUM(Table5[[#This Row],[A1]:[C6]]),"")</f>
        <v/>
      </c>
      <c r="AW142" t="str">
        <f>IF(SUM(Table5[[#This Row],[D7]:[F9]])=0,"",SUM(Table5[[#This Row],[D7]:[F9]]))</f>
        <v/>
      </c>
      <c r="AX14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4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4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4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4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4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42" t="str">
        <f>IF(COUNTIF(Table5[[#This Row],[English Language]:[Electrical/ Electronics]],"WITHHELD")=0,"",COUNTIF(Table5[[#This Row],[English Language]:[Electrical/ Electronics]],"WITHHELD"))</f>
        <v/>
      </c>
      <c r="BE142" t="str">
        <f>IF(SUM(Table5[[#This Row],[NO OF CREDITS]:[BELOW CREDITS]])=0,"",SUM(Table5[[#This Row],[NO OF CREDITS]:[BELOW CREDITS]]))</f>
        <v/>
      </c>
    </row>
    <row r="143" spans="1:57" x14ac:dyDescent="0.3">
      <c r="A143" t="str">
        <f>IF(B143&lt;&gt;"",COUNTA($B$6:B143),"")</f>
        <v/>
      </c>
      <c r="B143" t="str">
        <f>IF(Result_Database!A139="","",Result_Database!A139)</f>
        <v/>
      </c>
      <c r="C143" t="str">
        <f>_xlfn.LET(
_xlpm.result,_xlfn.XLOOKUP($B143,Result_Database!$A$2:$A$500,Result_Database!$B$2:$B$500),
_xlfn.IFNA(_xlpm.result,"")
)</f>
        <v/>
      </c>
      <c r="D143" t="str">
        <f>_xlfn.LET(
  _xlpm.result, _xlfn.XLOOKUP($B143, Result_Database!$A$2:$A$500, Result_Database!C$2:C$500),
  _xlfn.IFNA(_xlpm.result, "")
)</f>
        <v/>
      </c>
      <c r="E143" t="str">
        <f>_xlfn.LET(
  _xlpm.result, _xlfn.XLOOKUP($B143, Result_Database!$A$2:$A$500, Result_Database!D$2:D$500),
  _xlfn.IFNA(_xlpm.result, "")
)</f>
        <v/>
      </c>
      <c r="F143" t="str">
        <f>_xlfn.LET(
  _xlpm.result, _xlfn.XLOOKUP($B143, Result_Database!$A$2:$A$500, Result_Database!E$2:E$500),
  _xlfn.IFNA(_xlpm.result, "")
)</f>
        <v/>
      </c>
      <c r="G143" t="str">
        <f>_xlfn.LET(
  _xlpm.result, _xlfn.XLOOKUP($B143, Result_Database!$A$2:$A$500, Result_Database!F$2:F$500),
  _xlfn.IFNA(_xlpm.result, "")
)</f>
        <v/>
      </c>
      <c r="H143" t="str">
        <f>_xlfn.LET(
  _xlpm.result, _xlfn.XLOOKUP($B143, Result_Database!$A$2:$A$500, Result_Database!G$2:G$500),
  _xlfn.IFNA(_xlpm.result, "")
)</f>
        <v/>
      </c>
      <c r="I143" t="str">
        <f>_xlfn.LET(
  _xlpm.result, _xlfn.XLOOKUP($B143, Result_Database!$A$2:$A$500, Result_Database!H$2:H$500),
  _xlfn.IFNA(_xlpm.result, "")
)</f>
        <v/>
      </c>
      <c r="J143" t="str">
        <f>_xlfn.LET(
  _xlpm.result, _xlfn.XLOOKUP($B143, Result_Database!$A$2:$A$500, Result_Database!I$2:I$500),
  _xlfn.IFNA(_xlpm.result, "")
)</f>
        <v/>
      </c>
      <c r="K143" t="str">
        <f>_xlfn.LET(
  _xlpm.result, _xlfn.XLOOKUP($B143, Result_Database!$A$2:$A$500, Result_Database!J$2:J$500),
  _xlfn.IFNA(_xlpm.result, "")
)</f>
        <v/>
      </c>
      <c r="L143" t="str">
        <f>_xlfn.LET(
  _xlpm.result, _xlfn.XLOOKUP($B143, Result_Database!$A$2:$A$500, Result_Database!K$2:K$500),
  _xlfn.IFNA(_xlpm.result, "")
)</f>
        <v/>
      </c>
      <c r="M143" t="str">
        <f>_xlfn.LET(
  _xlpm.result, _xlfn.XLOOKUP($B143, Result_Database!$A$2:$A$500, Result_Database!L$2:L$500),
  _xlfn.IFNA(_xlpm.result, "")
)</f>
        <v/>
      </c>
      <c r="N143" t="str">
        <f>_xlfn.LET(
  _xlpm.result, _xlfn.XLOOKUP($B143, Result_Database!$A$2:$A$500, Result_Database!M$2:M$500),
  _xlfn.IFNA(_xlpm.result, "")
)</f>
        <v/>
      </c>
      <c r="O143" t="str">
        <f>_xlfn.LET(
  _xlpm.result, _xlfn.XLOOKUP($B143, Result_Database!$A$2:$A$500, Result_Database!N$2:N$500),
  _xlfn.IFNA(_xlpm.result, "")
)</f>
        <v/>
      </c>
      <c r="P143" t="str">
        <f>_xlfn.LET(
  _xlpm.result, _xlfn.XLOOKUP($B143, Result_Database!$A$2:$A$500, Result_Database!O$2:O$500),
  _xlfn.IFNA(_xlpm.result, "")
)</f>
        <v/>
      </c>
      <c r="Q143" t="str">
        <f>_xlfn.LET(
  _xlpm.result, _xlfn.XLOOKUP($B143, Result_Database!$A$2:$A$500, Result_Database!P$2:P$500),
  _xlfn.IFNA(_xlpm.result, "")
)</f>
        <v/>
      </c>
      <c r="R143" t="str">
        <f>_xlfn.LET(
  _xlpm.result, _xlfn.XLOOKUP($B143, Result_Database!$A$2:$A$500, Result_Database!Q$2:Q$500),
  _xlfn.IFNA(_xlpm.result, "")
)</f>
        <v/>
      </c>
      <c r="S143" t="str">
        <f>_xlfn.LET(
  _xlpm.result, _xlfn.XLOOKUP($B143, Result_Database!$A$2:$A$500, Result_Database!R$2:R$500),
  _xlfn.IFNA(_xlpm.result, "")
)</f>
        <v/>
      </c>
      <c r="T143" t="str">
        <f>_xlfn.LET(
  _xlpm.result, _xlfn.XLOOKUP($B143, Result_Database!$A$2:$A$500, Result_Database!S$2:S$500),
  _xlfn.IFNA(_xlpm.result, "")
)</f>
        <v/>
      </c>
      <c r="U143" t="str">
        <f>_xlfn.LET(
  _xlpm.result, _xlfn.XLOOKUP($B143, Result_Database!$A$2:$A$500, Result_Database!T$2:T$500),
  _xlfn.IFNA(_xlpm.result, "")
)</f>
        <v/>
      </c>
      <c r="V143" t="str">
        <f>_xlfn.LET(
  _xlpm.result, _xlfn.XLOOKUP($B143, Result_Database!$A$2:$A$500, Result_Database!U$2:U$500),
  _xlfn.IFNA(_xlpm.result, "")
)</f>
        <v/>
      </c>
      <c r="W143" t="str">
        <f>_xlfn.LET(
  _xlpm.result, _xlfn.XLOOKUP($B143, Result_Database!$A$2:$A$500, Result_Database!V$2:V$500),
  _xlfn.IFNA(_xlpm.result, "")
)</f>
        <v/>
      </c>
      <c r="X143" t="str">
        <f>_xlfn.LET(
  _xlpm.result, _xlfn.XLOOKUP($B143, Result_Database!$A$2:$A$500, Result_Database!W$2:W$500),
  _xlfn.IFNA(_xlpm.result, "")
)</f>
        <v/>
      </c>
      <c r="Y143" t="str">
        <f>_xlfn.LET(
  _xlpm.result, _xlfn.XLOOKUP($B143, Result_Database!$A$2:$A$500, Result_Database!X$2:X$500),
  _xlfn.IFNA(_xlpm.result, "")
)</f>
        <v/>
      </c>
      <c r="Z143" t="str">
        <f>_xlfn.LET(
  _xlpm.result, _xlfn.XLOOKUP($B143, Result_Database!$A$2:$A$500, Result_Database!Y$2:Y$500),
  _xlfn.IFNA(_xlpm.result, "")
)</f>
        <v/>
      </c>
      <c r="AA143" t="str">
        <f>_xlfn.LET(
  _xlpm.result, _xlfn.XLOOKUP($B143, Result_Database!$A$2:$A$500, Result_Database!Z$2:Z$500),
  _xlfn.IFNA(_xlpm.result, "")
)</f>
        <v/>
      </c>
      <c r="AB143" t="str">
        <f>_xlfn.LET(
  _xlpm.result, _xlfn.XLOOKUP($B143, Result_Database!$A$2:$A$500, Result_Database!AA$2:AA$500),
  _xlfn.IFNA(_xlpm.result, "")
)</f>
        <v/>
      </c>
      <c r="AC143" t="str">
        <f>_xlfn.LET(
  _xlpm.result, _xlfn.XLOOKUP($B143, Result_Database!$A$2:$A$500, Result_Database!AB$2:AB$500),
  _xlfn.IFNA(_xlpm.result, "")
)</f>
        <v/>
      </c>
      <c r="AD143" t="str">
        <f>_xlfn.LET(
  _xlpm.result, _xlfn.XLOOKUP($B143, Result_Database!$A$2:$A$500, Result_Database!AC$2:AC$500),
  _xlfn.IFNA(_xlpm.result, "")
)</f>
        <v/>
      </c>
      <c r="AE143" t="str">
        <f>_xlfn.LET(
  _xlpm.result, _xlfn.XLOOKUP($B143, Result_Database!$A$2:$A$500, Result_Database!AD$2:AD$500),
  _xlfn.IFNA(_xlpm.result, "")
)</f>
        <v/>
      </c>
      <c r="AF143" t="str">
        <f>_xlfn.LET(
  _xlpm.result, _xlfn.XLOOKUP($B143, Result_Database!$A$2:$A$500, Result_Database!AE$2:AE$500),
  _xlfn.IFNA(_xlpm.result, "")
)</f>
        <v/>
      </c>
      <c r="AG143" t="str">
        <f>_xlfn.LET(
  _xlpm.result, _xlfn.XLOOKUP($B143, Result_Database!$A$2:$A$500, Result_Database!AF$2:AF$500),
  _xlfn.IFNA(_xlpm.result, "")
)</f>
        <v/>
      </c>
      <c r="AH143" t="str">
        <f>_xlfn.LET(
  _xlpm.result, _xlfn.XLOOKUP($B143, Result_Database!$A$2:$A$500, Result_Database!AG$2:AG$500),
  _xlfn.IFNA(_xlpm.result, "")
)</f>
        <v/>
      </c>
      <c r="AI143" t="str">
        <f>_xlfn.LET(
  _xlpm.result, _xlfn.XLOOKUP($B143, Result_Database!$A$2:$A$500, Result_Database!AH$2:AH$500),
  _xlfn.IFNA(_xlpm.result, "")
)</f>
        <v/>
      </c>
      <c r="AJ143" t="str">
        <f>_xlfn.LET(
  _xlpm.result, _xlfn.XLOOKUP($B143, Result_Database!$A$2:$A$500, Result_Database!AI$2:AI$500),
  _xlfn.IFNA(_xlpm.result, "")
)</f>
        <v/>
      </c>
      <c r="AK143" t="str">
        <f>_xlfn.LET(
  _xlpm.result, _xlfn.XLOOKUP($B143, Result_Database!$A$2:$A$500, Result_Database!AJ$2:AJ$500),
  _xlfn.IFNA(_xlpm.result, "")
)</f>
        <v/>
      </c>
      <c r="AL143" t="str">
        <f>_xlfn.LET(
  _xlpm.result, _xlfn.XLOOKUP($B143, Result_Database!$A$2:$A$500, Result_Database!AK$2:AK$500),
  _xlfn.IFNA(_xlpm.result, "")
)</f>
        <v/>
      </c>
      <c r="AM14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4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4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4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4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4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4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4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4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43" t="str">
        <f>IF(SUM(Table5[[#This Row],[A1]:[C6]])&lt;&gt;0,SUM(Table5[[#This Row],[A1]:[C6]]),"")</f>
        <v/>
      </c>
      <c r="AW143" t="str">
        <f>IF(SUM(Table5[[#This Row],[D7]:[F9]])=0,"",SUM(Table5[[#This Row],[D7]:[F9]]))</f>
        <v/>
      </c>
      <c r="AX14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4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4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4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4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4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43" t="str">
        <f>IF(COUNTIF(Table5[[#This Row],[English Language]:[Electrical/ Electronics]],"WITHHELD")=0,"",COUNTIF(Table5[[#This Row],[English Language]:[Electrical/ Electronics]],"WITHHELD"))</f>
        <v/>
      </c>
      <c r="BE143" t="str">
        <f>IF(SUM(Table5[[#This Row],[NO OF CREDITS]:[BELOW CREDITS]])=0,"",SUM(Table5[[#This Row],[NO OF CREDITS]:[BELOW CREDITS]]))</f>
        <v/>
      </c>
    </row>
    <row r="144" spans="1:57" x14ac:dyDescent="0.3">
      <c r="A144" t="str">
        <f>IF(B144&lt;&gt;"",COUNTA($B$6:B144),"")</f>
        <v/>
      </c>
      <c r="B144" t="str">
        <f>IF(Result_Database!A140="","",Result_Database!A140)</f>
        <v/>
      </c>
      <c r="C144" t="str">
        <f>_xlfn.LET(
_xlpm.result,_xlfn.XLOOKUP($B144,Result_Database!$A$2:$A$500,Result_Database!$B$2:$B$500),
_xlfn.IFNA(_xlpm.result,"")
)</f>
        <v/>
      </c>
      <c r="D144" t="str">
        <f>_xlfn.LET(
  _xlpm.result, _xlfn.XLOOKUP($B144, Result_Database!$A$2:$A$500, Result_Database!C$2:C$500),
  _xlfn.IFNA(_xlpm.result, "")
)</f>
        <v/>
      </c>
      <c r="E144" t="str">
        <f>_xlfn.LET(
  _xlpm.result, _xlfn.XLOOKUP($B144, Result_Database!$A$2:$A$500, Result_Database!D$2:D$500),
  _xlfn.IFNA(_xlpm.result, "")
)</f>
        <v/>
      </c>
      <c r="F144" t="str">
        <f>_xlfn.LET(
  _xlpm.result, _xlfn.XLOOKUP($B144, Result_Database!$A$2:$A$500, Result_Database!E$2:E$500),
  _xlfn.IFNA(_xlpm.result, "")
)</f>
        <v/>
      </c>
      <c r="G144" t="str">
        <f>_xlfn.LET(
  _xlpm.result, _xlfn.XLOOKUP($B144, Result_Database!$A$2:$A$500, Result_Database!F$2:F$500),
  _xlfn.IFNA(_xlpm.result, "")
)</f>
        <v/>
      </c>
      <c r="H144" t="str">
        <f>_xlfn.LET(
  _xlpm.result, _xlfn.XLOOKUP($B144, Result_Database!$A$2:$A$500, Result_Database!G$2:G$500),
  _xlfn.IFNA(_xlpm.result, "")
)</f>
        <v/>
      </c>
      <c r="I144" t="str">
        <f>_xlfn.LET(
  _xlpm.result, _xlfn.XLOOKUP($B144, Result_Database!$A$2:$A$500, Result_Database!H$2:H$500),
  _xlfn.IFNA(_xlpm.result, "")
)</f>
        <v/>
      </c>
      <c r="J144" t="str">
        <f>_xlfn.LET(
  _xlpm.result, _xlfn.XLOOKUP($B144, Result_Database!$A$2:$A$500, Result_Database!I$2:I$500),
  _xlfn.IFNA(_xlpm.result, "")
)</f>
        <v/>
      </c>
      <c r="K144" t="str">
        <f>_xlfn.LET(
  _xlpm.result, _xlfn.XLOOKUP($B144, Result_Database!$A$2:$A$500, Result_Database!J$2:J$500),
  _xlfn.IFNA(_xlpm.result, "")
)</f>
        <v/>
      </c>
      <c r="L144" t="str">
        <f>_xlfn.LET(
  _xlpm.result, _xlfn.XLOOKUP($B144, Result_Database!$A$2:$A$500, Result_Database!K$2:K$500),
  _xlfn.IFNA(_xlpm.result, "")
)</f>
        <v/>
      </c>
      <c r="M144" t="str">
        <f>_xlfn.LET(
  _xlpm.result, _xlfn.XLOOKUP($B144, Result_Database!$A$2:$A$500, Result_Database!L$2:L$500),
  _xlfn.IFNA(_xlpm.result, "")
)</f>
        <v/>
      </c>
      <c r="N144" t="str">
        <f>_xlfn.LET(
  _xlpm.result, _xlfn.XLOOKUP($B144, Result_Database!$A$2:$A$500, Result_Database!M$2:M$500),
  _xlfn.IFNA(_xlpm.result, "")
)</f>
        <v/>
      </c>
      <c r="O144" t="str">
        <f>_xlfn.LET(
  _xlpm.result, _xlfn.XLOOKUP($B144, Result_Database!$A$2:$A$500, Result_Database!N$2:N$500),
  _xlfn.IFNA(_xlpm.result, "")
)</f>
        <v/>
      </c>
      <c r="P144" t="str">
        <f>_xlfn.LET(
  _xlpm.result, _xlfn.XLOOKUP($B144, Result_Database!$A$2:$A$500, Result_Database!O$2:O$500),
  _xlfn.IFNA(_xlpm.result, "")
)</f>
        <v/>
      </c>
      <c r="Q144" t="str">
        <f>_xlfn.LET(
  _xlpm.result, _xlfn.XLOOKUP($B144, Result_Database!$A$2:$A$500, Result_Database!P$2:P$500),
  _xlfn.IFNA(_xlpm.result, "")
)</f>
        <v/>
      </c>
      <c r="R144" t="str">
        <f>_xlfn.LET(
  _xlpm.result, _xlfn.XLOOKUP($B144, Result_Database!$A$2:$A$500, Result_Database!Q$2:Q$500),
  _xlfn.IFNA(_xlpm.result, "")
)</f>
        <v/>
      </c>
      <c r="S144" t="str">
        <f>_xlfn.LET(
  _xlpm.result, _xlfn.XLOOKUP($B144, Result_Database!$A$2:$A$500, Result_Database!R$2:R$500),
  _xlfn.IFNA(_xlpm.result, "")
)</f>
        <v/>
      </c>
      <c r="T144" t="str">
        <f>_xlfn.LET(
  _xlpm.result, _xlfn.XLOOKUP($B144, Result_Database!$A$2:$A$500, Result_Database!S$2:S$500),
  _xlfn.IFNA(_xlpm.result, "")
)</f>
        <v/>
      </c>
      <c r="U144" t="str">
        <f>_xlfn.LET(
  _xlpm.result, _xlfn.XLOOKUP($B144, Result_Database!$A$2:$A$500, Result_Database!T$2:T$500),
  _xlfn.IFNA(_xlpm.result, "")
)</f>
        <v/>
      </c>
      <c r="V144" t="str">
        <f>_xlfn.LET(
  _xlpm.result, _xlfn.XLOOKUP($B144, Result_Database!$A$2:$A$500, Result_Database!U$2:U$500),
  _xlfn.IFNA(_xlpm.result, "")
)</f>
        <v/>
      </c>
      <c r="W144" t="str">
        <f>_xlfn.LET(
  _xlpm.result, _xlfn.XLOOKUP($B144, Result_Database!$A$2:$A$500, Result_Database!V$2:V$500),
  _xlfn.IFNA(_xlpm.result, "")
)</f>
        <v/>
      </c>
      <c r="X144" t="str">
        <f>_xlfn.LET(
  _xlpm.result, _xlfn.XLOOKUP($B144, Result_Database!$A$2:$A$500, Result_Database!W$2:W$500),
  _xlfn.IFNA(_xlpm.result, "")
)</f>
        <v/>
      </c>
      <c r="Y144" t="str">
        <f>_xlfn.LET(
  _xlpm.result, _xlfn.XLOOKUP($B144, Result_Database!$A$2:$A$500, Result_Database!X$2:X$500),
  _xlfn.IFNA(_xlpm.result, "")
)</f>
        <v/>
      </c>
      <c r="Z144" t="str">
        <f>_xlfn.LET(
  _xlpm.result, _xlfn.XLOOKUP($B144, Result_Database!$A$2:$A$500, Result_Database!Y$2:Y$500),
  _xlfn.IFNA(_xlpm.result, "")
)</f>
        <v/>
      </c>
      <c r="AA144" t="str">
        <f>_xlfn.LET(
  _xlpm.result, _xlfn.XLOOKUP($B144, Result_Database!$A$2:$A$500, Result_Database!Z$2:Z$500),
  _xlfn.IFNA(_xlpm.result, "")
)</f>
        <v/>
      </c>
      <c r="AB144" t="str">
        <f>_xlfn.LET(
  _xlpm.result, _xlfn.XLOOKUP($B144, Result_Database!$A$2:$A$500, Result_Database!AA$2:AA$500),
  _xlfn.IFNA(_xlpm.result, "")
)</f>
        <v/>
      </c>
      <c r="AC144" t="str">
        <f>_xlfn.LET(
  _xlpm.result, _xlfn.XLOOKUP($B144, Result_Database!$A$2:$A$500, Result_Database!AB$2:AB$500),
  _xlfn.IFNA(_xlpm.result, "")
)</f>
        <v/>
      </c>
      <c r="AD144" t="str">
        <f>_xlfn.LET(
  _xlpm.result, _xlfn.XLOOKUP($B144, Result_Database!$A$2:$A$500, Result_Database!AC$2:AC$500),
  _xlfn.IFNA(_xlpm.result, "")
)</f>
        <v/>
      </c>
      <c r="AE144" t="str">
        <f>_xlfn.LET(
  _xlpm.result, _xlfn.XLOOKUP($B144, Result_Database!$A$2:$A$500, Result_Database!AD$2:AD$500),
  _xlfn.IFNA(_xlpm.result, "")
)</f>
        <v/>
      </c>
      <c r="AF144" t="str">
        <f>_xlfn.LET(
  _xlpm.result, _xlfn.XLOOKUP($B144, Result_Database!$A$2:$A$500, Result_Database!AE$2:AE$500),
  _xlfn.IFNA(_xlpm.result, "")
)</f>
        <v/>
      </c>
      <c r="AG144" t="str">
        <f>_xlfn.LET(
  _xlpm.result, _xlfn.XLOOKUP($B144, Result_Database!$A$2:$A$500, Result_Database!AF$2:AF$500),
  _xlfn.IFNA(_xlpm.result, "")
)</f>
        <v/>
      </c>
      <c r="AH144" t="str">
        <f>_xlfn.LET(
  _xlpm.result, _xlfn.XLOOKUP($B144, Result_Database!$A$2:$A$500, Result_Database!AG$2:AG$500),
  _xlfn.IFNA(_xlpm.result, "")
)</f>
        <v/>
      </c>
      <c r="AI144" t="str">
        <f>_xlfn.LET(
  _xlpm.result, _xlfn.XLOOKUP($B144, Result_Database!$A$2:$A$500, Result_Database!AH$2:AH$500),
  _xlfn.IFNA(_xlpm.result, "")
)</f>
        <v/>
      </c>
      <c r="AJ144" t="str">
        <f>_xlfn.LET(
  _xlpm.result, _xlfn.XLOOKUP($B144, Result_Database!$A$2:$A$500, Result_Database!AI$2:AI$500),
  _xlfn.IFNA(_xlpm.result, "")
)</f>
        <v/>
      </c>
      <c r="AK144" t="str">
        <f>_xlfn.LET(
  _xlpm.result, _xlfn.XLOOKUP($B144, Result_Database!$A$2:$A$500, Result_Database!AJ$2:AJ$500),
  _xlfn.IFNA(_xlpm.result, "")
)</f>
        <v/>
      </c>
      <c r="AL144" t="str">
        <f>_xlfn.LET(
  _xlpm.result, _xlfn.XLOOKUP($B144, Result_Database!$A$2:$A$500, Result_Database!AK$2:AK$500),
  _xlfn.IFNA(_xlpm.result, "")
)</f>
        <v/>
      </c>
      <c r="AM14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4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4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4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4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4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4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4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4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44" t="str">
        <f>IF(SUM(Table5[[#This Row],[A1]:[C6]])&lt;&gt;0,SUM(Table5[[#This Row],[A1]:[C6]]),"")</f>
        <v/>
      </c>
      <c r="AW144" t="str">
        <f>IF(SUM(Table5[[#This Row],[D7]:[F9]])=0,"",SUM(Table5[[#This Row],[D7]:[F9]]))</f>
        <v/>
      </c>
      <c r="AX14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4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4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4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4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4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44" t="str">
        <f>IF(COUNTIF(Table5[[#This Row],[English Language]:[Electrical/ Electronics]],"WITHHELD")=0,"",COUNTIF(Table5[[#This Row],[English Language]:[Electrical/ Electronics]],"WITHHELD"))</f>
        <v/>
      </c>
      <c r="BE144" t="str">
        <f>IF(SUM(Table5[[#This Row],[NO OF CREDITS]:[BELOW CREDITS]])=0,"",SUM(Table5[[#This Row],[NO OF CREDITS]:[BELOW CREDITS]]))</f>
        <v/>
      </c>
    </row>
    <row r="145" spans="1:57" x14ac:dyDescent="0.3">
      <c r="A145" t="str">
        <f>IF(B145&lt;&gt;"",COUNTA($B$6:B145),"")</f>
        <v/>
      </c>
      <c r="B145" t="str">
        <f>IF(Result_Database!A141="","",Result_Database!A141)</f>
        <v/>
      </c>
      <c r="C145" t="str">
        <f>_xlfn.LET(
_xlpm.result,_xlfn.XLOOKUP($B145,Result_Database!$A$2:$A$500,Result_Database!$B$2:$B$500),
_xlfn.IFNA(_xlpm.result,"")
)</f>
        <v/>
      </c>
      <c r="D145" t="str">
        <f>_xlfn.LET(
  _xlpm.result, _xlfn.XLOOKUP($B145, Result_Database!$A$2:$A$500, Result_Database!C$2:C$500),
  _xlfn.IFNA(_xlpm.result, "")
)</f>
        <v/>
      </c>
      <c r="E145" t="str">
        <f>_xlfn.LET(
  _xlpm.result, _xlfn.XLOOKUP($B145, Result_Database!$A$2:$A$500, Result_Database!D$2:D$500),
  _xlfn.IFNA(_xlpm.result, "")
)</f>
        <v/>
      </c>
      <c r="F145" t="str">
        <f>_xlfn.LET(
  _xlpm.result, _xlfn.XLOOKUP($B145, Result_Database!$A$2:$A$500, Result_Database!E$2:E$500),
  _xlfn.IFNA(_xlpm.result, "")
)</f>
        <v/>
      </c>
      <c r="G145" t="str">
        <f>_xlfn.LET(
  _xlpm.result, _xlfn.XLOOKUP($B145, Result_Database!$A$2:$A$500, Result_Database!F$2:F$500),
  _xlfn.IFNA(_xlpm.result, "")
)</f>
        <v/>
      </c>
      <c r="H145" t="str">
        <f>_xlfn.LET(
  _xlpm.result, _xlfn.XLOOKUP($B145, Result_Database!$A$2:$A$500, Result_Database!G$2:G$500),
  _xlfn.IFNA(_xlpm.result, "")
)</f>
        <v/>
      </c>
      <c r="I145" t="str">
        <f>_xlfn.LET(
  _xlpm.result, _xlfn.XLOOKUP($B145, Result_Database!$A$2:$A$500, Result_Database!H$2:H$500),
  _xlfn.IFNA(_xlpm.result, "")
)</f>
        <v/>
      </c>
      <c r="J145" t="str">
        <f>_xlfn.LET(
  _xlpm.result, _xlfn.XLOOKUP($B145, Result_Database!$A$2:$A$500, Result_Database!I$2:I$500),
  _xlfn.IFNA(_xlpm.result, "")
)</f>
        <v/>
      </c>
      <c r="K145" t="str">
        <f>_xlfn.LET(
  _xlpm.result, _xlfn.XLOOKUP($B145, Result_Database!$A$2:$A$500, Result_Database!J$2:J$500),
  _xlfn.IFNA(_xlpm.result, "")
)</f>
        <v/>
      </c>
      <c r="L145" t="str">
        <f>_xlfn.LET(
  _xlpm.result, _xlfn.XLOOKUP($B145, Result_Database!$A$2:$A$500, Result_Database!K$2:K$500),
  _xlfn.IFNA(_xlpm.result, "")
)</f>
        <v/>
      </c>
      <c r="M145" t="str">
        <f>_xlfn.LET(
  _xlpm.result, _xlfn.XLOOKUP($B145, Result_Database!$A$2:$A$500, Result_Database!L$2:L$500),
  _xlfn.IFNA(_xlpm.result, "")
)</f>
        <v/>
      </c>
      <c r="N145" t="str">
        <f>_xlfn.LET(
  _xlpm.result, _xlfn.XLOOKUP($B145, Result_Database!$A$2:$A$500, Result_Database!M$2:M$500),
  _xlfn.IFNA(_xlpm.result, "")
)</f>
        <v/>
      </c>
      <c r="O145" t="str">
        <f>_xlfn.LET(
  _xlpm.result, _xlfn.XLOOKUP($B145, Result_Database!$A$2:$A$500, Result_Database!N$2:N$500),
  _xlfn.IFNA(_xlpm.result, "")
)</f>
        <v/>
      </c>
      <c r="P145" t="str">
        <f>_xlfn.LET(
  _xlpm.result, _xlfn.XLOOKUP($B145, Result_Database!$A$2:$A$500, Result_Database!O$2:O$500),
  _xlfn.IFNA(_xlpm.result, "")
)</f>
        <v/>
      </c>
      <c r="Q145" t="str">
        <f>_xlfn.LET(
  _xlpm.result, _xlfn.XLOOKUP($B145, Result_Database!$A$2:$A$500, Result_Database!P$2:P$500),
  _xlfn.IFNA(_xlpm.result, "")
)</f>
        <v/>
      </c>
      <c r="R145" t="str">
        <f>_xlfn.LET(
  _xlpm.result, _xlfn.XLOOKUP($B145, Result_Database!$A$2:$A$500, Result_Database!Q$2:Q$500),
  _xlfn.IFNA(_xlpm.result, "")
)</f>
        <v/>
      </c>
      <c r="S145" t="str">
        <f>_xlfn.LET(
  _xlpm.result, _xlfn.XLOOKUP($B145, Result_Database!$A$2:$A$500, Result_Database!R$2:R$500),
  _xlfn.IFNA(_xlpm.result, "")
)</f>
        <v/>
      </c>
      <c r="T145" t="str">
        <f>_xlfn.LET(
  _xlpm.result, _xlfn.XLOOKUP($B145, Result_Database!$A$2:$A$500, Result_Database!S$2:S$500),
  _xlfn.IFNA(_xlpm.result, "")
)</f>
        <v/>
      </c>
      <c r="U145" t="str">
        <f>_xlfn.LET(
  _xlpm.result, _xlfn.XLOOKUP($B145, Result_Database!$A$2:$A$500, Result_Database!T$2:T$500),
  _xlfn.IFNA(_xlpm.result, "")
)</f>
        <v/>
      </c>
      <c r="V145" t="str">
        <f>_xlfn.LET(
  _xlpm.result, _xlfn.XLOOKUP($B145, Result_Database!$A$2:$A$500, Result_Database!U$2:U$500),
  _xlfn.IFNA(_xlpm.result, "")
)</f>
        <v/>
      </c>
      <c r="W145" t="str">
        <f>_xlfn.LET(
  _xlpm.result, _xlfn.XLOOKUP($B145, Result_Database!$A$2:$A$500, Result_Database!V$2:V$500),
  _xlfn.IFNA(_xlpm.result, "")
)</f>
        <v/>
      </c>
      <c r="X145" t="str">
        <f>_xlfn.LET(
  _xlpm.result, _xlfn.XLOOKUP($B145, Result_Database!$A$2:$A$500, Result_Database!W$2:W$500),
  _xlfn.IFNA(_xlpm.result, "")
)</f>
        <v/>
      </c>
      <c r="Y145" t="str">
        <f>_xlfn.LET(
  _xlpm.result, _xlfn.XLOOKUP($B145, Result_Database!$A$2:$A$500, Result_Database!X$2:X$500),
  _xlfn.IFNA(_xlpm.result, "")
)</f>
        <v/>
      </c>
      <c r="Z145" t="str">
        <f>_xlfn.LET(
  _xlpm.result, _xlfn.XLOOKUP($B145, Result_Database!$A$2:$A$500, Result_Database!Y$2:Y$500),
  _xlfn.IFNA(_xlpm.result, "")
)</f>
        <v/>
      </c>
      <c r="AA145" t="str">
        <f>_xlfn.LET(
  _xlpm.result, _xlfn.XLOOKUP($B145, Result_Database!$A$2:$A$500, Result_Database!Z$2:Z$500),
  _xlfn.IFNA(_xlpm.result, "")
)</f>
        <v/>
      </c>
      <c r="AB145" t="str">
        <f>_xlfn.LET(
  _xlpm.result, _xlfn.XLOOKUP($B145, Result_Database!$A$2:$A$500, Result_Database!AA$2:AA$500),
  _xlfn.IFNA(_xlpm.result, "")
)</f>
        <v/>
      </c>
      <c r="AC145" t="str">
        <f>_xlfn.LET(
  _xlpm.result, _xlfn.XLOOKUP($B145, Result_Database!$A$2:$A$500, Result_Database!AB$2:AB$500),
  _xlfn.IFNA(_xlpm.result, "")
)</f>
        <v/>
      </c>
      <c r="AD145" t="str">
        <f>_xlfn.LET(
  _xlpm.result, _xlfn.XLOOKUP($B145, Result_Database!$A$2:$A$500, Result_Database!AC$2:AC$500),
  _xlfn.IFNA(_xlpm.result, "")
)</f>
        <v/>
      </c>
      <c r="AE145" t="str">
        <f>_xlfn.LET(
  _xlpm.result, _xlfn.XLOOKUP($B145, Result_Database!$A$2:$A$500, Result_Database!AD$2:AD$500),
  _xlfn.IFNA(_xlpm.result, "")
)</f>
        <v/>
      </c>
      <c r="AF145" t="str">
        <f>_xlfn.LET(
  _xlpm.result, _xlfn.XLOOKUP($B145, Result_Database!$A$2:$A$500, Result_Database!AE$2:AE$500),
  _xlfn.IFNA(_xlpm.result, "")
)</f>
        <v/>
      </c>
      <c r="AG145" t="str">
        <f>_xlfn.LET(
  _xlpm.result, _xlfn.XLOOKUP($B145, Result_Database!$A$2:$A$500, Result_Database!AF$2:AF$500),
  _xlfn.IFNA(_xlpm.result, "")
)</f>
        <v/>
      </c>
      <c r="AH145" t="str">
        <f>_xlfn.LET(
  _xlpm.result, _xlfn.XLOOKUP($B145, Result_Database!$A$2:$A$500, Result_Database!AG$2:AG$500),
  _xlfn.IFNA(_xlpm.result, "")
)</f>
        <v/>
      </c>
      <c r="AI145" t="str">
        <f>_xlfn.LET(
  _xlpm.result, _xlfn.XLOOKUP($B145, Result_Database!$A$2:$A$500, Result_Database!AH$2:AH$500),
  _xlfn.IFNA(_xlpm.result, "")
)</f>
        <v/>
      </c>
      <c r="AJ145" t="str">
        <f>_xlfn.LET(
  _xlpm.result, _xlfn.XLOOKUP($B145, Result_Database!$A$2:$A$500, Result_Database!AI$2:AI$500),
  _xlfn.IFNA(_xlpm.result, "")
)</f>
        <v/>
      </c>
      <c r="AK145" t="str">
        <f>_xlfn.LET(
  _xlpm.result, _xlfn.XLOOKUP($B145, Result_Database!$A$2:$A$500, Result_Database!AJ$2:AJ$500),
  _xlfn.IFNA(_xlpm.result, "")
)</f>
        <v/>
      </c>
      <c r="AL145" t="str">
        <f>_xlfn.LET(
  _xlpm.result, _xlfn.XLOOKUP($B145, Result_Database!$A$2:$A$500, Result_Database!AK$2:AK$500),
  _xlfn.IFNA(_xlpm.result, "")
)</f>
        <v/>
      </c>
      <c r="AM14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4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4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4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4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4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4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4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4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45" t="str">
        <f>IF(SUM(Table5[[#This Row],[A1]:[C6]])&lt;&gt;0,SUM(Table5[[#This Row],[A1]:[C6]]),"")</f>
        <v/>
      </c>
      <c r="AW145" t="str">
        <f>IF(SUM(Table5[[#This Row],[D7]:[F9]])=0,"",SUM(Table5[[#This Row],[D7]:[F9]]))</f>
        <v/>
      </c>
      <c r="AX14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4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4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4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4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4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45" t="str">
        <f>IF(COUNTIF(Table5[[#This Row],[English Language]:[Electrical/ Electronics]],"WITHHELD")=0,"",COUNTIF(Table5[[#This Row],[English Language]:[Electrical/ Electronics]],"WITHHELD"))</f>
        <v/>
      </c>
      <c r="BE145" t="str">
        <f>IF(SUM(Table5[[#This Row],[NO OF CREDITS]:[BELOW CREDITS]])=0,"",SUM(Table5[[#This Row],[NO OF CREDITS]:[BELOW CREDITS]]))</f>
        <v/>
      </c>
    </row>
    <row r="146" spans="1:57" x14ac:dyDescent="0.3">
      <c r="A146" t="str">
        <f>IF(B146&lt;&gt;"",COUNTA($B$6:B146),"")</f>
        <v/>
      </c>
      <c r="B146" t="str">
        <f>IF(Result_Database!A142="","",Result_Database!A142)</f>
        <v/>
      </c>
      <c r="C146" t="str">
        <f>_xlfn.LET(
_xlpm.result,_xlfn.XLOOKUP($B146,Result_Database!$A$2:$A$500,Result_Database!$B$2:$B$500),
_xlfn.IFNA(_xlpm.result,"")
)</f>
        <v/>
      </c>
      <c r="D146" t="str">
        <f>_xlfn.LET(
  _xlpm.result, _xlfn.XLOOKUP($B146, Result_Database!$A$2:$A$500, Result_Database!C$2:C$500),
  _xlfn.IFNA(_xlpm.result, "")
)</f>
        <v/>
      </c>
      <c r="E146" t="str">
        <f>_xlfn.LET(
  _xlpm.result, _xlfn.XLOOKUP($B146, Result_Database!$A$2:$A$500, Result_Database!D$2:D$500),
  _xlfn.IFNA(_xlpm.result, "")
)</f>
        <v/>
      </c>
      <c r="F146" t="str">
        <f>_xlfn.LET(
  _xlpm.result, _xlfn.XLOOKUP($B146, Result_Database!$A$2:$A$500, Result_Database!E$2:E$500),
  _xlfn.IFNA(_xlpm.result, "")
)</f>
        <v/>
      </c>
      <c r="G146" t="str">
        <f>_xlfn.LET(
  _xlpm.result, _xlfn.XLOOKUP($B146, Result_Database!$A$2:$A$500, Result_Database!F$2:F$500),
  _xlfn.IFNA(_xlpm.result, "")
)</f>
        <v/>
      </c>
      <c r="H146" t="str">
        <f>_xlfn.LET(
  _xlpm.result, _xlfn.XLOOKUP($B146, Result_Database!$A$2:$A$500, Result_Database!G$2:G$500),
  _xlfn.IFNA(_xlpm.result, "")
)</f>
        <v/>
      </c>
      <c r="I146" t="str">
        <f>_xlfn.LET(
  _xlpm.result, _xlfn.XLOOKUP($B146, Result_Database!$A$2:$A$500, Result_Database!H$2:H$500),
  _xlfn.IFNA(_xlpm.result, "")
)</f>
        <v/>
      </c>
      <c r="J146" t="str">
        <f>_xlfn.LET(
  _xlpm.result, _xlfn.XLOOKUP($B146, Result_Database!$A$2:$A$500, Result_Database!I$2:I$500),
  _xlfn.IFNA(_xlpm.result, "")
)</f>
        <v/>
      </c>
      <c r="K146" t="str">
        <f>_xlfn.LET(
  _xlpm.result, _xlfn.XLOOKUP($B146, Result_Database!$A$2:$A$500, Result_Database!J$2:J$500),
  _xlfn.IFNA(_xlpm.result, "")
)</f>
        <v/>
      </c>
      <c r="L146" t="str">
        <f>_xlfn.LET(
  _xlpm.result, _xlfn.XLOOKUP($B146, Result_Database!$A$2:$A$500, Result_Database!K$2:K$500),
  _xlfn.IFNA(_xlpm.result, "")
)</f>
        <v/>
      </c>
      <c r="M146" t="str">
        <f>_xlfn.LET(
  _xlpm.result, _xlfn.XLOOKUP($B146, Result_Database!$A$2:$A$500, Result_Database!L$2:L$500),
  _xlfn.IFNA(_xlpm.result, "")
)</f>
        <v/>
      </c>
      <c r="N146" t="str">
        <f>_xlfn.LET(
  _xlpm.result, _xlfn.XLOOKUP($B146, Result_Database!$A$2:$A$500, Result_Database!M$2:M$500),
  _xlfn.IFNA(_xlpm.result, "")
)</f>
        <v/>
      </c>
      <c r="O146" t="str">
        <f>_xlfn.LET(
  _xlpm.result, _xlfn.XLOOKUP($B146, Result_Database!$A$2:$A$500, Result_Database!N$2:N$500),
  _xlfn.IFNA(_xlpm.result, "")
)</f>
        <v/>
      </c>
      <c r="P146" t="str">
        <f>_xlfn.LET(
  _xlpm.result, _xlfn.XLOOKUP($B146, Result_Database!$A$2:$A$500, Result_Database!O$2:O$500),
  _xlfn.IFNA(_xlpm.result, "")
)</f>
        <v/>
      </c>
      <c r="Q146" t="str">
        <f>_xlfn.LET(
  _xlpm.result, _xlfn.XLOOKUP($B146, Result_Database!$A$2:$A$500, Result_Database!P$2:P$500),
  _xlfn.IFNA(_xlpm.result, "")
)</f>
        <v/>
      </c>
      <c r="R146" t="str">
        <f>_xlfn.LET(
  _xlpm.result, _xlfn.XLOOKUP($B146, Result_Database!$A$2:$A$500, Result_Database!Q$2:Q$500),
  _xlfn.IFNA(_xlpm.result, "")
)</f>
        <v/>
      </c>
      <c r="S146" t="str">
        <f>_xlfn.LET(
  _xlpm.result, _xlfn.XLOOKUP($B146, Result_Database!$A$2:$A$500, Result_Database!R$2:R$500),
  _xlfn.IFNA(_xlpm.result, "")
)</f>
        <v/>
      </c>
      <c r="T146" t="str">
        <f>_xlfn.LET(
  _xlpm.result, _xlfn.XLOOKUP($B146, Result_Database!$A$2:$A$500, Result_Database!S$2:S$500),
  _xlfn.IFNA(_xlpm.result, "")
)</f>
        <v/>
      </c>
      <c r="U146" t="str">
        <f>_xlfn.LET(
  _xlpm.result, _xlfn.XLOOKUP($B146, Result_Database!$A$2:$A$500, Result_Database!T$2:T$500),
  _xlfn.IFNA(_xlpm.result, "")
)</f>
        <v/>
      </c>
      <c r="V146" t="str">
        <f>_xlfn.LET(
  _xlpm.result, _xlfn.XLOOKUP($B146, Result_Database!$A$2:$A$500, Result_Database!U$2:U$500),
  _xlfn.IFNA(_xlpm.result, "")
)</f>
        <v/>
      </c>
      <c r="W146" t="str">
        <f>_xlfn.LET(
  _xlpm.result, _xlfn.XLOOKUP($B146, Result_Database!$A$2:$A$500, Result_Database!V$2:V$500),
  _xlfn.IFNA(_xlpm.result, "")
)</f>
        <v/>
      </c>
      <c r="X146" t="str">
        <f>_xlfn.LET(
  _xlpm.result, _xlfn.XLOOKUP($B146, Result_Database!$A$2:$A$500, Result_Database!W$2:W$500),
  _xlfn.IFNA(_xlpm.result, "")
)</f>
        <v/>
      </c>
      <c r="Y146" t="str">
        <f>_xlfn.LET(
  _xlpm.result, _xlfn.XLOOKUP($B146, Result_Database!$A$2:$A$500, Result_Database!X$2:X$500),
  _xlfn.IFNA(_xlpm.result, "")
)</f>
        <v/>
      </c>
      <c r="Z146" t="str">
        <f>_xlfn.LET(
  _xlpm.result, _xlfn.XLOOKUP($B146, Result_Database!$A$2:$A$500, Result_Database!Y$2:Y$500),
  _xlfn.IFNA(_xlpm.result, "")
)</f>
        <v/>
      </c>
      <c r="AA146" t="str">
        <f>_xlfn.LET(
  _xlpm.result, _xlfn.XLOOKUP($B146, Result_Database!$A$2:$A$500, Result_Database!Z$2:Z$500),
  _xlfn.IFNA(_xlpm.result, "")
)</f>
        <v/>
      </c>
      <c r="AB146" t="str">
        <f>_xlfn.LET(
  _xlpm.result, _xlfn.XLOOKUP($B146, Result_Database!$A$2:$A$500, Result_Database!AA$2:AA$500),
  _xlfn.IFNA(_xlpm.result, "")
)</f>
        <v/>
      </c>
      <c r="AC146" t="str">
        <f>_xlfn.LET(
  _xlpm.result, _xlfn.XLOOKUP($B146, Result_Database!$A$2:$A$500, Result_Database!AB$2:AB$500),
  _xlfn.IFNA(_xlpm.result, "")
)</f>
        <v/>
      </c>
      <c r="AD146" t="str">
        <f>_xlfn.LET(
  _xlpm.result, _xlfn.XLOOKUP($B146, Result_Database!$A$2:$A$500, Result_Database!AC$2:AC$500),
  _xlfn.IFNA(_xlpm.result, "")
)</f>
        <v/>
      </c>
      <c r="AE146" t="str">
        <f>_xlfn.LET(
  _xlpm.result, _xlfn.XLOOKUP($B146, Result_Database!$A$2:$A$500, Result_Database!AD$2:AD$500),
  _xlfn.IFNA(_xlpm.result, "")
)</f>
        <v/>
      </c>
      <c r="AF146" t="str">
        <f>_xlfn.LET(
  _xlpm.result, _xlfn.XLOOKUP($B146, Result_Database!$A$2:$A$500, Result_Database!AE$2:AE$500),
  _xlfn.IFNA(_xlpm.result, "")
)</f>
        <v/>
      </c>
      <c r="AG146" t="str">
        <f>_xlfn.LET(
  _xlpm.result, _xlfn.XLOOKUP($B146, Result_Database!$A$2:$A$500, Result_Database!AF$2:AF$500),
  _xlfn.IFNA(_xlpm.result, "")
)</f>
        <v/>
      </c>
      <c r="AH146" t="str">
        <f>_xlfn.LET(
  _xlpm.result, _xlfn.XLOOKUP($B146, Result_Database!$A$2:$A$500, Result_Database!AG$2:AG$500),
  _xlfn.IFNA(_xlpm.result, "")
)</f>
        <v/>
      </c>
      <c r="AI146" t="str">
        <f>_xlfn.LET(
  _xlpm.result, _xlfn.XLOOKUP($B146, Result_Database!$A$2:$A$500, Result_Database!AH$2:AH$500),
  _xlfn.IFNA(_xlpm.result, "")
)</f>
        <v/>
      </c>
      <c r="AJ146" t="str">
        <f>_xlfn.LET(
  _xlpm.result, _xlfn.XLOOKUP($B146, Result_Database!$A$2:$A$500, Result_Database!AI$2:AI$500),
  _xlfn.IFNA(_xlpm.result, "")
)</f>
        <v/>
      </c>
      <c r="AK146" t="str">
        <f>_xlfn.LET(
  _xlpm.result, _xlfn.XLOOKUP($B146, Result_Database!$A$2:$A$500, Result_Database!AJ$2:AJ$500),
  _xlfn.IFNA(_xlpm.result, "")
)</f>
        <v/>
      </c>
      <c r="AL146" t="str">
        <f>_xlfn.LET(
  _xlpm.result, _xlfn.XLOOKUP($B146, Result_Database!$A$2:$A$500, Result_Database!AK$2:AK$500),
  _xlfn.IFNA(_xlpm.result, "")
)</f>
        <v/>
      </c>
      <c r="AM14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4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4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4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4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4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4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4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4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46" t="str">
        <f>IF(SUM(Table5[[#This Row],[A1]:[C6]])&lt;&gt;0,SUM(Table5[[#This Row],[A1]:[C6]]),"")</f>
        <v/>
      </c>
      <c r="AW146" t="str">
        <f>IF(SUM(Table5[[#This Row],[D7]:[F9]])=0,"",SUM(Table5[[#This Row],[D7]:[F9]]))</f>
        <v/>
      </c>
      <c r="AX14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4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4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4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4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4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46" t="str">
        <f>IF(COUNTIF(Table5[[#This Row],[English Language]:[Electrical/ Electronics]],"WITHHELD")=0,"",COUNTIF(Table5[[#This Row],[English Language]:[Electrical/ Electronics]],"WITHHELD"))</f>
        <v/>
      </c>
      <c r="BE146" t="str">
        <f>IF(SUM(Table5[[#This Row],[NO OF CREDITS]:[BELOW CREDITS]])=0,"",SUM(Table5[[#This Row],[NO OF CREDITS]:[BELOW CREDITS]]))</f>
        <v/>
      </c>
    </row>
    <row r="147" spans="1:57" x14ac:dyDescent="0.3">
      <c r="A147" t="str">
        <f>IF(B147&lt;&gt;"",COUNTA($B$6:B147),"")</f>
        <v/>
      </c>
      <c r="B147" t="str">
        <f>IF(Result_Database!A143="","",Result_Database!A143)</f>
        <v/>
      </c>
      <c r="C147" t="str">
        <f>_xlfn.LET(
_xlpm.result,_xlfn.XLOOKUP($B147,Result_Database!$A$2:$A$500,Result_Database!$B$2:$B$500),
_xlfn.IFNA(_xlpm.result,"")
)</f>
        <v/>
      </c>
      <c r="D147" t="str">
        <f>_xlfn.LET(
  _xlpm.result, _xlfn.XLOOKUP($B147, Result_Database!$A$2:$A$500, Result_Database!C$2:C$500),
  _xlfn.IFNA(_xlpm.result, "")
)</f>
        <v/>
      </c>
      <c r="E147" t="str">
        <f>_xlfn.LET(
  _xlpm.result, _xlfn.XLOOKUP($B147, Result_Database!$A$2:$A$500, Result_Database!D$2:D$500),
  _xlfn.IFNA(_xlpm.result, "")
)</f>
        <v/>
      </c>
      <c r="F147" t="str">
        <f>_xlfn.LET(
  _xlpm.result, _xlfn.XLOOKUP($B147, Result_Database!$A$2:$A$500, Result_Database!E$2:E$500),
  _xlfn.IFNA(_xlpm.result, "")
)</f>
        <v/>
      </c>
      <c r="G147" t="str">
        <f>_xlfn.LET(
  _xlpm.result, _xlfn.XLOOKUP($B147, Result_Database!$A$2:$A$500, Result_Database!F$2:F$500),
  _xlfn.IFNA(_xlpm.result, "")
)</f>
        <v/>
      </c>
      <c r="H147" t="str">
        <f>_xlfn.LET(
  _xlpm.result, _xlfn.XLOOKUP($B147, Result_Database!$A$2:$A$500, Result_Database!G$2:G$500),
  _xlfn.IFNA(_xlpm.result, "")
)</f>
        <v/>
      </c>
      <c r="I147" t="str">
        <f>_xlfn.LET(
  _xlpm.result, _xlfn.XLOOKUP($B147, Result_Database!$A$2:$A$500, Result_Database!H$2:H$500),
  _xlfn.IFNA(_xlpm.result, "")
)</f>
        <v/>
      </c>
      <c r="J147" t="str">
        <f>_xlfn.LET(
  _xlpm.result, _xlfn.XLOOKUP($B147, Result_Database!$A$2:$A$500, Result_Database!I$2:I$500),
  _xlfn.IFNA(_xlpm.result, "")
)</f>
        <v/>
      </c>
      <c r="K147" t="str">
        <f>_xlfn.LET(
  _xlpm.result, _xlfn.XLOOKUP($B147, Result_Database!$A$2:$A$500, Result_Database!J$2:J$500),
  _xlfn.IFNA(_xlpm.result, "")
)</f>
        <v/>
      </c>
      <c r="L147" t="str">
        <f>_xlfn.LET(
  _xlpm.result, _xlfn.XLOOKUP($B147, Result_Database!$A$2:$A$500, Result_Database!K$2:K$500),
  _xlfn.IFNA(_xlpm.result, "")
)</f>
        <v/>
      </c>
      <c r="M147" t="str">
        <f>_xlfn.LET(
  _xlpm.result, _xlfn.XLOOKUP($B147, Result_Database!$A$2:$A$500, Result_Database!L$2:L$500),
  _xlfn.IFNA(_xlpm.result, "")
)</f>
        <v/>
      </c>
      <c r="N147" t="str">
        <f>_xlfn.LET(
  _xlpm.result, _xlfn.XLOOKUP($B147, Result_Database!$A$2:$A$500, Result_Database!M$2:M$500),
  _xlfn.IFNA(_xlpm.result, "")
)</f>
        <v/>
      </c>
      <c r="O147" t="str">
        <f>_xlfn.LET(
  _xlpm.result, _xlfn.XLOOKUP($B147, Result_Database!$A$2:$A$500, Result_Database!N$2:N$500),
  _xlfn.IFNA(_xlpm.result, "")
)</f>
        <v/>
      </c>
      <c r="P147" t="str">
        <f>_xlfn.LET(
  _xlpm.result, _xlfn.XLOOKUP($B147, Result_Database!$A$2:$A$500, Result_Database!O$2:O$500),
  _xlfn.IFNA(_xlpm.result, "")
)</f>
        <v/>
      </c>
      <c r="Q147" t="str">
        <f>_xlfn.LET(
  _xlpm.result, _xlfn.XLOOKUP($B147, Result_Database!$A$2:$A$500, Result_Database!P$2:P$500),
  _xlfn.IFNA(_xlpm.result, "")
)</f>
        <v/>
      </c>
      <c r="R147" t="str">
        <f>_xlfn.LET(
  _xlpm.result, _xlfn.XLOOKUP($B147, Result_Database!$A$2:$A$500, Result_Database!Q$2:Q$500),
  _xlfn.IFNA(_xlpm.result, "")
)</f>
        <v/>
      </c>
      <c r="S147" t="str">
        <f>_xlfn.LET(
  _xlpm.result, _xlfn.XLOOKUP($B147, Result_Database!$A$2:$A$500, Result_Database!R$2:R$500),
  _xlfn.IFNA(_xlpm.result, "")
)</f>
        <v/>
      </c>
      <c r="T147" t="str">
        <f>_xlfn.LET(
  _xlpm.result, _xlfn.XLOOKUP($B147, Result_Database!$A$2:$A$500, Result_Database!S$2:S$500),
  _xlfn.IFNA(_xlpm.result, "")
)</f>
        <v/>
      </c>
      <c r="U147" t="str">
        <f>_xlfn.LET(
  _xlpm.result, _xlfn.XLOOKUP($B147, Result_Database!$A$2:$A$500, Result_Database!T$2:T$500),
  _xlfn.IFNA(_xlpm.result, "")
)</f>
        <v/>
      </c>
      <c r="V147" t="str">
        <f>_xlfn.LET(
  _xlpm.result, _xlfn.XLOOKUP($B147, Result_Database!$A$2:$A$500, Result_Database!U$2:U$500),
  _xlfn.IFNA(_xlpm.result, "")
)</f>
        <v/>
      </c>
      <c r="W147" t="str">
        <f>_xlfn.LET(
  _xlpm.result, _xlfn.XLOOKUP($B147, Result_Database!$A$2:$A$500, Result_Database!V$2:V$500),
  _xlfn.IFNA(_xlpm.result, "")
)</f>
        <v/>
      </c>
      <c r="X147" t="str">
        <f>_xlfn.LET(
  _xlpm.result, _xlfn.XLOOKUP($B147, Result_Database!$A$2:$A$500, Result_Database!W$2:W$500),
  _xlfn.IFNA(_xlpm.result, "")
)</f>
        <v/>
      </c>
      <c r="Y147" t="str">
        <f>_xlfn.LET(
  _xlpm.result, _xlfn.XLOOKUP($B147, Result_Database!$A$2:$A$500, Result_Database!X$2:X$500),
  _xlfn.IFNA(_xlpm.result, "")
)</f>
        <v/>
      </c>
      <c r="Z147" t="str">
        <f>_xlfn.LET(
  _xlpm.result, _xlfn.XLOOKUP($B147, Result_Database!$A$2:$A$500, Result_Database!Y$2:Y$500),
  _xlfn.IFNA(_xlpm.result, "")
)</f>
        <v/>
      </c>
      <c r="AA147" t="str">
        <f>_xlfn.LET(
  _xlpm.result, _xlfn.XLOOKUP($B147, Result_Database!$A$2:$A$500, Result_Database!Z$2:Z$500),
  _xlfn.IFNA(_xlpm.result, "")
)</f>
        <v/>
      </c>
      <c r="AB147" t="str">
        <f>_xlfn.LET(
  _xlpm.result, _xlfn.XLOOKUP($B147, Result_Database!$A$2:$A$500, Result_Database!AA$2:AA$500),
  _xlfn.IFNA(_xlpm.result, "")
)</f>
        <v/>
      </c>
      <c r="AC147" t="str">
        <f>_xlfn.LET(
  _xlpm.result, _xlfn.XLOOKUP($B147, Result_Database!$A$2:$A$500, Result_Database!AB$2:AB$500),
  _xlfn.IFNA(_xlpm.result, "")
)</f>
        <v/>
      </c>
      <c r="AD147" t="str">
        <f>_xlfn.LET(
  _xlpm.result, _xlfn.XLOOKUP($B147, Result_Database!$A$2:$A$500, Result_Database!AC$2:AC$500),
  _xlfn.IFNA(_xlpm.result, "")
)</f>
        <v/>
      </c>
      <c r="AE147" t="str">
        <f>_xlfn.LET(
  _xlpm.result, _xlfn.XLOOKUP($B147, Result_Database!$A$2:$A$500, Result_Database!AD$2:AD$500),
  _xlfn.IFNA(_xlpm.result, "")
)</f>
        <v/>
      </c>
      <c r="AF147" t="str">
        <f>_xlfn.LET(
  _xlpm.result, _xlfn.XLOOKUP($B147, Result_Database!$A$2:$A$500, Result_Database!AE$2:AE$500),
  _xlfn.IFNA(_xlpm.result, "")
)</f>
        <v/>
      </c>
      <c r="AG147" t="str">
        <f>_xlfn.LET(
  _xlpm.result, _xlfn.XLOOKUP($B147, Result_Database!$A$2:$A$500, Result_Database!AF$2:AF$500),
  _xlfn.IFNA(_xlpm.result, "")
)</f>
        <v/>
      </c>
      <c r="AH147" t="str">
        <f>_xlfn.LET(
  _xlpm.result, _xlfn.XLOOKUP($B147, Result_Database!$A$2:$A$500, Result_Database!AG$2:AG$500),
  _xlfn.IFNA(_xlpm.result, "")
)</f>
        <v/>
      </c>
      <c r="AI147" t="str">
        <f>_xlfn.LET(
  _xlpm.result, _xlfn.XLOOKUP($B147, Result_Database!$A$2:$A$500, Result_Database!AH$2:AH$500),
  _xlfn.IFNA(_xlpm.result, "")
)</f>
        <v/>
      </c>
      <c r="AJ147" t="str">
        <f>_xlfn.LET(
  _xlpm.result, _xlfn.XLOOKUP($B147, Result_Database!$A$2:$A$500, Result_Database!AI$2:AI$500),
  _xlfn.IFNA(_xlpm.result, "")
)</f>
        <v/>
      </c>
      <c r="AK147" t="str">
        <f>_xlfn.LET(
  _xlpm.result, _xlfn.XLOOKUP($B147, Result_Database!$A$2:$A$500, Result_Database!AJ$2:AJ$500),
  _xlfn.IFNA(_xlpm.result, "")
)</f>
        <v/>
      </c>
      <c r="AL147" t="str">
        <f>_xlfn.LET(
  _xlpm.result, _xlfn.XLOOKUP($B147, Result_Database!$A$2:$A$500, Result_Database!AK$2:AK$500),
  _xlfn.IFNA(_xlpm.result, "")
)</f>
        <v/>
      </c>
      <c r="AM14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4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4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4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4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4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4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4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4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47" t="str">
        <f>IF(SUM(Table5[[#This Row],[A1]:[C6]])&lt;&gt;0,SUM(Table5[[#This Row],[A1]:[C6]]),"")</f>
        <v/>
      </c>
      <c r="AW147" t="str">
        <f>IF(SUM(Table5[[#This Row],[D7]:[F9]])=0,"",SUM(Table5[[#This Row],[D7]:[F9]]))</f>
        <v/>
      </c>
      <c r="AX14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4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4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4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4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4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47" t="str">
        <f>IF(COUNTIF(Table5[[#This Row],[English Language]:[Electrical/ Electronics]],"WITHHELD")=0,"",COUNTIF(Table5[[#This Row],[English Language]:[Electrical/ Electronics]],"WITHHELD"))</f>
        <v/>
      </c>
      <c r="BE147" t="str">
        <f>IF(SUM(Table5[[#This Row],[NO OF CREDITS]:[BELOW CREDITS]])=0,"",SUM(Table5[[#This Row],[NO OF CREDITS]:[BELOW CREDITS]]))</f>
        <v/>
      </c>
    </row>
    <row r="148" spans="1:57" x14ac:dyDescent="0.3">
      <c r="A148" t="str">
        <f>IF(B148&lt;&gt;"",COUNTA($B$6:B148),"")</f>
        <v/>
      </c>
      <c r="B148" t="str">
        <f>IF(Result_Database!A144="","",Result_Database!A144)</f>
        <v/>
      </c>
      <c r="C148" t="str">
        <f>_xlfn.LET(
_xlpm.result,_xlfn.XLOOKUP($B148,Result_Database!$A$2:$A$500,Result_Database!$B$2:$B$500),
_xlfn.IFNA(_xlpm.result,"")
)</f>
        <v/>
      </c>
      <c r="D148" t="str">
        <f>_xlfn.LET(
  _xlpm.result, _xlfn.XLOOKUP($B148, Result_Database!$A$2:$A$500, Result_Database!C$2:C$500),
  _xlfn.IFNA(_xlpm.result, "")
)</f>
        <v/>
      </c>
      <c r="E148" t="str">
        <f>_xlfn.LET(
  _xlpm.result, _xlfn.XLOOKUP($B148, Result_Database!$A$2:$A$500, Result_Database!D$2:D$500),
  _xlfn.IFNA(_xlpm.result, "")
)</f>
        <v/>
      </c>
      <c r="F148" t="str">
        <f>_xlfn.LET(
  _xlpm.result, _xlfn.XLOOKUP($B148, Result_Database!$A$2:$A$500, Result_Database!E$2:E$500),
  _xlfn.IFNA(_xlpm.result, "")
)</f>
        <v/>
      </c>
      <c r="G148" t="str">
        <f>_xlfn.LET(
  _xlpm.result, _xlfn.XLOOKUP($B148, Result_Database!$A$2:$A$500, Result_Database!F$2:F$500),
  _xlfn.IFNA(_xlpm.result, "")
)</f>
        <v/>
      </c>
      <c r="H148" t="str">
        <f>_xlfn.LET(
  _xlpm.result, _xlfn.XLOOKUP($B148, Result_Database!$A$2:$A$500, Result_Database!G$2:G$500),
  _xlfn.IFNA(_xlpm.result, "")
)</f>
        <v/>
      </c>
      <c r="I148" t="str">
        <f>_xlfn.LET(
  _xlpm.result, _xlfn.XLOOKUP($B148, Result_Database!$A$2:$A$500, Result_Database!H$2:H$500),
  _xlfn.IFNA(_xlpm.result, "")
)</f>
        <v/>
      </c>
      <c r="J148" t="str">
        <f>_xlfn.LET(
  _xlpm.result, _xlfn.XLOOKUP($B148, Result_Database!$A$2:$A$500, Result_Database!I$2:I$500),
  _xlfn.IFNA(_xlpm.result, "")
)</f>
        <v/>
      </c>
      <c r="K148" t="str">
        <f>_xlfn.LET(
  _xlpm.result, _xlfn.XLOOKUP($B148, Result_Database!$A$2:$A$500, Result_Database!J$2:J$500),
  _xlfn.IFNA(_xlpm.result, "")
)</f>
        <v/>
      </c>
      <c r="L148" t="str">
        <f>_xlfn.LET(
  _xlpm.result, _xlfn.XLOOKUP($B148, Result_Database!$A$2:$A$500, Result_Database!K$2:K$500),
  _xlfn.IFNA(_xlpm.result, "")
)</f>
        <v/>
      </c>
      <c r="M148" t="str">
        <f>_xlfn.LET(
  _xlpm.result, _xlfn.XLOOKUP($B148, Result_Database!$A$2:$A$500, Result_Database!L$2:L$500),
  _xlfn.IFNA(_xlpm.result, "")
)</f>
        <v/>
      </c>
      <c r="N148" t="str">
        <f>_xlfn.LET(
  _xlpm.result, _xlfn.XLOOKUP($B148, Result_Database!$A$2:$A$500, Result_Database!M$2:M$500),
  _xlfn.IFNA(_xlpm.result, "")
)</f>
        <v/>
      </c>
      <c r="O148" t="str">
        <f>_xlfn.LET(
  _xlpm.result, _xlfn.XLOOKUP($B148, Result_Database!$A$2:$A$500, Result_Database!N$2:N$500),
  _xlfn.IFNA(_xlpm.result, "")
)</f>
        <v/>
      </c>
      <c r="P148" t="str">
        <f>_xlfn.LET(
  _xlpm.result, _xlfn.XLOOKUP($B148, Result_Database!$A$2:$A$500, Result_Database!O$2:O$500),
  _xlfn.IFNA(_xlpm.result, "")
)</f>
        <v/>
      </c>
      <c r="Q148" t="str">
        <f>_xlfn.LET(
  _xlpm.result, _xlfn.XLOOKUP($B148, Result_Database!$A$2:$A$500, Result_Database!P$2:P$500),
  _xlfn.IFNA(_xlpm.result, "")
)</f>
        <v/>
      </c>
      <c r="R148" t="str">
        <f>_xlfn.LET(
  _xlpm.result, _xlfn.XLOOKUP($B148, Result_Database!$A$2:$A$500, Result_Database!Q$2:Q$500),
  _xlfn.IFNA(_xlpm.result, "")
)</f>
        <v/>
      </c>
      <c r="S148" t="str">
        <f>_xlfn.LET(
  _xlpm.result, _xlfn.XLOOKUP($B148, Result_Database!$A$2:$A$500, Result_Database!R$2:R$500),
  _xlfn.IFNA(_xlpm.result, "")
)</f>
        <v/>
      </c>
      <c r="T148" t="str">
        <f>_xlfn.LET(
  _xlpm.result, _xlfn.XLOOKUP($B148, Result_Database!$A$2:$A$500, Result_Database!S$2:S$500),
  _xlfn.IFNA(_xlpm.result, "")
)</f>
        <v/>
      </c>
      <c r="U148" t="str">
        <f>_xlfn.LET(
  _xlpm.result, _xlfn.XLOOKUP($B148, Result_Database!$A$2:$A$500, Result_Database!T$2:T$500),
  _xlfn.IFNA(_xlpm.result, "")
)</f>
        <v/>
      </c>
      <c r="V148" t="str">
        <f>_xlfn.LET(
  _xlpm.result, _xlfn.XLOOKUP($B148, Result_Database!$A$2:$A$500, Result_Database!U$2:U$500),
  _xlfn.IFNA(_xlpm.result, "")
)</f>
        <v/>
      </c>
      <c r="W148" t="str">
        <f>_xlfn.LET(
  _xlpm.result, _xlfn.XLOOKUP($B148, Result_Database!$A$2:$A$500, Result_Database!V$2:V$500),
  _xlfn.IFNA(_xlpm.result, "")
)</f>
        <v/>
      </c>
      <c r="X148" t="str">
        <f>_xlfn.LET(
  _xlpm.result, _xlfn.XLOOKUP($B148, Result_Database!$A$2:$A$500, Result_Database!W$2:W$500),
  _xlfn.IFNA(_xlpm.result, "")
)</f>
        <v/>
      </c>
      <c r="Y148" t="str">
        <f>_xlfn.LET(
  _xlpm.result, _xlfn.XLOOKUP($B148, Result_Database!$A$2:$A$500, Result_Database!X$2:X$500),
  _xlfn.IFNA(_xlpm.result, "")
)</f>
        <v/>
      </c>
      <c r="Z148" t="str">
        <f>_xlfn.LET(
  _xlpm.result, _xlfn.XLOOKUP($B148, Result_Database!$A$2:$A$500, Result_Database!Y$2:Y$500),
  _xlfn.IFNA(_xlpm.result, "")
)</f>
        <v/>
      </c>
      <c r="AA148" t="str">
        <f>_xlfn.LET(
  _xlpm.result, _xlfn.XLOOKUP($B148, Result_Database!$A$2:$A$500, Result_Database!Z$2:Z$500),
  _xlfn.IFNA(_xlpm.result, "")
)</f>
        <v/>
      </c>
      <c r="AB148" t="str">
        <f>_xlfn.LET(
  _xlpm.result, _xlfn.XLOOKUP($B148, Result_Database!$A$2:$A$500, Result_Database!AA$2:AA$500),
  _xlfn.IFNA(_xlpm.result, "")
)</f>
        <v/>
      </c>
      <c r="AC148" t="str">
        <f>_xlfn.LET(
  _xlpm.result, _xlfn.XLOOKUP($B148, Result_Database!$A$2:$A$500, Result_Database!AB$2:AB$500),
  _xlfn.IFNA(_xlpm.result, "")
)</f>
        <v/>
      </c>
      <c r="AD148" t="str">
        <f>_xlfn.LET(
  _xlpm.result, _xlfn.XLOOKUP($B148, Result_Database!$A$2:$A$500, Result_Database!AC$2:AC$500),
  _xlfn.IFNA(_xlpm.result, "")
)</f>
        <v/>
      </c>
      <c r="AE148" t="str">
        <f>_xlfn.LET(
  _xlpm.result, _xlfn.XLOOKUP($B148, Result_Database!$A$2:$A$500, Result_Database!AD$2:AD$500),
  _xlfn.IFNA(_xlpm.result, "")
)</f>
        <v/>
      </c>
      <c r="AF148" t="str">
        <f>_xlfn.LET(
  _xlpm.result, _xlfn.XLOOKUP($B148, Result_Database!$A$2:$A$500, Result_Database!AE$2:AE$500),
  _xlfn.IFNA(_xlpm.result, "")
)</f>
        <v/>
      </c>
      <c r="AG148" t="str">
        <f>_xlfn.LET(
  _xlpm.result, _xlfn.XLOOKUP($B148, Result_Database!$A$2:$A$500, Result_Database!AF$2:AF$500),
  _xlfn.IFNA(_xlpm.result, "")
)</f>
        <v/>
      </c>
      <c r="AH148" t="str">
        <f>_xlfn.LET(
  _xlpm.result, _xlfn.XLOOKUP($B148, Result_Database!$A$2:$A$500, Result_Database!AG$2:AG$500),
  _xlfn.IFNA(_xlpm.result, "")
)</f>
        <v/>
      </c>
      <c r="AI148" t="str">
        <f>_xlfn.LET(
  _xlpm.result, _xlfn.XLOOKUP($B148, Result_Database!$A$2:$A$500, Result_Database!AH$2:AH$500),
  _xlfn.IFNA(_xlpm.result, "")
)</f>
        <v/>
      </c>
      <c r="AJ148" t="str">
        <f>_xlfn.LET(
  _xlpm.result, _xlfn.XLOOKUP($B148, Result_Database!$A$2:$A$500, Result_Database!AI$2:AI$500),
  _xlfn.IFNA(_xlpm.result, "")
)</f>
        <v/>
      </c>
      <c r="AK148" t="str">
        <f>_xlfn.LET(
  _xlpm.result, _xlfn.XLOOKUP($B148, Result_Database!$A$2:$A$500, Result_Database!AJ$2:AJ$500),
  _xlfn.IFNA(_xlpm.result, "")
)</f>
        <v/>
      </c>
      <c r="AL148" t="str">
        <f>_xlfn.LET(
  _xlpm.result, _xlfn.XLOOKUP($B148, Result_Database!$A$2:$A$500, Result_Database!AK$2:AK$500),
  _xlfn.IFNA(_xlpm.result, "")
)</f>
        <v/>
      </c>
      <c r="AM14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4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4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4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4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4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4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4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4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48" t="str">
        <f>IF(SUM(Table5[[#This Row],[A1]:[C6]])&lt;&gt;0,SUM(Table5[[#This Row],[A1]:[C6]]),"")</f>
        <v/>
      </c>
      <c r="AW148" t="str">
        <f>IF(SUM(Table5[[#This Row],[D7]:[F9]])=0,"",SUM(Table5[[#This Row],[D7]:[F9]]))</f>
        <v/>
      </c>
      <c r="AX14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4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4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4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4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4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48" t="str">
        <f>IF(COUNTIF(Table5[[#This Row],[English Language]:[Electrical/ Electronics]],"WITHHELD")=0,"",COUNTIF(Table5[[#This Row],[English Language]:[Electrical/ Electronics]],"WITHHELD"))</f>
        <v/>
      </c>
      <c r="BE148" t="str">
        <f>IF(SUM(Table5[[#This Row],[NO OF CREDITS]:[BELOW CREDITS]])=0,"",SUM(Table5[[#This Row],[NO OF CREDITS]:[BELOW CREDITS]]))</f>
        <v/>
      </c>
    </row>
    <row r="149" spans="1:57" x14ac:dyDescent="0.3">
      <c r="A149" t="str">
        <f>IF(B149&lt;&gt;"",COUNTA($B$6:B149),"")</f>
        <v/>
      </c>
      <c r="B149" t="str">
        <f>IF(Result_Database!A145="","",Result_Database!A145)</f>
        <v/>
      </c>
      <c r="C149" t="str">
        <f>_xlfn.LET(
_xlpm.result,_xlfn.XLOOKUP($B149,Result_Database!$A$2:$A$500,Result_Database!$B$2:$B$500),
_xlfn.IFNA(_xlpm.result,"")
)</f>
        <v/>
      </c>
      <c r="D149" t="str">
        <f>_xlfn.LET(
  _xlpm.result, _xlfn.XLOOKUP($B149, Result_Database!$A$2:$A$500, Result_Database!C$2:C$500),
  _xlfn.IFNA(_xlpm.result, "")
)</f>
        <v/>
      </c>
      <c r="E149" t="str">
        <f>_xlfn.LET(
  _xlpm.result, _xlfn.XLOOKUP($B149, Result_Database!$A$2:$A$500, Result_Database!D$2:D$500),
  _xlfn.IFNA(_xlpm.result, "")
)</f>
        <v/>
      </c>
      <c r="F149" t="str">
        <f>_xlfn.LET(
  _xlpm.result, _xlfn.XLOOKUP($B149, Result_Database!$A$2:$A$500, Result_Database!E$2:E$500),
  _xlfn.IFNA(_xlpm.result, "")
)</f>
        <v/>
      </c>
      <c r="G149" t="str">
        <f>_xlfn.LET(
  _xlpm.result, _xlfn.XLOOKUP($B149, Result_Database!$A$2:$A$500, Result_Database!F$2:F$500),
  _xlfn.IFNA(_xlpm.result, "")
)</f>
        <v/>
      </c>
      <c r="H149" t="str">
        <f>_xlfn.LET(
  _xlpm.result, _xlfn.XLOOKUP($B149, Result_Database!$A$2:$A$500, Result_Database!G$2:G$500),
  _xlfn.IFNA(_xlpm.result, "")
)</f>
        <v/>
      </c>
      <c r="I149" t="str">
        <f>_xlfn.LET(
  _xlpm.result, _xlfn.XLOOKUP($B149, Result_Database!$A$2:$A$500, Result_Database!H$2:H$500),
  _xlfn.IFNA(_xlpm.result, "")
)</f>
        <v/>
      </c>
      <c r="J149" t="str">
        <f>_xlfn.LET(
  _xlpm.result, _xlfn.XLOOKUP($B149, Result_Database!$A$2:$A$500, Result_Database!I$2:I$500),
  _xlfn.IFNA(_xlpm.result, "")
)</f>
        <v/>
      </c>
      <c r="K149" t="str">
        <f>_xlfn.LET(
  _xlpm.result, _xlfn.XLOOKUP($B149, Result_Database!$A$2:$A$500, Result_Database!J$2:J$500),
  _xlfn.IFNA(_xlpm.result, "")
)</f>
        <v/>
      </c>
      <c r="L149" t="str">
        <f>_xlfn.LET(
  _xlpm.result, _xlfn.XLOOKUP($B149, Result_Database!$A$2:$A$500, Result_Database!K$2:K$500),
  _xlfn.IFNA(_xlpm.result, "")
)</f>
        <v/>
      </c>
      <c r="M149" t="str">
        <f>_xlfn.LET(
  _xlpm.result, _xlfn.XLOOKUP($B149, Result_Database!$A$2:$A$500, Result_Database!L$2:L$500),
  _xlfn.IFNA(_xlpm.result, "")
)</f>
        <v/>
      </c>
      <c r="N149" t="str">
        <f>_xlfn.LET(
  _xlpm.result, _xlfn.XLOOKUP($B149, Result_Database!$A$2:$A$500, Result_Database!M$2:M$500),
  _xlfn.IFNA(_xlpm.result, "")
)</f>
        <v/>
      </c>
      <c r="O149" t="str">
        <f>_xlfn.LET(
  _xlpm.result, _xlfn.XLOOKUP($B149, Result_Database!$A$2:$A$500, Result_Database!N$2:N$500),
  _xlfn.IFNA(_xlpm.result, "")
)</f>
        <v/>
      </c>
      <c r="P149" t="str">
        <f>_xlfn.LET(
  _xlpm.result, _xlfn.XLOOKUP($B149, Result_Database!$A$2:$A$500, Result_Database!O$2:O$500),
  _xlfn.IFNA(_xlpm.result, "")
)</f>
        <v/>
      </c>
      <c r="Q149" t="str">
        <f>_xlfn.LET(
  _xlpm.result, _xlfn.XLOOKUP($B149, Result_Database!$A$2:$A$500, Result_Database!P$2:P$500),
  _xlfn.IFNA(_xlpm.result, "")
)</f>
        <v/>
      </c>
      <c r="R149" t="str">
        <f>_xlfn.LET(
  _xlpm.result, _xlfn.XLOOKUP($B149, Result_Database!$A$2:$A$500, Result_Database!Q$2:Q$500),
  _xlfn.IFNA(_xlpm.result, "")
)</f>
        <v/>
      </c>
      <c r="S149" t="str">
        <f>_xlfn.LET(
  _xlpm.result, _xlfn.XLOOKUP($B149, Result_Database!$A$2:$A$500, Result_Database!R$2:R$500),
  _xlfn.IFNA(_xlpm.result, "")
)</f>
        <v/>
      </c>
      <c r="T149" t="str">
        <f>_xlfn.LET(
  _xlpm.result, _xlfn.XLOOKUP($B149, Result_Database!$A$2:$A$500, Result_Database!S$2:S$500),
  _xlfn.IFNA(_xlpm.result, "")
)</f>
        <v/>
      </c>
      <c r="U149" t="str">
        <f>_xlfn.LET(
  _xlpm.result, _xlfn.XLOOKUP($B149, Result_Database!$A$2:$A$500, Result_Database!T$2:T$500),
  _xlfn.IFNA(_xlpm.result, "")
)</f>
        <v/>
      </c>
      <c r="V149" t="str">
        <f>_xlfn.LET(
  _xlpm.result, _xlfn.XLOOKUP($B149, Result_Database!$A$2:$A$500, Result_Database!U$2:U$500),
  _xlfn.IFNA(_xlpm.result, "")
)</f>
        <v/>
      </c>
      <c r="W149" t="str">
        <f>_xlfn.LET(
  _xlpm.result, _xlfn.XLOOKUP($B149, Result_Database!$A$2:$A$500, Result_Database!V$2:V$500),
  _xlfn.IFNA(_xlpm.result, "")
)</f>
        <v/>
      </c>
      <c r="X149" t="str">
        <f>_xlfn.LET(
  _xlpm.result, _xlfn.XLOOKUP($B149, Result_Database!$A$2:$A$500, Result_Database!W$2:W$500),
  _xlfn.IFNA(_xlpm.result, "")
)</f>
        <v/>
      </c>
      <c r="Y149" t="str">
        <f>_xlfn.LET(
  _xlpm.result, _xlfn.XLOOKUP($B149, Result_Database!$A$2:$A$500, Result_Database!X$2:X$500),
  _xlfn.IFNA(_xlpm.result, "")
)</f>
        <v/>
      </c>
      <c r="Z149" t="str">
        <f>_xlfn.LET(
  _xlpm.result, _xlfn.XLOOKUP($B149, Result_Database!$A$2:$A$500, Result_Database!Y$2:Y$500),
  _xlfn.IFNA(_xlpm.result, "")
)</f>
        <v/>
      </c>
      <c r="AA149" t="str">
        <f>_xlfn.LET(
  _xlpm.result, _xlfn.XLOOKUP($B149, Result_Database!$A$2:$A$500, Result_Database!Z$2:Z$500),
  _xlfn.IFNA(_xlpm.result, "")
)</f>
        <v/>
      </c>
      <c r="AB149" t="str">
        <f>_xlfn.LET(
  _xlpm.result, _xlfn.XLOOKUP($B149, Result_Database!$A$2:$A$500, Result_Database!AA$2:AA$500),
  _xlfn.IFNA(_xlpm.result, "")
)</f>
        <v/>
      </c>
      <c r="AC149" t="str">
        <f>_xlfn.LET(
  _xlpm.result, _xlfn.XLOOKUP($B149, Result_Database!$A$2:$A$500, Result_Database!AB$2:AB$500),
  _xlfn.IFNA(_xlpm.result, "")
)</f>
        <v/>
      </c>
      <c r="AD149" t="str">
        <f>_xlfn.LET(
  _xlpm.result, _xlfn.XLOOKUP($B149, Result_Database!$A$2:$A$500, Result_Database!AC$2:AC$500),
  _xlfn.IFNA(_xlpm.result, "")
)</f>
        <v/>
      </c>
      <c r="AE149" t="str">
        <f>_xlfn.LET(
  _xlpm.result, _xlfn.XLOOKUP($B149, Result_Database!$A$2:$A$500, Result_Database!AD$2:AD$500),
  _xlfn.IFNA(_xlpm.result, "")
)</f>
        <v/>
      </c>
      <c r="AF149" t="str">
        <f>_xlfn.LET(
  _xlpm.result, _xlfn.XLOOKUP($B149, Result_Database!$A$2:$A$500, Result_Database!AE$2:AE$500),
  _xlfn.IFNA(_xlpm.result, "")
)</f>
        <v/>
      </c>
      <c r="AG149" t="str">
        <f>_xlfn.LET(
  _xlpm.result, _xlfn.XLOOKUP($B149, Result_Database!$A$2:$A$500, Result_Database!AF$2:AF$500),
  _xlfn.IFNA(_xlpm.result, "")
)</f>
        <v/>
      </c>
      <c r="AH149" t="str">
        <f>_xlfn.LET(
  _xlpm.result, _xlfn.XLOOKUP($B149, Result_Database!$A$2:$A$500, Result_Database!AG$2:AG$500),
  _xlfn.IFNA(_xlpm.result, "")
)</f>
        <v/>
      </c>
      <c r="AI149" t="str">
        <f>_xlfn.LET(
  _xlpm.result, _xlfn.XLOOKUP($B149, Result_Database!$A$2:$A$500, Result_Database!AH$2:AH$500),
  _xlfn.IFNA(_xlpm.result, "")
)</f>
        <v/>
      </c>
      <c r="AJ149" t="str">
        <f>_xlfn.LET(
  _xlpm.result, _xlfn.XLOOKUP($B149, Result_Database!$A$2:$A$500, Result_Database!AI$2:AI$500),
  _xlfn.IFNA(_xlpm.result, "")
)</f>
        <v/>
      </c>
      <c r="AK149" t="str">
        <f>_xlfn.LET(
  _xlpm.result, _xlfn.XLOOKUP($B149, Result_Database!$A$2:$A$500, Result_Database!AJ$2:AJ$500),
  _xlfn.IFNA(_xlpm.result, "")
)</f>
        <v/>
      </c>
      <c r="AL149" t="str">
        <f>_xlfn.LET(
  _xlpm.result, _xlfn.XLOOKUP($B149, Result_Database!$A$2:$A$500, Result_Database!AK$2:AK$500),
  _xlfn.IFNA(_xlpm.result, "")
)</f>
        <v/>
      </c>
      <c r="AM14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4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4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4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4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4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4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4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4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49" t="str">
        <f>IF(SUM(Table5[[#This Row],[A1]:[C6]])&lt;&gt;0,SUM(Table5[[#This Row],[A1]:[C6]]),"")</f>
        <v/>
      </c>
      <c r="AW149" t="str">
        <f>IF(SUM(Table5[[#This Row],[D7]:[F9]])=0,"",SUM(Table5[[#This Row],[D7]:[F9]]))</f>
        <v/>
      </c>
      <c r="AX14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4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4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4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4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4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49" t="str">
        <f>IF(COUNTIF(Table5[[#This Row],[English Language]:[Electrical/ Electronics]],"WITHHELD")=0,"",COUNTIF(Table5[[#This Row],[English Language]:[Electrical/ Electronics]],"WITHHELD"))</f>
        <v/>
      </c>
      <c r="BE149" t="str">
        <f>IF(SUM(Table5[[#This Row],[NO OF CREDITS]:[BELOW CREDITS]])=0,"",SUM(Table5[[#This Row],[NO OF CREDITS]:[BELOW CREDITS]]))</f>
        <v/>
      </c>
    </row>
    <row r="150" spans="1:57" x14ac:dyDescent="0.3">
      <c r="A150" t="str">
        <f>IF(B150&lt;&gt;"",COUNTA($B$6:B150),"")</f>
        <v/>
      </c>
      <c r="B150" t="str">
        <f>IF(Result_Database!A146="","",Result_Database!A146)</f>
        <v/>
      </c>
      <c r="C150" t="str">
        <f>_xlfn.LET(
_xlpm.result,_xlfn.XLOOKUP($B150,Result_Database!$A$2:$A$500,Result_Database!$B$2:$B$500),
_xlfn.IFNA(_xlpm.result,"")
)</f>
        <v/>
      </c>
      <c r="D150" t="str">
        <f>_xlfn.LET(
  _xlpm.result, _xlfn.XLOOKUP($B150, Result_Database!$A$2:$A$500, Result_Database!C$2:C$500),
  _xlfn.IFNA(_xlpm.result, "")
)</f>
        <v/>
      </c>
      <c r="E150" t="str">
        <f>_xlfn.LET(
  _xlpm.result, _xlfn.XLOOKUP($B150, Result_Database!$A$2:$A$500, Result_Database!D$2:D$500),
  _xlfn.IFNA(_xlpm.result, "")
)</f>
        <v/>
      </c>
      <c r="F150" t="str">
        <f>_xlfn.LET(
  _xlpm.result, _xlfn.XLOOKUP($B150, Result_Database!$A$2:$A$500, Result_Database!E$2:E$500),
  _xlfn.IFNA(_xlpm.result, "")
)</f>
        <v/>
      </c>
      <c r="G150" t="str">
        <f>_xlfn.LET(
  _xlpm.result, _xlfn.XLOOKUP($B150, Result_Database!$A$2:$A$500, Result_Database!F$2:F$500),
  _xlfn.IFNA(_xlpm.result, "")
)</f>
        <v/>
      </c>
      <c r="H150" t="str">
        <f>_xlfn.LET(
  _xlpm.result, _xlfn.XLOOKUP($B150, Result_Database!$A$2:$A$500, Result_Database!G$2:G$500),
  _xlfn.IFNA(_xlpm.result, "")
)</f>
        <v/>
      </c>
      <c r="I150" t="str">
        <f>_xlfn.LET(
  _xlpm.result, _xlfn.XLOOKUP($B150, Result_Database!$A$2:$A$500, Result_Database!H$2:H$500),
  _xlfn.IFNA(_xlpm.result, "")
)</f>
        <v/>
      </c>
      <c r="J150" t="str">
        <f>_xlfn.LET(
  _xlpm.result, _xlfn.XLOOKUP($B150, Result_Database!$A$2:$A$500, Result_Database!I$2:I$500),
  _xlfn.IFNA(_xlpm.result, "")
)</f>
        <v/>
      </c>
      <c r="K150" t="str">
        <f>_xlfn.LET(
  _xlpm.result, _xlfn.XLOOKUP($B150, Result_Database!$A$2:$A$500, Result_Database!J$2:J$500),
  _xlfn.IFNA(_xlpm.result, "")
)</f>
        <v/>
      </c>
      <c r="L150" t="str">
        <f>_xlfn.LET(
  _xlpm.result, _xlfn.XLOOKUP($B150, Result_Database!$A$2:$A$500, Result_Database!K$2:K$500),
  _xlfn.IFNA(_xlpm.result, "")
)</f>
        <v/>
      </c>
      <c r="M150" t="str">
        <f>_xlfn.LET(
  _xlpm.result, _xlfn.XLOOKUP($B150, Result_Database!$A$2:$A$500, Result_Database!L$2:L$500),
  _xlfn.IFNA(_xlpm.result, "")
)</f>
        <v/>
      </c>
      <c r="N150" t="str">
        <f>_xlfn.LET(
  _xlpm.result, _xlfn.XLOOKUP($B150, Result_Database!$A$2:$A$500, Result_Database!M$2:M$500),
  _xlfn.IFNA(_xlpm.result, "")
)</f>
        <v/>
      </c>
      <c r="O150" t="str">
        <f>_xlfn.LET(
  _xlpm.result, _xlfn.XLOOKUP($B150, Result_Database!$A$2:$A$500, Result_Database!N$2:N$500),
  _xlfn.IFNA(_xlpm.result, "")
)</f>
        <v/>
      </c>
      <c r="P150" t="str">
        <f>_xlfn.LET(
  _xlpm.result, _xlfn.XLOOKUP($B150, Result_Database!$A$2:$A$500, Result_Database!O$2:O$500),
  _xlfn.IFNA(_xlpm.result, "")
)</f>
        <v/>
      </c>
      <c r="Q150" t="str">
        <f>_xlfn.LET(
  _xlpm.result, _xlfn.XLOOKUP($B150, Result_Database!$A$2:$A$500, Result_Database!P$2:P$500),
  _xlfn.IFNA(_xlpm.result, "")
)</f>
        <v/>
      </c>
      <c r="R150" t="str">
        <f>_xlfn.LET(
  _xlpm.result, _xlfn.XLOOKUP($B150, Result_Database!$A$2:$A$500, Result_Database!Q$2:Q$500),
  _xlfn.IFNA(_xlpm.result, "")
)</f>
        <v/>
      </c>
      <c r="S150" t="str">
        <f>_xlfn.LET(
  _xlpm.result, _xlfn.XLOOKUP($B150, Result_Database!$A$2:$A$500, Result_Database!R$2:R$500),
  _xlfn.IFNA(_xlpm.result, "")
)</f>
        <v/>
      </c>
      <c r="T150" t="str">
        <f>_xlfn.LET(
  _xlpm.result, _xlfn.XLOOKUP($B150, Result_Database!$A$2:$A$500, Result_Database!S$2:S$500),
  _xlfn.IFNA(_xlpm.result, "")
)</f>
        <v/>
      </c>
      <c r="U150" t="str">
        <f>_xlfn.LET(
  _xlpm.result, _xlfn.XLOOKUP($B150, Result_Database!$A$2:$A$500, Result_Database!T$2:T$500),
  _xlfn.IFNA(_xlpm.result, "")
)</f>
        <v/>
      </c>
      <c r="V150" t="str">
        <f>_xlfn.LET(
  _xlpm.result, _xlfn.XLOOKUP($B150, Result_Database!$A$2:$A$500, Result_Database!U$2:U$500),
  _xlfn.IFNA(_xlpm.result, "")
)</f>
        <v/>
      </c>
      <c r="W150" t="str">
        <f>_xlfn.LET(
  _xlpm.result, _xlfn.XLOOKUP($B150, Result_Database!$A$2:$A$500, Result_Database!V$2:V$500),
  _xlfn.IFNA(_xlpm.result, "")
)</f>
        <v/>
      </c>
      <c r="X150" t="str">
        <f>_xlfn.LET(
  _xlpm.result, _xlfn.XLOOKUP($B150, Result_Database!$A$2:$A$500, Result_Database!W$2:W$500),
  _xlfn.IFNA(_xlpm.result, "")
)</f>
        <v/>
      </c>
      <c r="Y150" t="str">
        <f>_xlfn.LET(
  _xlpm.result, _xlfn.XLOOKUP($B150, Result_Database!$A$2:$A$500, Result_Database!X$2:X$500),
  _xlfn.IFNA(_xlpm.result, "")
)</f>
        <v/>
      </c>
      <c r="Z150" t="str">
        <f>_xlfn.LET(
  _xlpm.result, _xlfn.XLOOKUP($B150, Result_Database!$A$2:$A$500, Result_Database!Y$2:Y$500),
  _xlfn.IFNA(_xlpm.result, "")
)</f>
        <v/>
      </c>
      <c r="AA150" t="str">
        <f>_xlfn.LET(
  _xlpm.result, _xlfn.XLOOKUP($B150, Result_Database!$A$2:$A$500, Result_Database!Z$2:Z$500),
  _xlfn.IFNA(_xlpm.result, "")
)</f>
        <v/>
      </c>
      <c r="AB150" t="str">
        <f>_xlfn.LET(
  _xlpm.result, _xlfn.XLOOKUP($B150, Result_Database!$A$2:$A$500, Result_Database!AA$2:AA$500),
  _xlfn.IFNA(_xlpm.result, "")
)</f>
        <v/>
      </c>
      <c r="AC150" t="str">
        <f>_xlfn.LET(
  _xlpm.result, _xlfn.XLOOKUP($B150, Result_Database!$A$2:$A$500, Result_Database!AB$2:AB$500),
  _xlfn.IFNA(_xlpm.result, "")
)</f>
        <v/>
      </c>
      <c r="AD150" t="str">
        <f>_xlfn.LET(
  _xlpm.result, _xlfn.XLOOKUP($B150, Result_Database!$A$2:$A$500, Result_Database!AC$2:AC$500),
  _xlfn.IFNA(_xlpm.result, "")
)</f>
        <v/>
      </c>
      <c r="AE150" t="str">
        <f>_xlfn.LET(
  _xlpm.result, _xlfn.XLOOKUP($B150, Result_Database!$A$2:$A$500, Result_Database!AD$2:AD$500),
  _xlfn.IFNA(_xlpm.result, "")
)</f>
        <v/>
      </c>
      <c r="AF150" t="str">
        <f>_xlfn.LET(
  _xlpm.result, _xlfn.XLOOKUP($B150, Result_Database!$A$2:$A$500, Result_Database!AE$2:AE$500),
  _xlfn.IFNA(_xlpm.result, "")
)</f>
        <v/>
      </c>
      <c r="AG150" t="str">
        <f>_xlfn.LET(
  _xlpm.result, _xlfn.XLOOKUP($B150, Result_Database!$A$2:$A$500, Result_Database!AF$2:AF$500),
  _xlfn.IFNA(_xlpm.result, "")
)</f>
        <v/>
      </c>
      <c r="AH150" t="str">
        <f>_xlfn.LET(
  _xlpm.result, _xlfn.XLOOKUP($B150, Result_Database!$A$2:$A$500, Result_Database!AG$2:AG$500),
  _xlfn.IFNA(_xlpm.result, "")
)</f>
        <v/>
      </c>
      <c r="AI150" t="str">
        <f>_xlfn.LET(
  _xlpm.result, _xlfn.XLOOKUP($B150, Result_Database!$A$2:$A$500, Result_Database!AH$2:AH$500),
  _xlfn.IFNA(_xlpm.result, "")
)</f>
        <v/>
      </c>
      <c r="AJ150" t="str">
        <f>_xlfn.LET(
  _xlpm.result, _xlfn.XLOOKUP($B150, Result_Database!$A$2:$A$500, Result_Database!AI$2:AI$500),
  _xlfn.IFNA(_xlpm.result, "")
)</f>
        <v/>
      </c>
      <c r="AK150" t="str">
        <f>_xlfn.LET(
  _xlpm.result, _xlfn.XLOOKUP($B150, Result_Database!$A$2:$A$500, Result_Database!AJ$2:AJ$500),
  _xlfn.IFNA(_xlpm.result, "")
)</f>
        <v/>
      </c>
      <c r="AL150" t="str">
        <f>_xlfn.LET(
  _xlpm.result, _xlfn.XLOOKUP($B150, Result_Database!$A$2:$A$500, Result_Database!AK$2:AK$500),
  _xlfn.IFNA(_xlpm.result, "")
)</f>
        <v/>
      </c>
      <c r="AM15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5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5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5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5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5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5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5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5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50" t="str">
        <f>IF(SUM(Table5[[#This Row],[A1]:[C6]])&lt;&gt;0,SUM(Table5[[#This Row],[A1]:[C6]]),"")</f>
        <v/>
      </c>
      <c r="AW150" t="str">
        <f>IF(SUM(Table5[[#This Row],[D7]:[F9]])=0,"",SUM(Table5[[#This Row],[D7]:[F9]]))</f>
        <v/>
      </c>
      <c r="AX15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5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5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5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5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5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50" t="str">
        <f>IF(COUNTIF(Table5[[#This Row],[English Language]:[Electrical/ Electronics]],"WITHHELD")=0,"",COUNTIF(Table5[[#This Row],[English Language]:[Electrical/ Electronics]],"WITHHELD"))</f>
        <v/>
      </c>
      <c r="BE150" t="str">
        <f>IF(SUM(Table5[[#This Row],[NO OF CREDITS]:[BELOW CREDITS]])=0,"",SUM(Table5[[#This Row],[NO OF CREDITS]:[BELOW CREDITS]]))</f>
        <v/>
      </c>
    </row>
    <row r="151" spans="1:57" x14ac:dyDescent="0.3">
      <c r="A151" t="str">
        <f>IF(B151&lt;&gt;"",COUNTA($B$6:B151),"")</f>
        <v/>
      </c>
      <c r="B151" t="str">
        <f>IF(Result_Database!A147="","",Result_Database!A147)</f>
        <v/>
      </c>
      <c r="C151" t="str">
        <f>_xlfn.LET(
_xlpm.result,_xlfn.XLOOKUP($B151,Result_Database!$A$2:$A$500,Result_Database!$B$2:$B$500),
_xlfn.IFNA(_xlpm.result,"")
)</f>
        <v/>
      </c>
      <c r="D151" t="str">
        <f>_xlfn.LET(
  _xlpm.result, _xlfn.XLOOKUP($B151, Result_Database!$A$2:$A$500, Result_Database!C$2:C$500),
  _xlfn.IFNA(_xlpm.result, "")
)</f>
        <v/>
      </c>
      <c r="E151" t="str">
        <f>_xlfn.LET(
  _xlpm.result, _xlfn.XLOOKUP($B151, Result_Database!$A$2:$A$500, Result_Database!D$2:D$500),
  _xlfn.IFNA(_xlpm.result, "")
)</f>
        <v/>
      </c>
      <c r="F151" t="str">
        <f>_xlfn.LET(
  _xlpm.result, _xlfn.XLOOKUP($B151, Result_Database!$A$2:$A$500, Result_Database!E$2:E$500),
  _xlfn.IFNA(_xlpm.result, "")
)</f>
        <v/>
      </c>
      <c r="G151" t="str">
        <f>_xlfn.LET(
  _xlpm.result, _xlfn.XLOOKUP($B151, Result_Database!$A$2:$A$500, Result_Database!F$2:F$500),
  _xlfn.IFNA(_xlpm.result, "")
)</f>
        <v/>
      </c>
      <c r="H151" t="str">
        <f>_xlfn.LET(
  _xlpm.result, _xlfn.XLOOKUP($B151, Result_Database!$A$2:$A$500, Result_Database!G$2:G$500),
  _xlfn.IFNA(_xlpm.result, "")
)</f>
        <v/>
      </c>
      <c r="I151" t="str">
        <f>_xlfn.LET(
  _xlpm.result, _xlfn.XLOOKUP($B151, Result_Database!$A$2:$A$500, Result_Database!H$2:H$500),
  _xlfn.IFNA(_xlpm.result, "")
)</f>
        <v/>
      </c>
      <c r="J151" t="str">
        <f>_xlfn.LET(
  _xlpm.result, _xlfn.XLOOKUP($B151, Result_Database!$A$2:$A$500, Result_Database!I$2:I$500),
  _xlfn.IFNA(_xlpm.result, "")
)</f>
        <v/>
      </c>
      <c r="K151" t="str">
        <f>_xlfn.LET(
  _xlpm.result, _xlfn.XLOOKUP($B151, Result_Database!$A$2:$A$500, Result_Database!J$2:J$500),
  _xlfn.IFNA(_xlpm.result, "")
)</f>
        <v/>
      </c>
      <c r="L151" t="str">
        <f>_xlfn.LET(
  _xlpm.result, _xlfn.XLOOKUP($B151, Result_Database!$A$2:$A$500, Result_Database!K$2:K$500),
  _xlfn.IFNA(_xlpm.result, "")
)</f>
        <v/>
      </c>
      <c r="M151" t="str">
        <f>_xlfn.LET(
  _xlpm.result, _xlfn.XLOOKUP($B151, Result_Database!$A$2:$A$500, Result_Database!L$2:L$500),
  _xlfn.IFNA(_xlpm.result, "")
)</f>
        <v/>
      </c>
      <c r="N151" t="str">
        <f>_xlfn.LET(
  _xlpm.result, _xlfn.XLOOKUP($B151, Result_Database!$A$2:$A$500, Result_Database!M$2:M$500),
  _xlfn.IFNA(_xlpm.result, "")
)</f>
        <v/>
      </c>
      <c r="O151" t="str">
        <f>_xlfn.LET(
  _xlpm.result, _xlfn.XLOOKUP($B151, Result_Database!$A$2:$A$500, Result_Database!N$2:N$500),
  _xlfn.IFNA(_xlpm.result, "")
)</f>
        <v/>
      </c>
      <c r="P151" t="str">
        <f>_xlfn.LET(
  _xlpm.result, _xlfn.XLOOKUP($B151, Result_Database!$A$2:$A$500, Result_Database!O$2:O$500),
  _xlfn.IFNA(_xlpm.result, "")
)</f>
        <v/>
      </c>
      <c r="Q151" t="str">
        <f>_xlfn.LET(
  _xlpm.result, _xlfn.XLOOKUP($B151, Result_Database!$A$2:$A$500, Result_Database!P$2:P$500),
  _xlfn.IFNA(_xlpm.result, "")
)</f>
        <v/>
      </c>
      <c r="R151" t="str">
        <f>_xlfn.LET(
  _xlpm.result, _xlfn.XLOOKUP($B151, Result_Database!$A$2:$A$500, Result_Database!Q$2:Q$500),
  _xlfn.IFNA(_xlpm.result, "")
)</f>
        <v/>
      </c>
      <c r="S151" t="str">
        <f>_xlfn.LET(
  _xlpm.result, _xlfn.XLOOKUP($B151, Result_Database!$A$2:$A$500, Result_Database!R$2:R$500),
  _xlfn.IFNA(_xlpm.result, "")
)</f>
        <v/>
      </c>
      <c r="T151" t="str">
        <f>_xlfn.LET(
  _xlpm.result, _xlfn.XLOOKUP($B151, Result_Database!$A$2:$A$500, Result_Database!S$2:S$500),
  _xlfn.IFNA(_xlpm.result, "")
)</f>
        <v/>
      </c>
      <c r="U151" t="str">
        <f>_xlfn.LET(
  _xlpm.result, _xlfn.XLOOKUP($B151, Result_Database!$A$2:$A$500, Result_Database!T$2:T$500),
  _xlfn.IFNA(_xlpm.result, "")
)</f>
        <v/>
      </c>
      <c r="V151" t="str">
        <f>_xlfn.LET(
  _xlpm.result, _xlfn.XLOOKUP($B151, Result_Database!$A$2:$A$500, Result_Database!U$2:U$500),
  _xlfn.IFNA(_xlpm.result, "")
)</f>
        <v/>
      </c>
      <c r="W151" t="str">
        <f>_xlfn.LET(
  _xlpm.result, _xlfn.XLOOKUP($B151, Result_Database!$A$2:$A$500, Result_Database!V$2:V$500),
  _xlfn.IFNA(_xlpm.result, "")
)</f>
        <v/>
      </c>
      <c r="X151" t="str">
        <f>_xlfn.LET(
  _xlpm.result, _xlfn.XLOOKUP($B151, Result_Database!$A$2:$A$500, Result_Database!W$2:W$500),
  _xlfn.IFNA(_xlpm.result, "")
)</f>
        <v/>
      </c>
      <c r="Y151" t="str">
        <f>_xlfn.LET(
  _xlpm.result, _xlfn.XLOOKUP($B151, Result_Database!$A$2:$A$500, Result_Database!X$2:X$500),
  _xlfn.IFNA(_xlpm.result, "")
)</f>
        <v/>
      </c>
      <c r="Z151" t="str">
        <f>_xlfn.LET(
  _xlpm.result, _xlfn.XLOOKUP($B151, Result_Database!$A$2:$A$500, Result_Database!Y$2:Y$500),
  _xlfn.IFNA(_xlpm.result, "")
)</f>
        <v/>
      </c>
      <c r="AA151" t="str">
        <f>_xlfn.LET(
  _xlpm.result, _xlfn.XLOOKUP($B151, Result_Database!$A$2:$A$500, Result_Database!Z$2:Z$500),
  _xlfn.IFNA(_xlpm.result, "")
)</f>
        <v/>
      </c>
      <c r="AB151" t="str">
        <f>_xlfn.LET(
  _xlpm.result, _xlfn.XLOOKUP($B151, Result_Database!$A$2:$A$500, Result_Database!AA$2:AA$500),
  _xlfn.IFNA(_xlpm.result, "")
)</f>
        <v/>
      </c>
      <c r="AC151" t="str">
        <f>_xlfn.LET(
  _xlpm.result, _xlfn.XLOOKUP($B151, Result_Database!$A$2:$A$500, Result_Database!AB$2:AB$500),
  _xlfn.IFNA(_xlpm.result, "")
)</f>
        <v/>
      </c>
      <c r="AD151" t="str">
        <f>_xlfn.LET(
  _xlpm.result, _xlfn.XLOOKUP($B151, Result_Database!$A$2:$A$500, Result_Database!AC$2:AC$500),
  _xlfn.IFNA(_xlpm.result, "")
)</f>
        <v/>
      </c>
      <c r="AE151" t="str">
        <f>_xlfn.LET(
  _xlpm.result, _xlfn.XLOOKUP($B151, Result_Database!$A$2:$A$500, Result_Database!AD$2:AD$500),
  _xlfn.IFNA(_xlpm.result, "")
)</f>
        <v/>
      </c>
      <c r="AF151" t="str">
        <f>_xlfn.LET(
  _xlpm.result, _xlfn.XLOOKUP($B151, Result_Database!$A$2:$A$500, Result_Database!AE$2:AE$500),
  _xlfn.IFNA(_xlpm.result, "")
)</f>
        <v/>
      </c>
      <c r="AG151" t="str">
        <f>_xlfn.LET(
  _xlpm.result, _xlfn.XLOOKUP($B151, Result_Database!$A$2:$A$500, Result_Database!AF$2:AF$500),
  _xlfn.IFNA(_xlpm.result, "")
)</f>
        <v/>
      </c>
      <c r="AH151" t="str">
        <f>_xlfn.LET(
  _xlpm.result, _xlfn.XLOOKUP($B151, Result_Database!$A$2:$A$500, Result_Database!AG$2:AG$500),
  _xlfn.IFNA(_xlpm.result, "")
)</f>
        <v/>
      </c>
      <c r="AI151" t="str">
        <f>_xlfn.LET(
  _xlpm.result, _xlfn.XLOOKUP($B151, Result_Database!$A$2:$A$500, Result_Database!AH$2:AH$500),
  _xlfn.IFNA(_xlpm.result, "")
)</f>
        <v/>
      </c>
      <c r="AJ151" t="str">
        <f>_xlfn.LET(
  _xlpm.result, _xlfn.XLOOKUP($B151, Result_Database!$A$2:$A$500, Result_Database!AI$2:AI$500),
  _xlfn.IFNA(_xlpm.result, "")
)</f>
        <v/>
      </c>
      <c r="AK151" t="str">
        <f>_xlfn.LET(
  _xlpm.result, _xlfn.XLOOKUP($B151, Result_Database!$A$2:$A$500, Result_Database!AJ$2:AJ$500),
  _xlfn.IFNA(_xlpm.result, "")
)</f>
        <v/>
      </c>
      <c r="AL151" t="str">
        <f>_xlfn.LET(
  _xlpm.result, _xlfn.XLOOKUP($B151, Result_Database!$A$2:$A$500, Result_Database!AK$2:AK$500),
  _xlfn.IFNA(_xlpm.result, "")
)</f>
        <v/>
      </c>
      <c r="AM15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5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5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5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5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5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5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5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5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51" t="str">
        <f>IF(SUM(Table5[[#This Row],[A1]:[C6]])&lt;&gt;0,SUM(Table5[[#This Row],[A1]:[C6]]),"")</f>
        <v/>
      </c>
      <c r="AW151" t="str">
        <f>IF(SUM(Table5[[#This Row],[D7]:[F9]])=0,"",SUM(Table5[[#This Row],[D7]:[F9]]))</f>
        <v/>
      </c>
      <c r="AX15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5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5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5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5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5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51" t="str">
        <f>IF(COUNTIF(Table5[[#This Row],[English Language]:[Electrical/ Electronics]],"WITHHELD")=0,"",COUNTIF(Table5[[#This Row],[English Language]:[Electrical/ Electronics]],"WITHHELD"))</f>
        <v/>
      </c>
      <c r="BE151" t="str">
        <f>IF(SUM(Table5[[#This Row],[NO OF CREDITS]:[BELOW CREDITS]])=0,"",SUM(Table5[[#This Row],[NO OF CREDITS]:[BELOW CREDITS]]))</f>
        <v/>
      </c>
    </row>
    <row r="152" spans="1:57" x14ac:dyDescent="0.3">
      <c r="A152" t="str">
        <f>IF(B152&lt;&gt;"",COUNTA($B$6:B152),"")</f>
        <v/>
      </c>
      <c r="B152" t="str">
        <f>IF(Result_Database!A148="","",Result_Database!A148)</f>
        <v/>
      </c>
      <c r="C152" t="str">
        <f>_xlfn.LET(
_xlpm.result,_xlfn.XLOOKUP($B152,Result_Database!$A$2:$A$500,Result_Database!$B$2:$B$500),
_xlfn.IFNA(_xlpm.result,"")
)</f>
        <v/>
      </c>
      <c r="D152" t="str">
        <f>_xlfn.LET(
  _xlpm.result, _xlfn.XLOOKUP($B152, Result_Database!$A$2:$A$500, Result_Database!C$2:C$500),
  _xlfn.IFNA(_xlpm.result, "")
)</f>
        <v/>
      </c>
      <c r="E152" t="str">
        <f>_xlfn.LET(
  _xlpm.result, _xlfn.XLOOKUP($B152, Result_Database!$A$2:$A$500, Result_Database!D$2:D$500),
  _xlfn.IFNA(_xlpm.result, "")
)</f>
        <v/>
      </c>
      <c r="F152" t="str">
        <f>_xlfn.LET(
  _xlpm.result, _xlfn.XLOOKUP($B152, Result_Database!$A$2:$A$500, Result_Database!E$2:E$500),
  _xlfn.IFNA(_xlpm.result, "")
)</f>
        <v/>
      </c>
      <c r="G152" t="str">
        <f>_xlfn.LET(
  _xlpm.result, _xlfn.XLOOKUP($B152, Result_Database!$A$2:$A$500, Result_Database!F$2:F$500),
  _xlfn.IFNA(_xlpm.result, "")
)</f>
        <v/>
      </c>
      <c r="H152" t="str">
        <f>_xlfn.LET(
  _xlpm.result, _xlfn.XLOOKUP($B152, Result_Database!$A$2:$A$500, Result_Database!G$2:G$500),
  _xlfn.IFNA(_xlpm.result, "")
)</f>
        <v/>
      </c>
      <c r="I152" t="str">
        <f>_xlfn.LET(
  _xlpm.result, _xlfn.XLOOKUP($B152, Result_Database!$A$2:$A$500, Result_Database!H$2:H$500),
  _xlfn.IFNA(_xlpm.result, "")
)</f>
        <v/>
      </c>
      <c r="J152" t="str">
        <f>_xlfn.LET(
  _xlpm.result, _xlfn.XLOOKUP($B152, Result_Database!$A$2:$A$500, Result_Database!I$2:I$500),
  _xlfn.IFNA(_xlpm.result, "")
)</f>
        <v/>
      </c>
      <c r="K152" t="str">
        <f>_xlfn.LET(
  _xlpm.result, _xlfn.XLOOKUP($B152, Result_Database!$A$2:$A$500, Result_Database!J$2:J$500),
  _xlfn.IFNA(_xlpm.result, "")
)</f>
        <v/>
      </c>
      <c r="L152" t="str">
        <f>_xlfn.LET(
  _xlpm.result, _xlfn.XLOOKUP($B152, Result_Database!$A$2:$A$500, Result_Database!K$2:K$500),
  _xlfn.IFNA(_xlpm.result, "")
)</f>
        <v/>
      </c>
      <c r="M152" t="str">
        <f>_xlfn.LET(
  _xlpm.result, _xlfn.XLOOKUP($B152, Result_Database!$A$2:$A$500, Result_Database!L$2:L$500),
  _xlfn.IFNA(_xlpm.result, "")
)</f>
        <v/>
      </c>
      <c r="N152" t="str">
        <f>_xlfn.LET(
  _xlpm.result, _xlfn.XLOOKUP($B152, Result_Database!$A$2:$A$500, Result_Database!M$2:M$500),
  _xlfn.IFNA(_xlpm.result, "")
)</f>
        <v/>
      </c>
      <c r="O152" t="str">
        <f>_xlfn.LET(
  _xlpm.result, _xlfn.XLOOKUP($B152, Result_Database!$A$2:$A$500, Result_Database!N$2:N$500),
  _xlfn.IFNA(_xlpm.result, "")
)</f>
        <v/>
      </c>
      <c r="P152" t="str">
        <f>_xlfn.LET(
  _xlpm.result, _xlfn.XLOOKUP($B152, Result_Database!$A$2:$A$500, Result_Database!O$2:O$500),
  _xlfn.IFNA(_xlpm.result, "")
)</f>
        <v/>
      </c>
      <c r="Q152" t="str">
        <f>_xlfn.LET(
  _xlpm.result, _xlfn.XLOOKUP($B152, Result_Database!$A$2:$A$500, Result_Database!P$2:P$500),
  _xlfn.IFNA(_xlpm.result, "")
)</f>
        <v/>
      </c>
      <c r="R152" t="str">
        <f>_xlfn.LET(
  _xlpm.result, _xlfn.XLOOKUP($B152, Result_Database!$A$2:$A$500, Result_Database!Q$2:Q$500),
  _xlfn.IFNA(_xlpm.result, "")
)</f>
        <v/>
      </c>
      <c r="S152" t="str">
        <f>_xlfn.LET(
  _xlpm.result, _xlfn.XLOOKUP($B152, Result_Database!$A$2:$A$500, Result_Database!R$2:R$500),
  _xlfn.IFNA(_xlpm.result, "")
)</f>
        <v/>
      </c>
      <c r="T152" t="str">
        <f>_xlfn.LET(
  _xlpm.result, _xlfn.XLOOKUP($B152, Result_Database!$A$2:$A$500, Result_Database!S$2:S$500),
  _xlfn.IFNA(_xlpm.result, "")
)</f>
        <v/>
      </c>
      <c r="U152" t="str">
        <f>_xlfn.LET(
  _xlpm.result, _xlfn.XLOOKUP($B152, Result_Database!$A$2:$A$500, Result_Database!T$2:T$500),
  _xlfn.IFNA(_xlpm.result, "")
)</f>
        <v/>
      </c>
      <c r="V152" t="str">
        <f>_xlfn.LET(
  _xlpm.result, _xlfn.XLOOKUP($B152, Result_Database!$A$2:$A$500, Result_Database!U$2:U$500),
  _xlfn.IFNA(_xlpm.result, "")
)</f>
        <v/>
      </c>
      <c r="W152" t="str">
        <f>_xlfn.LET(
  _xlpm.result, _xlfn.XLOOKUP($B152, Result_Database!$A$2:$A$500, Result_Database!V$2:V$500),
  _xlfn.IFNA(_xlpm.result, "")
)</f>
        <v/>
      </c>
      <c r="X152" t="str">
        <f>_xlfn.LET(
  _xlpm.result, _xlfn.XLOOKUP($B152, Result_Database!$A$2:$A$500, Result_Database!W$2:W$500),
  _xlfn.IFNA(_xlpm.result, "")
)</f>
        <v/>
      </c>
      <c r="Y152" t="str">
        <f>_xlfn.LET(
  _xlpm.result, _xlfn.XLOOKUP($B152, Result_Database!$A$2:$A$500, Result_Database!X$2:X$500),
  _xlfn.IFNA(_xlpm.result, "")
)</f>
        <v/>
      </c>
      <c r="Z152" t="str">
        <f>_xlfn.LET(
  _xlpm.result, _xlfn.XLOOKUP($B152, Result_Database!$A$2:$A$500, Result_Database!Y$2:Y$500),
  _xlfn.IFNA(_xlpm.result, "")
)</f>
        <v/>
      </c>
      <c r="AA152" t="str">
        <f>_xlfn.LET(
  _xlpm.result, _xlfn.XLOOKUP($B152, Result_Database!$A$2:$A$500, Result_Database!Z$2:Z$500),
  _xlfn.IFNA(_xlpm.result, "")
)</f>
        <v/>
      </c>
      <c r="AB152" t="str">
        <f>_xlfn.LET(
  _xlpm.result, _xlfn.XLOOKUP($B152, Result_Database!$A$2:$A$500, Result_Database!AA$2:AA$500),
  _xlfn.IFNA(_xlpm.result, "")
)</f>
        <v/>
      </c>
      <c r="AC152" t="str">
        <f>_xlfn.LET(
  _xlpm.result, _xlfn.XLOOKUP($B152, Result_Database!$A$2:$A$500, Result_Database!AB$2:AB$500),
  _xlfn.IFNA(_xlpm.result, "")
)</f>
        <v/>
      </c>
      <c r="AD152" t="str">
        <f>_xlfn.LET(
  _xlpm.result, _xlfn.XLOOKUP($B152, Result_Database!$A$2:$A$500, Result_Database!AC$2:AC$500),
  _xlfn.IFNA(_xlpm.result, "")
)</f>
        <v/>
      </c>
      <c r="AE152" t="str">
        <f>_xlfn.LET(
  _xlpm.result, _xlfn.XLOOKUP($B152, Result_Database!$A$2:$A$500, Result_Database!AD$2:AD$500),
  _xlfn.IFNA(_xlpm.result, "")
)</f>
        <v/>
      </c>
      <c r="AF152" t="str">
        <f>_xlfn.LET(
  _xlpm.result, _xlfn.XLOOKUP($B152, Result_Database!$A$2:$A$500, Result_Database!AE$2:AE$500),
  _xlfn.IFNA(_xlpm.result, "")
)</f>
        <v/>
      </c>
      <c r="AG152" t="str">
        <f>_xlfn.LET(
  _xlpm.result, _xlfn.XLOOKUP($B152, Result_Database!$A$2:$A$500, Result_Database!AF$2:AF$500),
  _xlfn.IFNA(_xlpm.result, "")
)</f>
        <v/>
      </c>
      <c r="AH152" t="str">
        <f>_xlfn.LET(
  _xlpm.result, _xlfn.XLOOKUP($B152, Result_Database!$A$2:$A$500, Result_Database!AG$2:AG$500),
  _xlfn.IFNA(_xlpm.result, "")
)</f>
        <v/>
      </c>
      <c r="AI152" t="str">
        <f>_xlfn.LET(
  _xlpm.result, _xlfn.XLOOKUP($B152, Result_Database!$A$2:$A$500, Result_Database!AH$2:AH$500),
  _xlfn.IFNA(_xlpm.result, "")
)</f>
        <v/>
      </c>
      <c r="AJ152" t="str">
        <f>_xlfn.LET(
  _xlpm.result, _xlfn.XLOOKUP($B152, Result_Database!$A$2:$A$500, Result_Database!AI$2:AI$500),
  _xlfn.IFNA(_xlpm.result, "")
)</f>
        <v/>
      </c>
      <c r="AK152" t="str">
        <f>_xlfn.LET(
  _xlpm.result, _xlfn.XLOOKUP($B152, Result_Database!$A$2:$A$500, Result_Database!AJ$2:AJ$500),
  _xlfn.IFNA(_xlpm.result, "")
)</f>
        <v/>
      </c>
      <c r="AL152" t="str">
        <f>_xlfn.LET(
  _xlpm.result, _xlfn.XLOOKUP($B152, Result_Database!$A$2:$A$500, Result_Database!AK$2:AK$500),
  _xlfn.IFNA(_xlpm.result, "")
)</f>
        <v/>
      </c>
      <c r="AM15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5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5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5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5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5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5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5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5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52" t="str">
        <f>IF(SUM(Table5[[#This Row],[A1]:[C6]])&lt;&gt;0,SUM(Table5[[#This Row],[A1]:[C6]]),"")</f>
        <v/>
      </c>
      <c r="AW152" t="str">
        <f>IF(SUM(Table5[[#This Row],[D7]:[F9]])=0,"",SUM(Table5[[#This Row],[D7]:[F9]]))</f>
        <v/>
      </c>
      <c r="AX15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5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5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5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5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5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52" t="str">
        <f>IF(COUNTIF(Table5[[#This Row],[English Language]:[Electrical/ Electronics]],"WITHHELD")=0,"",COUNTIF(Table5[[#This Row],[English Language]:[Electrical/ Electronics]],"WITHHELD"))</f>
        <v/>
      </c>
      <c r="BE152" t="str">
        <f>IF(SUM(Table5[[#This Row],[NO OF CREDITS]:[BELOW CREDITS]])=0,"",SUM(Table5[[#This Row],[NO OF CREDITS]:[BELOW CREDITS]]))</f>
        <v/>
      </c>
    </row>
    <row r="153" spans="1:57" x14ac:dyDescent="0.3">
      <c r="A153" t="str">
        <f>IF(B153&lt;&gt;"",COUNTA($B$6:B153),"")</f>
        <v/>
      </c>
      <c r="B153" t="str">
        <f>IF(Result_Database!A149="","",Result_Database!A149)</f>
        <v/>
      </c>
      <c r="C153" t="str">
        <f>_xlfn.LET(
_xlpm.result,_xlfn.XLOOKUP($B153,Result_Database!$A$2:$A$500,Result_Database!$B$2:$B$500),
_xlfn.IFNA(_xlpm.result,"")
)</f>
        <v/>
      </c>
      <c r="D153" t="str">
        <f>_xlfn.LET(
  _xlpm.result, _xlfn.XLOOKUP($B153, Result_Database!$A$2:$A$500, Result_Database!C$2:C$500),
  _xlfn.IFNA(_xlpm.result, "")
)</f>
        <v/>
      </c>
      <c r="E153" t="str">
        <f>_xlfn.LET(
  _xlpm.result, _xlfn.XLOOKUP($B153, Result_Database!$A$2:$A$500, Result_Database!D$2:D$500),
  _xlfn.IFNA(_xlpm.result, "")
)</f>
        <v/>
      </c>
      <c r="F153" t="str">
        <f>_xlfn.LET(
  _xlpm.result, _xlfn.XLOOKUP($B153, Result_Database!$A$2:$A$500, Result_Database!E$2:E$500),
  _xlfn.IFNA(_xlpm.result, "")
)</f>
        <v/>
      </c>
      <c r="G153" t="str">
        <f>_xlfn.LET(
  _xlpm.result, _xlfn.XLOOKUP($B153, Result_Database!$A$2:$A$500, Result_Database!F$2:F$500),
  _xlfn.IFNA(_xlpm.result, "")
)</f>
        <v/>
      </c>
      <c r="H153" t="str">
        <f>_xlfn.LET(
  _xlpm.result, _xlfn.XLOOKUP($B153, Result_Database!$A$2:$A$500, Result_Database!G$2:G$500),
  _xlfn.IFNA(_xlpm.result, "")
)</f>
        <v/>
      </c>
      <c r="I153" t="str">
        <f>_xlfn.LET(
  _xlpm.result, _xlfn.XLOOKUP($B153, Result_Database!$A$2:$A$500, Result_Database!H$2:H$500),
  _xlfn.IFNA(_xlpm.result, "")
)</f>
        <v/>
      </c>
      <c r="J153" t="str">
        <f>_xlfn.LET(
  _xlpm.result, _xlfn.XLOOKUP($B153, Result_Database!$A$2:$A$500, Result_Database!I$2:I$500),
  _xlfn.IFNA(_xlpm.result, "")
)</f>
        <v/>
      </c>
      <c r="K153" t="str">
        <f>_xlfn.LET(
  _xlpm.result, _xlfn.XLOOKUP($B153, Result_Database!$A$2:$A$500, Result_Database!J$2:J$500),
  _xlfn.IFNA(_xlpm.result, "")
)</f>
        <v/>
      </c>
      <c r="L153" t="str">
        <f>_xlfn.LET(
  _xlpm.result, _xlfn.XLOOKUP($B153, Result_Database!$A$2:$A$500, Result_Database!K$2:K$500),
  _xlfn.IFNA(_xlpm.result, "")
)</f>
        <v/>
      </c>
      <c r="M153" t="str">
        <f>_xlfn.LET(
  _xlpm.result, _xlfn.XLOOKUP($B153, Result_Database!$A$2:$A$500, Result_Database!L$2:L$500),
  _xlfn.IFNA(_xlpm.result, "")
)</f>
        <v/>
      </c>
      <c r="N153" t="str">
        <f>_xlfn.LET(
  _xlpm.result, _xlfn.XLOOKUP($B153, Result_Database!$A$2:$A$500, Result_Database!M$2:M$500),
  _xlfn.IFNA(_xlpm.result, "")
)</f>
        <v/>
      </c>
      <c r="O153" t="str">
        <f>_xlfn.LET(
  _xlpm.result, _xlfn.XLOOKUP($B153, Result_Database!$A$2:$A$500, Result_Database!N$2:N$500),
  _xlfn.IFNA(_xlpm.result, "")
)</f>
        <v/>
      </c>
      <c r="P153" t="str">
        <f>_xlfn.LET(
  _xlpm.result, _xlfn.XLOOKUP($B153, Result_Database!$A$2:$A$500, Result_Database!O$2:O$500),
  _xlfn.IFNA(_xlpm.result, "")
)</f>
        <v/>
      </c>
      <c r="Q153" t="str">
        <f>_xlfn.LET(
  _xlpm.result, _xlfn.XLOOKUP($B153, Result_Database!$A$2:$A$500, Result_Database!P$2:P$500),
  _xlfn.IFNA(_xlpm.result, "")
)</f>
        <v/>
      </c>
      <c r="R153" t="str">
        <f>_xlfn.LET(
  _xlpm.result, _xlfn.XLOOKUP($B153, Result_Database!$A$2:$A$500, Result_Database!Q$2:Q$500),
  _xlfn.IFNA(_xlpm.result, "")
)</f>
        <v/>
      </c>
      <c r="S153" t="str">
        <f>_xlfn.LET(
  _xlpm.result, _xlfn.XLOOKUP($B153, Result_Database!$A$2:$A$500, Result_Database!R$2:R$500),
  _xlfn.IFNA(_xlpm.result, "")
)</f>
        <v/>
      </c>
      <c r="T153" t="str">
        <f>_xlfn.LET(
  _xlpm.result, _xlfn.XLOOKUP($B153, Result_Database!$A$2:$A$500, Result_Database!S$2:S$500),
  _xlfn.IFNA(_xlpm.result, "")
)</f>
        <v/>
      </c>
      <c r="U153" t="str">
        <f>_xlfn.LET(
  _xlpm.result, _xlfn.XLOOKUP($B153, Result_Database!$A$2:$A$500, Result_Database!T$2:T$500),
  _xlfn.IFNA(_xlpm.result, "")
)</f>
        <v/>
      </c>
      <c r="V153" t="str">
        <f>_xlfn.LET(
  _xlpm.result, _xlfn.XLOOKUP($B153, Result_Database!$A$2:$A$500, Result_Database!U$2:U$500),
  _xlfn.IFNA(_xlpm.result, "")
)</f>
        <v/>
      </c>
      <c r="W153" t="str">
        <f>_xlfn.LET(
  _xlpm.result, _xlfn.XLOOKUP($B153, Result_Database!$A$2:$A$500, Result_Database!V$2:V$500),
  _xlfn.IFNA(_xlpm.result, "")
)</f>
        <v/>
      </c>
      <c r="X153" t="str">
        <f>_xlfn.LET(
  _xlpm.result, _xlfn.XLOOKUP($B153, Result_Database!$A$2:$A$500, Result_Database!W$2:W$500),
  _xlfn.IFNA(_xlpm.result, "")
)</f>
        <v/>
      </c>
      <c r="Y153" t="str">
        <f>_xlfn.LET(
  _xlpm.result, _xlfn.XLOOKUP($B153, Result_Database!$A$2:$A$500, Result_Database!X$2:X$500),
  _xlfn.IFNA(_xlpm.result, "")
)</f>
        <v/>
      </c>
      <c r="Z153" t="str">
        <f>_xlfn.LET(
  _xlpm.result, _xlfn.XLOOKUP($B153, Result_Database!$A$2:$A$500, Result_Database!Y$2:Y$500),
  _xlfn.IFNA(_xlpm.result, "")
)</f>
        <v/>
      </c>
      <c r="AA153" t="str">
        <f>_xlfn.LET(
  _xlpm.result, _xlfn.XLOOKUP($B153, Result_Database!$A$2:$A$500, Result_Database!Z$2:Z$500),
  _xlfn.IFNA(_xlpm.result, "")
)</f>
        <v/>
      </c>
      <c r="AB153" t="str">
        <f>_xlfn.LET(
  _xlpm.result, _xlfn.XLOOKUP($B153, Result_Database!$A$2:$A$500, Result_Database!AA$2:AA$500),
  _xlfn.IFNA(_xlpm.result, "")
)</f>
        <v/>
      </c>
      <c r="AC153" t="str">
        <f>_xlfn.LET(
  _xlpm.result, _xlfn.XLOOKUP($B153, Result_Database!$A$2:$A$500, Result_Database!AB$2:AB$500),
  _xlfn.IFNA(_xlpm.result, "")
)</f>
        <v/>
      </c>
      <c r="AD153" t="str">
        <f>_xlfn.LET(
  _xlpm.result, _xlfn.XLOOKUP($B153, Result_Database!$A$2:$A$500, Result_Database!AC$2:AC$500),
  _xlfn.IFNA(_xlpm.result, "")
)</f>
        <v/>
      </c>
      <c r="AE153" t="str">
        <f>_xlfn.LET(
  _xlpm.result, _xlfn.XLOOKUP($B153, Result_Database!$A$2:$A$500, Result_Database!AD$2:AD$500),
  _xlfn.IFNA(_xlpm.result, "")
)</f>
        <v/>
      </c>
      <c r="AF153" t="str">
        <f>_xlfn.LET(
  _xlpm.result, _xlfn.XLOOKUP($B153, Result_Database!$A$2:$A$500, Result_Database!AE$2:AE$500),
  _xlfn.IFNA(_xlpm.result, "")
)</f>
        <v/>
      </c>
      <c r="AG153" t="str">
        <f>_xlfn.LET(
  _xlpm.result, _xlfn.XLOOKUP($B153, Result_Database!$A$2:$A$500, Result_Database!AF$2:AF$500),
  _xlfn.IFNA(_xlpm.result, "")
)</f>
        <v/>
      </c>
      <c r="AH153" t="str">
        <f>_xlfn.LET(
  _xlpm.result, _xlfn.XLOOKUP($B153, Result_Database!$A$2:$A$500, Result_Database!AG$2:AG$500),
  _xlfn.IFNA(_xlpm.result, "")
)</f>
        <v/>
      </c>
      <c r="AI153" t="str">
        <f>_xlfn.LET(
  _xlpm.result, _xlfn.XLOOKUP($B153, Result_Database!$A$2:$A$500, Result_Database!AH$2:AH$500),
  _xlfn.IFNA(_xlpm.result, "")
)</f>
        <v/>
      </c>
      <c r="AJ153" t="str">
        <f>_xlfn.LET(
  _xlpm.result, _xlfn.XLOOKUP($B153, Result_Database!$A$2:$A$500, Result_Database!AI$2:AI$500),
  _xlfn.IFNA(_xlpm.result, "")
)</f>
        <v/>
      </c>
      <c r="AK153" t="str">
        <f>_xlfn.LET(
  _xlpm.result, _xlfn.XLOOKUP($B153, Result_Database!$A$2:$A$500, Result_Database!AJ$2:AJ$500),
  _xlfn.IFNA(_xlpm.result, "")
)</f>
        <v/>
      </c>
      <c r="AL153" t="str">
        <f>_xlfn.LET(
  _xlpm.result, _xlfn.XLOOKUP($B153, Result_Database!$A$2:$A$500, Result_Database!AK$2:AK$500),
  _xlfn.IFNA(_xlpm.result, "")
)</f>
        <v/>
      </c>
      <c r="AM15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5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5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5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5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5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5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5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5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53" t="str">
        <f>IF(SUM(Table5[[#This Row],[A1]:[C6]])&lt;&gt;0,SUM(Table5[[#This Row],[A1]:[C6]]),"")</f>
        <v/>
      </c>
      <c r="AW153" t="str">
        <f>IF(SUM(Table5[[#This Row],[D7]:[F9]])=0,"",SUM(Table5[[#This Row],[D7]:[F9]]))</f>
        <v/>
      </c>
      <c r="AX15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5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5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5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5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5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53" t="str">
        <f>IF(COUNTIF(Table5[[#This Row],[English Language]:[Electrical/ Electronics]],"WITHHELD")=0,"",COUNTIF(Table5[[#This Row],[English Language]:[Electrical/ Electronics]],"WITHHELD"))</f>
        <v/>
      </c>
      <c r="BE153" t="str">
        <f>IF(SUM(Table5[[#This Row],[NO OF CREDITS]:[BELOW CREDITS]])=0,"",SUM(Table5[[#This Row],[NO OF CREDITS]:[BELOW CREDITS]]))</f>
        <v/>
      </c>
    </row>
    <row r="154" spans="1:57" x14ac:dyDescent="0.3">
      <c r="A154" t="str">
        <f>IF(B154&lt;&gt;"",COUNTA($B$6:B154),"")</f>
        <v/>
      </c>
      <c r="B154" t="str">
        <f>IF(Result_Database!A150="","",Result_Database!A150)</f>
        <v/>
      </c>
      <c r="C154" t="str">
        <f>_xlfn.LET(
_xlpm.result,_xlfn.XLOOKUP($B154,Result_Database!$A$2:$A$500,Result_Database!$B$2:$B$500),
_xlfn.IFNA(_xlpm.result,"")
)</f>
        <v/>
      </c>
      <c r="D154" t="str">
        <f>_xlfn.LET(
  _xlpm.result, _xlfn.XLOOKUP($B154, Result_Database!$A$2:$A$500, Result_Database!C$2:C$500),
  _xlfn.IFNA(_xlpm.result, "")
)</f>
        <v/>
      </c>
      <c r="E154" t="str">
        <f>_xlfn.LET(
  _xlpm.result, _xlfn.XLOOKUP($B154, Result_Database!$A$2:$A$500, Result_Database!D$2:D$500),
  _xlfn.IFNA(_xlpm.result, "")
)</f>
        <v/>
      </c>
      <c r="F154" t="str">
        <f>_xlfn.LET(
  _xlpm.result, _xlfn.XLOOKUP($B154, Result_Database!$A$2:$A$500, Result_Database!E$2:E$500),
  _xlfn.IFNA(_xlpm.result, "")
)</f>
        <v/>
      </c>
      <c r="G154" t="str">
        <f>_xlfn.LET(
  _xlpm.result, _xlfn.XLOOKUP($B154, Result_Database!$A$2:$A$500, Result_Database!F$2:F$500),
  _xlfn.IFNA(_xlpm.result, "")
)</f>
        <v/>
      </c>
      <c r="H154" t="str">
        <f>_xlfn.LET(
  _xlpm.result, _xlfn.XLOOKUP($B154, Result_Database!$A$2:$A$500, Result_Database!G$2:G$500),
  _xlfn.IFNA(_xlpm.result, "")
)</f>
        <v/>
      </c>
      <c r="I154" t="str">
        <f>_xlfn.LET(
  _xlpm.result, _xlfn.XLOOKUP($B154, Result_Database!$A$2:$A$500, Result_Database!H$2:H$500),
  _xlfn.IFNA(_xlpm.result, "")
)</f>
        <v/>
      </c>
      <c r="J154" t="str">
        <f>_xlfn.LET(
  _xlpm.result, _xlfn.XLOOKUP($B154, Result_Database!$A$2:$A$500, Result_Database!I$2:I$500),
  _xlfn.IFNA(_xlpm.result, "")
)</f>
        <v/>
      </c>
      <c r="K154" t="str">
        <f>_xlfn.LET(
  _xlpm.result, _xlfn.XLOOKUP($B154, Result_Database!$A$2:$A$500, Result_Database!J$2:J$500),
  _xlfn.IFNA(_xlpm.result, "")
)</f>
        <v/>
      </c>
      <c r="L154" t="str">
        <f>_xlfn.LET(
  _xlpm.result, _xlfn.XLOOKUP($B154, Result_Database!$A$2:$A$500, Result_Database!K$2:K$500),
  _xlfn.IFNA(_xlpm.result, "")
)</f>
        <v/>
      </c>
      <c r="M154" t="str">
        <f>_xlfn.LET(
  _xlpm.result, _xlfn.XLOOKUP($B154, Result_Database!$A$2:$A$500, Result_Database!L$2:L$500),
  _xlfn.IFNA(_xlpm.result, "")
)</f>
        <v/>
      </c>
      <c r="N154" t="str">
        <f>_xlfn.LET(
  _xlpm.result, _xlfn.XLOOKUP($B154, Result_Database!$A$2:$A$500, Result_Database!M$2:M$500),
  _xlfn.IFNA(_xlpm.result, "")
)</f>
        <v/>
      </c>
      <c r="O154" t="str">
        <f>_xlfn.LET(
  _xlpm.result, _xlfn.XLOOKUP($B154, Result_Database!$A$2:$A$500, Result_Database!N$2:N$500),
  _xlfn.IFNA(_xlpm.result, "")
)</f>
        <v/>
      </c>
      <c r="P154" t="str">
        <f>_xlfn.LET(
  _xlpm.result, _xlfn.XLOOKUP($B154, Result_Database!$A$2:$A$500, Result_Database!O$2:O$500),
  _xlfn.IFNA(_xlpm.result, "")
)</f>
        <v/>
      </c>
      <c r="Q154" t="str">
        <f>_xlfn.LET(
  _xlpm.result, _xlfn.XLOOKUP($B154, Result_Database!$A$2:$A$500, Result_Database!P$2:P$500),
  _xlfn.IFNA(_xlpm.result, "")
)</f>
        <v/>
      </c>
      <c r="R154" t="str">
        <f>_xlfn.LET(
  _xlpm.result, _xlfn.XLOOKUP($B154, Result_Database!$A$2:$A$500, Result_Database!Q$2:Q$500),
  _xlfn.IFNA(_xlpm.result, "")
)</f>
        <v/>
      </c>
      <c r="S154" t="str">
        <f>_xlfn.LET(
  _xlpm.result, _xlfn.XLOOKUP($B154, Result_Database!$A$2:$A$500, Result_Database!R$2:R$500),
  _xlfn.IFNA(_xlpm.result, "")
)</f>
        <v/>
      </c>
      <c r="T154" t="str">
        <f>_xlfn.LET(
  _xlpm.result, _xlfn.XLOOKUP($B154, Result_Database!$A$2:$A$500, Result_Database!S$2:S$500),
  _xlfn.IFNA(_xlpm.result, "")
)</f>
        <v/>
      </c>
      <c r="U154" t="str">
        <f>_xlfn.LET(
  _xlpm.result, _xlfn.XLOOKUP($B154, Result_Database!$A$2:$A$500, Result_Database!T$2:T$500),
  _xlfn.IFNA(_xlpm.result, "")
)</f>
        <v/>
      </c>
      <c r="V154" t="str">
        <f>_xlfn.LET(
  _xlpm.result, _xlfn.XLOOKUP($B154, Result_Database!$A$2:$A$500, Result_Database!U$2:U$500),
  _xlfn.IFNA(_xlpm.result, "")
)</f>
        <v/>
      </c>
      <c r="W154" t="str">
        <f>_xlfn.LET(
  _xlpm.result, _xlfn.XLOOKUP($B154, Result_Database!$A$2:$A$500, Result_Database!V$2:V$500),
  _xlfn.IFNA(_xlpm.result, "")
)</f>
        <v/>
      </c>
      <c r="X154" t="str">
        <f>_xlfn.LET(
  _xlpm.result, _xlfn.XLOOKUP($B154, Result_Database!$A$2:$A$500, Result_Database!W$2:W$500),
  _xlfn.IFNA(_xlpm.result, "")
)</f>
        <v/>
      </c>
      <c r="Y154" t="str">
        <f>_xlfn.LET(
  _xlpm.result, _xlfn.XLOOKUP($B154, Result_Database!$A$2:$A$500, Result_Database!X$2:X$500),
  _xlfn.IFNA(_xlpm.result, "")
)</f>
        <v/>
      </c>
      <c r="Z154" t="str">
        <f>_xlfn.LET(
  _xlpm.result, _xlfn.XLOOKUP($B154, Result_Database!$A$2:$A$500, Result_Database!Y$2:Y$500),
  _xlfn.IFNA(_xlpm.result, "")
)</f>
        <v/>
      </c>
      <c r="AA154" t="str">
        <f>_xlfn.LET(
  _xlpm.result, _xlfn.XLOOKUP($B154, Result_Database!$A$2:$A$500, Result_Database!Z$2:Z$500),
  _xlfn.IFNA(_xlpm.result, "")
)</f>
        <v/>
      </c>
      <c r="AB154" t="str">
        <f>_xlfn.LET(
  _xlpm.result, _xlfn.XLOOKUP($B154, Result_Database!$A$2:$A$500, Result_Database!AA$2:AA$500),
  _xlfn.IFNA(_xlpm.result, "")
)</f>
        <v/>
      </c>
      <c r="AC154" t="str">
        <f>_xlfn.LET(
  _xlpm.result, _xlfn.XLOOKUP($B154, Result_Database!$A$2:$A$500, Result_Database!AB$2:AB$500),
  _xlfn.IFNA(_xlpm.result, "")
)</f>
        <v/>
      </c>
      <c r="AD154" t="str">
        <f>_xlfn.LET(
  _xlpm.result, _xlfn.XLOOKUP($B154, Result_Database!$A$2:$A$500, Result_Database!AC$2:AC$500),
  _xlfn.IFNA(_xlpm.result, "")
)</f>
        <v/>
      </c>
      <c r="AE154" t="str">
        <f>_xlfn.LET(
  _xlpm.result, _xlfn.XLOOKUP($B154, Result_Database!$A$2:$A$500, Result_Database!AD$2:AD$500),
  _xlfn.IFNA(_xlpm.result, "")
)</f>
        <v/>
      </c>
      <c r="AF154" t="str">
        <f>_xlfn.LET(
  _xlpm.result, _xlfn.XLOOKUP($B154, Result_Database!$A$2:$A$500, Result_Database!AE$2:AE$500),
  _xlfn.IFNA(_xlpm.result, "")
)</f>
        <v/>
      </c>
      <c r="AG154" t="str">
        <f>_xlfn.LET(
  _xlpm.result, _xlfn.XLOOKUP($B154, Result_Database!$A$2:$A$500, Result_Database!AF$2:AF$500),
  _xlfn.IFNA(_xlpm.result, "")
)</f>
        <v/>
      </c>
      <c r="AH154" t="str">
        <f>_xlfn.LET(
  _xlpm.result, _xlfn.XLOOKUP($B154, Result_Database!$A$2:$A$500, Result_Database!AG$2:AG$500),
  _xlfn.IFNA(_xlpm.result, "")
)</f>
        <v/>
      </c>
      <c r="AI154" t="str">
        <f>_xlfn.LET(
  _xlpm.result, _xlfn.XLOOKUP($B154, Result_Database!$A$2:$A$500, Result_Database!AH$2:AH$500),
  _xlfn.IFNA(_xlpm.result, "")
)</f>
        <v/>
      </c>
      <c r="AJ154" t="str">
        <f>_xlfn.LET(
  _xlpm.result, _xlfn.XLOOKUP($B154, Result_Database!$A$2:$A$500, Result_Database!AI$2:AI$500),
  _xlfn.IFNA(_xlpm.result, "")
)</f>
        <v/>
      </c>
      <c r="AK154" t="str">
        <f>_xlfn.LET(
  _xlpm.result, _xlfn.XLOOKUP($B154, Result_Database!$A$2:$A$500, Result_Database!AJ$2:AJ$500),
  _xlfn.IFNA(_xlpm.result, "")
)</f>
        <v/>
      </c>
      <c r="AL154" t="str">
        <f>_xlfn.LET(
  _xlpm.result, _xlfn.XLOOKUP($B154, Result_Database!$A$2:$A$500, Result_Database!AK$2:AK$500),
  _xlfn.IFNA(_xlpm.result, "")
)</f>
        <v/>
      </c>
      <c r="AM15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5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5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5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5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5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5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5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5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54" t="str">
        <f>IF(SUM(Table5[[#This Row],[A1]:[C6]])&lt;&gt;0,SUM(Table5[[#This Row],[A1]:[C6]]),"")</f>
        <v/>
      </c>
      <c r="AW154" t="str">
        <f>IF(SUM(Table5[[#This Row],[D7]:[F9]])=0,"",SUM(Table5[[#This Row],[D7]:[F9]]))</f>
        <v/>
      </c>
      <c r="AX15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5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5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5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5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5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54" t="str">
        <f>IF(COUNTIF(Table5[[#This Row],[English Language]:[Electrical/ Electronics]],"WITHHELD")=0,"",COUNTIF(Table5[[#This Row],[English Language]:[Electrical/ Electronics]],"WITHHELD"))</f>
        <v/>
      </c>
      <c r="BE154" t="str">
        <f>IF(SUM(Table5[[#This Row],[NO OF CREDITS]:[BELOW CREDITS]])=0,"",SUM(Table5[[#This Row],[NO OF CREDITS]:[BELOW CREDITS]]))</f>
        <v/>
      </c>
    </row>
    <row r="155" spans="1:57" x14ac:dyDescent="0.3">
      <c r="A155" t="str">
        <f>IF(B155&lt;&gt;"",COUNTA($B$6:B155),"")</f>
        <v/>
      </c>
      <c r="B155" t="str">
        <f>IF(Result_Database!A151="","",Result_Database!A151)</f>
        <v/>
      </c>
      <c r="C155" t="str">
        <f>_xlfn.LET(
_xlpm.result,_xlfn.XLOOKUP($B155,Result_Database!$A$2:$A$500,Result_Database!$B$2:$B$500),
_xlfn.IFNA(_xlpm.result,"")
)</f>
        <v/>
      </c>
      <c r="D155" t="str">
        <f>_xlfn.LET(
  _xlpm.result, _xlfn.XLOOKUP($B155, Result_Database!$A$2:$A$500, Result_Database!C$2:C$500),
  _xlfn.IFNA(_xlpm.result, "")
)</f>
        <v/>
      </c>
      <c r="E155" t="str">
        <f>_xlfn.LET(
  _xlpm.result, _xlfn.XLOOKUP($B155, Result_Database!$A$2:$A$500, Result_Database!D$2:D$500),
  _xlfn.IFNA(_xlpm.result, "")
)</f>
        <v/>
      </c>
      <c r="F155" t="str">
        <f>_xlfn.LET(
  _xlpm.result, _xlfn.XLOOKUP($B155, Result_Database!$A$2:$A$500, Result_Database!E$2:E$500),
  _xlfn.IFNA(_xlpm.result, "")
)</f>
        <v/>
      </c>
      <c r="G155" t="str">
        <f>_xlfn.LET(
  _xlpm.result, _xlfn.XLOOKUP($B155, Result_Database!$A$2:$A$500, Result_Database!F$2:F$500),
  _xlfn.IFNA(_xlpm.result, "")
)</f>
        <v/>
      </c>
      <c r="H155" t="str">
        <f>_xlfn.LET(
  _xlpm.result, _xlfn.XLOOKUP($B155, Result_Database!$A$2:$A$500, Result_Database!G$2:G$500),
  _xlfn.IFNA(_xlpm.result, "")
)</f>
        <v/>
      </c>
      <c r="I155" t="str">
        <f>_xlfn.LET(
  _xlpm.result, _xlfn.XLOOKUP($B155, Result_Database!$A$2:$A$500, Result_Database!H$2:H$500),
  _xlfn.IFNA(_xlpm.result, "")
)</f>
        <v/>
      </c>
      <c r="J155" t="str">
        <f>_xlfn.LET(
  _xlpm.result, _xlfn.XLOOKUP($B155, Result_Database!$A$2:$A$500, Result_Database!I$2:I$500),
  _xlfn.IFNA(_xlpm.result, "")
)</f>
        <v/>
      </c>
      <c r="K155" t="str">
        <f>_xlfn.LET(
  _xlpm.result, _xlfn.XLOOKUP($B155, Result_Database!$A$2:$A$500, Result_Database!J$2:J$500),
  _xlfn.IFNA(_xlpm.result, "")
)</f>
        <v/>
      </c>
      <c r="L155" t="str">
        <f>_xlfn.LET(
  _xlpm.result, _xlfn.XLOOKUP($B155, Result_Database!$A$2:$A$500, Result_Database!K$2:K$500),
  _xlfn.IFNA(_xlpm.result, "")
)</f>
        <v/>
      </c>
      <c r="M155" t="str">
        <f>_xlfn.LET(
  _xlpm.result, _xlfn.XLOOKUP($B155, Result_Database!$A$2:$A$500, Result_Database!L$2:L$500),
  _xlfn.IFNA(_xlpm.result, "")
)</f>
        <v/>
      </c>
      <c r="N155" t="str">
        <f>_xlfn.LET(
  _xlpm.result, _xlfn.XLOOKUP($B155, Result_Database!$A$2:$A$500, Result_Database!M$2:M$500),
  _xlfn.IFNA(_xlpm.result, "")
)</f>
        <v/>
      </c>
      <c r="O155" t="str">
        <f>_xlfn.LET(
  _xlpm.result, _xlfn.XLOOKUP($B155, Result_Database!$A$2:$A$500, Result_Database!N$2:N$500),
  _xlfn.IFNA(_xlpm.result, "")
)</f>
        <v/>
      </c>
      <c r="P155" t="str">
        <f>_xlfn.LET(
  _xlpm.result, _xlfn.XLOOKUP($B155, Result_Database!$A$2:$A$500, Result_Database!O$2:O$500),
  _xlfn.IFNA(_xlpm.result, "")
)</f>
        <v/>
      </c>
      <c r="Q155" t="str">
        <f>_xlfn.LET(
  _xlpm.result, _xlfn.XLOOKUP($B155, Result_Database!$A$2:$A$500, Result_Database!P$2:P$500),
  _xlfn.IFNA(_xlpm.result, "")
)</f>
        <v/>
      </c>
      <c r="R155" t="str">
        <f>_xlfn.LET(
  _xlpm.result, _xlfn.XLOOKUP($B155, Result_Database!$A$2:$A$500, Result_Database!Q$2:Q$500),
  _xlfn.IFNA(_xlpm.result, "")
)</f>
        <v/>
      </c>
      <c r="S155" t="str">
        <f>_xlfn.LET(
  _xlpm.result, _xlfn.XLOOKUP($B155, Result_Database!$A$2:$A$500, Result_Database!R$2:R$500),
  _xlfn.IFNA(_xlpm.result, "")
)</f>
        <v/>
      </c>
      <c r="T155" t="str">
        <f>_xlfn.LET(
  _xlpm.result, _xlfn.XLOOKUP($B155, Result_Database!$A$2:$A$500, Result_Database!S$2:S$500),
  _xlfn.IFNA(_xlpm.result, "")
)</f>
        <v/>
      </c>
      <c r="U155" t="str">
        <f>_xlfn.LET(
  _xlpm.result, _xlfn.XLOOKUP($B155, Result_Database!$A$2:$A$500, Result_Database!T$2:T$500),
  _xlfn.IFNA(_xlpm.result, "")
)</f>
        <v/>
      </c>
      <c r="V155" t="str">
        <f>_xlfn.LET(
  _xlpm.result, _xlfn.XLOOKUP($B155, Result_Database!$A$2:$A$500, Result_Database!U$2:U$500),
  _xlfn.IFNA(_xlpm.result, "")
)</f>
        <v/>
      </c>
      <c r="W155" t="str">
        <f>_xlfn.LET(
  _xlpm.result, _xlfn.XLOOKUP($B155, Result_Database!$A$2:$A$500, Result_Database!V$2:V$500),
  _xlfn.IFNA(_xlpm.result, "")
)</f>
        <v/>
      </c>
      <c r="X155" t="str">
        <f>_xlfn.LET(
  _xlpm.result, _xlfn.XLOOKUP($B155, Result_Database!$A$2:$A$500, Result_Database!W$2:W$500),
  _xlfn.IFNA(_xlpm.result, "")
)</f>
        <v/>
      </c>
      <c r="Y155" t="str">
        <f>_xlfn.LET(
  _xlpm.result, _xlfn.XLOOKUP($B155, Result_Database!$A$2:$A$500, Result_Database!X$2:X$500),
  _xlfn.IFNA(_xlpm.result, "")
)</f>
        <v/>
      </c>
      <c r="Z155" t="str">
        <f>_xlfn.LET(
  _xlpm.result, _xlfn.XLOOKUP($B155, Result_Database!$A$2:$A$500, Result_Database!Y$2:Y$500),
  _xlfn.IFNA(_xlpm.result, "")
)</f>
        <v/>
      </c>
      <c r="AA155" t="str">
        <f>_xlfn.LET(
  _xlpm.result, _xlfn.XLOOKUP($B155, Result_Database!$A$2:$A$500, Result_Database!Z$2:Z$500),
  _xlfn.IFNA(_xlpm.result, "")
)</f>
        <v/>
      </c>
      <c r="AB155" t="str">
        <f>_xlfn.LET(
  _xlpm.result, _xlfn.XLOOKUP($B155, Result_Database!$A$2:$A$500, Result_Database!AA$2:AA$500),
  _xlfn.IFNA(_xlpm.result, "")
)</f>
        <v/>
      </c>
      <c r="AC155" t="str">
        <f>_xlfn.LET(
  _xlpm.result, _xlfn.XLOOKUP($B155, Result_Database!$A$2:$A$500, Result_Database!AB$2:AB$500),
  _xlfn.IFNA(_xlpm.result, "")
)</f>
        <v/>
      </c>
      <c r="AD155" t="str">
        <f>_xlfn.LET(
  _xlpm.result, _xlfn.XLOOKUP($B155, Result_Database!$A$2:$A$500, Result_Database!AC$2:AC$500),
  _xlfn.IFNA(_xlpm.result, "")
)</f>
        <v/>
      </c>
      <c r="AE155" t="str">
        <f>_xlfn.LET(
  _xlpm.result, _xlfn.XLOOKUP($B155, Result_Database!$A$2:$A$500, Result_Database!AD$2:AD$500),
  _xlfn.IFNA(_xlpm.result, "")
)</f>
        <v/>
      </c>
      <c r="AF155" t="str">
        <f>_xlfn.LET(
  _xlpm.result, _xlfn.XLOOKUP($B155, Result_Database!$A$2:$A$500, Result_Database!AE$2:AE$500),
  _xlfn.IFNA(_xlpm.result, "")
)</f>
        <v/>
      </c>
      <c r="AG155" t="str">
        <f>_xlfn.LET(
  _xlpm.result, _xlfn.XLOOKUP($B155, Result_Database!$A$2:$A$500, Result_Database!AF$2:AF$500),
  _xlfn.IFNA(_xlpm.result, "")
)</f>
        <v/>
      </c>
      <c r="AH155" t="str">
        <f>_xlfn.LET(
  _xlpm.result, _xlfn.XLOOKUP($B155, Result_Database!$A$2:$A$500, Result_Database!AG$2:AG$500),
  _xlfn.IFNA(_xlpm.result, "")
)</f>
        <v/>
      </c>
      <c r="AI155" t="str">
        <f>_xlfn.LET(
  _xlpm.result, _xlfn.XLOOKUP($B155, Result_Database!$A$2:$A$500, Result_Database!AH$2:AH$500),
  _xlfn.IFNA(_xlpm.result, "")
)</f>
        <v/>
      </c>
      <c r="AJ155" t="str">
        <f>_xlfn.LET(
  _xlpm.result, _xlfn.XLOOKUP($B155, Result_Database!$A$2:$A$500, Result_Database!AI$2:AI$500),
  _xlfn.IFNA(_xlpm.result, "")
)</f>
        <v/>
      </c>
      <c r="AK155" t="str">
        <f>_xlfn.LET(
  _xlpm.result, _xlfn.XLOOKUP($B155, Result_Database!$A$2:$A$500, Result_Database!AJ$2:AJ$500),
  _xlfn.IFNA(_xlpm.result, "")
)</f>
        <v/>
      </c>
      <c r="AL155" t="str">
        <f>_xlfn.LET(
  _xlpm.result, _xlfn.XLOOKUP($B155, Result_Database!$A$2:$A$500, Result_Database!AK$2:AK$500),
  _xlfn.IFNA(_xlpm.result, "")
)</f>
        <v/>
      </c>
      <c r="AM15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5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5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5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5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5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5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5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5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55" t="str">
        <f>IF(SUM(Table5[[#This Row],[A1]:[C6]])&lt;&gt;0,SUM(Table5[[#This Row],[A1]:[C6]]),"")</f>
        <v/>
      </c>
      <c r="AW155" t="str">
        <f>IF(SUM(Table5[[#This Row],[D7]:[F9]])=0,"",SUM(Table5[[#This Row],[D7]:[F9]]))</f>
        <v/>
      </c>
      <c r="AX15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5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5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5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5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5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55" t="str">
        <f>IF(COUNTIF(Table5[[#This Row],[English Language]:[Electrical/ Electronics]],"WITHHELD")=0,"",COUNTIF(Table5[[#This Row],[English Language]:[Electrical/ Electronics]],"WITHHELD"))</f>
        <v/>
      </c>
      <c r="BE155" t="str">
        <f>IF(SUM(Table5[[#This Row],[NO OF CREDITS]:[BELOW CREDITS]])=0,"",SUM(Table5[[#This Row],[NO OF CREDITS]:[BELOW CREDITS]]))</f>
        <v/>
      </c>
    </row>
    <row r="156" spans="1:57" x14ac:dyDescent="0.3">
      <c r="A156" t="str">
        <f>IF(B156&lt;&gt;"",COUNTA($B$6:B156),"")</f>
        <v/>
      </c>
      <c r="B156" t="str">
        <f>IF(Result_Database!A152="","",Result_Database!A152)</f>
        <v/>
      </c>
      <c r="C156" t="str">
        <f>_xlfn.LET(
_xlpm.result,_xlfn.XLOOKUP($B156,Result_Database!$A$2:$A$500,Result_Database!$B$2:$B$500),
_xlfn.IFNA(_xlpm.result,"")
)</f>
        <v/>
      </c>
      <c r="D156" t="str">
        <f>_xlfn.LET(
  _xlpm.result, _xlfn.XLOOKUP($B156, Result_Database!$A$2:$A$500, Result_Database!C$2:C$500),
  _xlfn.IFNA(_xlpm.result, "")
)</f>
        <v/>
      </c>
      <c r="E156" t="str">
        <f>_xlfn.LET(
  _xlpm.result, _xlfn.XLOOKUP($B156, Result_Database!$A$2:$A$500, Result_Database!D$2:D$500),
  _xlfn.IFNA(_xlpm.result, "")
)</f>
        <v/>
      </c>
      <c r="F156" t="str">
        <f>_xlfn.LET(
  _xlpm.result, _xlfn.XLOOKUP($B156, Result_Database!$A$2:$A$500, Result_Database!E$2:E$500),
  _xlfn.IFNA(_xlpm.result, "")
)</f>
        <v/>
      </c>
      <c r="G156" t="str">
        <f>_xlfn.LET(
  _xlpm.result, _xlfn.XLOOKUP($B156, Result_Database!$A$2:$A$500, Result_Database!F$2:F$500),
  _xlfn.IFNA(_xlpm.result, "")
)</f>
        <v/>
      </c>
      <c r="H156" t="str">
        <f>_xlfn.LET(
  _xlpm.result, _xlfn.XLOOKUP($B156, Result_Database!$A$2:$A$500, Result_Database!G$2:G$500),
  _xlfn.IFNA(_xlpm.result, "")
)</f>
        <v/>
      </c>
      <c r="I156" t="str">
        <f>_xlfn.LET(
  _xlpm.result, _xlfn.XLOOKUP($B156, Result_Database!$A$2:$A$500, Result_Database!H$2:H$500),
  _xlfn.IFNA(_xlpm.result, "")
)</f>
        <v/>
      </c>
      <c r="J156" t="str">
        <f>_xlfn.LET(
  _xlpm.result, _xlfn.XLOOKUP($B156, Result_Database!$A$2:$A$500, Result_Database!I$2:I$500),
  _xlfn.IFNA(_xlpm.result, "")
)</f>
        <v/>
      </c>
      <c r="K156" t="str">
        <f>_xlfn.LET(
  _xlpm.result, _xlfn.XLOOKUP($B156, Result_Database!$A$2:$A$500, Result_Database!J$2:J$500),
  _xlfn.IFNA(_xlpm.result, "")
)</f>
        <v/>
      </c>
      <c r="L156" t="str">
        <f>_xlfn.LET(
  _xlpm.result, _xlfn.XLOOKUP($B156, Result_Database!$A$2:$A$500, Result_Database!K$2:K$500),
  _xlfn.IFNA(_xlpm.result, "")
)</f>
        <v/>
      </c>
      <c r="M156" t="str">
        <f>_xlfn.LET(
  _xlpm.result, _xlfn.XLOOKUP($B156, Result_Database!$A$2:$A$500, Result_Database!L$2:L$500),
  _xlfn.IFNA(_xlpm.result, "")
)</f>
        <v/>
      </c>
      <c r="N156" t="str">
        <f>_xlfn.LET(
  _xlpm.result, _xlfn.XLOOKUP($B156, Result_Database!$A$2:$A$500, Result_Database!M$2:M$500),
  _xlfn.IFNA(_xlpm.result, "")
)</f>
        <v/>
      </c>
      <c r="O156" t="str">
        <f>_xlfn.LET(
  _xlpm.result, _xlfn.XLOOKUP($B156, Result_Database!$A$2:$A$500, Result_Database!N$2:N$500),
  _xlfn.IFNA(_xlpm.result, "")
)</f>
        <v/>
      </c>
      <c r="P156" t="str">
        <f>_xlfn.LET(
  _xlpm.result, _xlfn.XLOOKUP($B156, Result_Database!$A$2:$A$500, Result_Database!O$2:O$500),
  _xlfn.IFNA(_xlpm.result, "")
)</f>
        <v/>
      </c>
      <c r="Q156" t="str">
        <f>_xlfn.LET(
  _xlpm.result, _xlfn.XLOOKUP($B156, Result_Database!$A$2:$A$500, Result_Database!P$2:P$500),
  _xlfn.IFNA(_xlpm.result, "")
)</f>
        <v/>
      </c>
      <c r="R156" t="str">
        <f>_xlfn.LET(
  _xlpm.result, _xlfn.XLOOKUP($B156, Result_Database!$A$2:$A$500, Result_Database!Q$2:Q$500),
  _xlfn.IFNA(_xlpm.result, "")
)</f>
        <v/>
      </c>
      <c r="S156" t="str">
        <f>_xlfn.LET(
  _xlpm.result, _xlfn.XLOOKUP($B156, Result_Database!$A$2:$A$500, Result_Database!R$2:R$500),
  _xlfn.IFNA(_xlpm.result, "")
)</f>
        <v/>
      </c>
      <c r="T156" t="str">
        <f>_xlfn.LET(
  _xlpm.result, _xlfn.XLOOKUP($B156, Result_Database!$A$2:$A$500, Result_Database!S$2:S$500),
  _xlfn.IFNA(_xlpm.result, "")
)</f>
        <v/>
      </c>
      <c r="U156" t="str">
        <f>_xlfn.LET(
  _xlpm.result, _xlfn.XLOOKUP($B156, Result_Database!$A$2:$A$500, Result_Database!T$2:T$500),
  _xlfn.IFNA(_xlpm.result, "")
)</f>
        <v/>
      </c>
      <c r="V156" t="str">
        <f>_xlfn.LET(
  _xlpm.result, _xlfn.XLOOKUP($B156, Result_Database!$A$2:$A$500, Result_Database!U$2:U$500),
  _xlfn.IFNA(_xlpm.result, "")
)</f>
        <v/>
      </c>
      <c r="W156" t="str">
        <f>_xlfn.LET(
  _xlpm.result, _xlfn.XLOOKUP($B156, Result_Database!$A$2:$A$500, Result_Database!V$2:V$500),
  _xlfn.IFNA(_xlpm.result, "")
)</f>
        <v/>
      </c>
      <c r="X156" t="str">
        <f>_xlfn.LET(
  _xlpm.result, _xlfn.XLOOKUP($B156, Result_Database!$A$2:$A$500, Result_Database!W$2:W$500),
  _xlfn.IFNA(_xlpm.result, "")
)</f>
        <v/>
      </c>
      <c r="Y156" t="str">
        <f>_xlfn.LET(
  _xlpm.result, _xlfn.XLOOKUP($B156, Result_Database!$A$2:$A$500, Result_Database!X$2:X$500),
  _xlfn.IFNA(_xlpm.result, "")
)</f>
        <v/>
      </c>
      <c r="Z156" t="str">
        <f>_xlfn.LET(
  _xlpm.result, _xlfn.XLOOKUP($B156, Result_Database!$A$2:$A$500, Result_Database!Y$2:Y$500),
  _xlfn.IFNA(_xlpm.result, "")
)</f>
        <v/>
      </c>
      <c r="AA156" t="str">
        <f>_xlfn.LET(
  _xlpm.result, _xlfn.XLOOKUP($B156, Result_Database!$A$2:$A$500, Result_Database!Z$2:Z$500),
  _xlfn.IFNA(_xlpm.result, "")
)</f>
        <v/>
      </c>
      <c r="AB156" t="str">
        <f>_xlfn.LET(
  _xlpm.result, _xlfn.XLOOKUP($B156, Result_Database!$A$2:$A$500, Result_Database!AA$2:AA$500),
  _xlfn.IFNA(_xlpm.result, "")
)</f>
        <v/>
      </c>
      <c r="AC156" t="str">
        <f>_xlfn.LET(
  _xlpm.result, _xlfn.XLOOKUP($B156, Result_Database!$A$2:$A$500, Result_Database!AB$2:AB$500),
  _xlfn.IFNA(_xlpm.result, "")
)</f>
        <v/>
      </c>
      <c r="AD156" t="str">
        <f>_xlfn.LET(
  _xlpm.result, _xlfn.XLOOKUP($B156, Result_Database!$A$2:$A$500, Result_Database!AC$2:AC$500),
  _xlfn.IFNA(_xlpm.result, "")
)</f>
        <v/>
      </c>
      <c r="AE156" t="str">
        <f>_xlfn.LET(
  _xlpm.result, _xlfn.XLOOKUP($B156, Result_Database!$A$2:$A$500, Result_Database!AD$2:AD$500),
  _xlfn.IFNA(_xlpm.result, "")
)</f>
        <v/>
      </c>
      <c r="AF156" t="str">
        <f>_xlfn.LET(
  _xlpm.result, _xlfn.XLOOKUP($B156, Result_Database!$A$2:$A$500, Result_Database!AE$2:AE$500),
  _xlfn.IFNA(_xlpm.result, "")
)</f>
        <v/>
      </c>
      <c r="AG156" t="str">
        <f>_xlfn.LET(
  _xlpm.result, _xlfn.XLOOKUP($B156, Result_Database!$A$2:$A$500, Result_Database!AF$2:AF$500),
  _xlfn.IFNA(_xlpm.result, "")
)</f>
        <v/>
      </c>
      <c r="AH156" t="str">
        <f>_xlfn.LET(
  _xlpm.result, _xlfn.XLOOKUP($B156, Result_Database!$A$2:$A$500, Result_Database!AG$2:AG$500),
  _xlfn.IFNA(_xlpm.result, "")
)</f>
        <v/>
      </c>
      <c r="AI156" t="str">
        <f>_xlfn.LET(
  _xlpm.result, _xlfn.XLOOKUP($B156, Result_Database!$A$2:$A$500, Result_Database!AH$2:AH$500),
  _xlfn.IFNA(_xlpm.result, "")
)</f>
        <v/>
      </c>
      <c r="AJ156" t="str">
        <f>_xlfn.LET(
  _xlpm.result, _xlfn.XLOOKUP($B156, Result_Database!$A$2:$A$500, Result_Database!AI$2:AI$500),
  _xlfn.IFNA(_xlpm.result, "")
)</f>
        <v/>
      </c>
      <c r="AK156" t="str">
        <f>_xlfn.LET(
  _xlpm.result, _xlfn.XLOOKUP($B156, Result_Database!$A$2:$A$500, Result_Database!AJ$2:AJ$500),
  _xlfn.IFNA(_xlpm.result, "")
)</f>
        <v/>
      </c>
      <c r="AL156" t="str">
        <f>_xlfn.LET(
  _xlpm.result, _xlfn.XLOOKUP($B156, Result_Database!$A$2:$A$500, Result_Database!AK$2:AK$500),
  _xlfn.IFNA(_xlpm.result, "")
)</f>
        <v/>
      </c>
      <c r="AM15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5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5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5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5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5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5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5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5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56" t="str">
        <f>IF(SUM(Table5[[#This Row],[A1]:[C6]])&lt;&gt;0,SUM(Table5[[#This Row],[A1]:[C6]]),"")</f>
        <v/>
      </c>
      <c r="AW156" t="str">
        <f>IF(SUM(Table5[[#This Row],[D7]:[F9]])=0,"",SUM(Table5[[#This Row],[D7]:[F9]]))</f>
        <v/>
      </c>
      <c r="AX15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5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5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5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5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5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56" t="str">
        <f>IF(COUNTIF(Table5[[#This Row],[English Language]:[Electrical/ Electronics]],"WITHHELD")=0,"",COUNTIF(Table5[[#This Row],[English Language]:[Electrical/ Electronics]],"WITHHELD"))</f>
        <v/>
      </c>
      <c r="BE156" t="str">
        <f>IF(SUM(Table5[[#This Row],[NO OF CREDITS]:[BELOW CREDITS]])=0,"",SUM(Table5[[#This Row],[NO OF CREDITS]:[BELOW CREDITS]]))</f>
        <v/>
      </c>
    </row>
    <row r="157" spans="1:57" x14ac:dyDescent="0.3">
      <c r="A157" t="str">
        <f>IF(B157&lt;&gt;"",COUNTA($B$6:B157),"")</f>
        <v/>
      </c>
      <c r="B157" t="str">
        <f>IF(Result_Database!A153="","",Result_Database!A153)</f>
        <v/>
      </c>
      <c r="C157" t="str">
        <f>_xlfn.LET(
_xlpm.result,_xlfn.XLOOKUP($B157,Result_Database!$A$2:$A$500,Result_Database!$B$2:$B$500),
_xlfn.IFNA(_xlpm.result,"")
)</f>
        <v/>
      </c>
      <c r="D157" t="str">
        <f>_xlfn.LET(
  _xlpm.result, _xlfn.XLOOKUP($B157, Result_Database!$A$2:$A$500, Result_Database!C$2:C$500),
  _xlfn.IFNA(_xlpm.result, "")
)</f>
        <v/>
      </c>
      <c r="E157" t="str">
        <f>_xlfn.LET(
  _xlpm.result, _xlfn.XLOOKUP($B157, Result_Database!$A$2:$A$500, Result_Database!D$2:D$500),
  _xlfn.IFNA(_xlpm.result, "")
)</f>
        <v/>
      </c>
      <c r="F157" t="str">
        <f>_xlfn.LET(
  _xlpm.result, _xlfn.XLOOKUP($B157, Result_Database!$A$2:$A$500, Result_Database!E$2:E$500),
  _xlfn.IFNA(_xlpm.result, "")
)</f>
        <v/>
      </c>
      <c r="G157" t="str">
        <f>_xlfn.LET(
  _xlpm.result, _xlfn.XLOOKUP($B157, Result_Database!$A$2:$A$500, Result_Database!F$2:F$500),
  _xlfn.IFNA(_xlpm.result, "")
)</f>
        <v/>
      </c>
      <c r="H157" t="str">
        <f>_xlfn.LET(
  _xlpm.result, _xlfn.XLOOKUP($B157, Result_Database!$A$2:$A$500, Result_Database!G$2:G$500),
  _xlfn.IFNA(_xlpm.result, "")
)</f>
        <v/>
      </c>
      <c r="I157" t="str">
        <f>_xlfn.LET(
  _xlpm.result, _xlfn.XLOOKUP($B157, Result_Database!$A$2:$A$500, Result_Database!H$2:H$500),
  _xlfn.IFNA(_xlpm.result, "")
)</f>
        <v/>
      </c>
      <c r="J157" t="str">
        <f>_xlfn.LET(
  _xlpm.result, _xlfn.XLOOKUP($B157, Result_Database!$A$2:$A$500, Result_Database!I$2:I$500),
  _xlfn.IFNA(_xlpm.result, "")
)</f>
        <v/>
      </c>
      <c r="K157" t="str">
        <f>_xlfn.LET(
  _xlpm.result, _xlfn.XLOOKUP($B157, Result_Database!$A$2:$A$500, Result_Database!J$2:J$500),
  _xlfn.IFNA(_xlpm.result, "")
)</f>
        <v/>
      </c>
      <c r="L157" t="str">
        <f>_xlfn.LET(
  _xlpm.result, _xlfn.XLOOKUP($B157, Result_Database!$A$2:$A$500, Result_Database!K$2:K$500),
  _xlfn.IFNA(_xlpm.result, "")
)</f>
        <v/>
      </c>
      <c r="M157" t="str">
        <f>_xlfn.LET(
  _xlpm.result, _xlfn.XLOOKUP($B157, Result_Database!$A$2:$A$500, Result_Database!L$2:L$500),
  _xlfn.IFNA(_xlpm.result, "")
)</f>
        <v/>
      </c>
      <c r="N157" t="str">
        <f>_xlfn.LET(
  _xlpm.result, _xlfn.XLOOKUP($B157, Result_Database!$A$2:$A$500, Result_Database!M$2:M$500),
  _xlfn.IFNA(_xlpm.result, "")
)</f>
        <v/>
      </c>
      <c r="O157" t="str">
        <f>_xlfn.LET(
  _xlpm.result, _xlfn.XLOOKUP($B157, Result_Database!$A$2:$A$500, Result_Database!N$2:N$500),
  _xlfn.IFNA(_xlpm.result, "")
)</f>
        <v/>
      </c>
      <c r="P157" t="str">
        <f>_xlfn.LET(
  _xlpm.result, _xlfn.XLOOKUP($B157, Result_Database!$A$2:$A$500, Result_Database!O$2:O$500),
  _xlfn.IFNA(_xlpm.result, "")
)</f>
        <v/>
      </c>
      <c r="Q157" t="str">
        <f>_xlfn.LET(
  _xlpm.result, _xlfn.XLOOKUP($B157, Result_Database!$A$2:$A$500, Result_Database!P$2:P$500),
  _xlfn.IFNA(_xlpm.result, "")
)</f>
        <v/>
      </c>
      <c r="R157" t="str">
        <f>_xlfn.LET(
  _xlpm.result, _xlfn.XLOOKUP($B157, Result_Database!$A$2:$A$500, Result_Database!Q$2:Q$500),
  _xlfn.IFNA(_xlpm.result, "")
)</f>
        <v/>
      </c>
      <c r="S157" t="str">
        <f>_xlfn.LET(
  _xlpm.result, _xlfn.XLOOKUP($B157, Result_Database!$A$2:$A$500, Result_Database!R$2:R$500),
  _xlfn.IFNA(_xlpm.result, "")
)</f>
        <v/>
      </c>
      <c r="T157" t="str">
        <f>_xlfn.LET(
  _xlpm.result, _xlfn.XLOOKUP($B157, Result_Database!$A$2:$A$500, Result_Database!S$2:S$500),
  _xlfn.IFNA(_xlpm.result, "")
)</f>
        <v/>
      </c>
      <c r="U157" t="str">
        <f>_xlfn.LET(
  _xlpm.result, _xlfn.XLOOKUP($B157, Result_Database!$A$2:$A$500, Result_Database!T$2:T$500),
  _xlfn.IFNA(_xlpm.result, "")
)</f>
        <v/>
      </c>
      <c r="V157" t="str">
        <f>_xlfn.LET(
  _xlpm.result, _xlfn.XLOOKUP($B157, Result_Database!$A$2:$A$500, Result_Database!U$2:U$500),
  _xlfn.IFNA(_xlpm.result, "")
)</f>
        <v/>
      </c>
      <c r="W157" t="str">
        <f>_xlfn.LET(
  _xlpm.result, _xlfn.XLOOKUP($B157, Result_Database!$A$2:$A$500, Result_Database!V$2:V$500),
  _xlfn.IFNA(_xlpm.result, "")
)</f>
        <v/>
      </c>
      <c r="X157" t="str">
        <f>_xlfn.LET(
  _xlpm.result, _xlfn.XLOOKUP($B157, Result_Database!$A$2:$A$500, Result_Database!W$2:W$500),
  _xlfn.IFNA(_xlpm.result, "")
)</f>
        <v/>
      </c>
      <c r="Y157" t="str">
        <f>_xlfn.LET(
  _xlpm.result, _xlfn.XLOOKUP($B157, Result_Database!$A$2:$A$500, Result_Database!X$2:X$500),
  _xlfn.IFNA(_xlpm.result, "")
)</f>
        <v/>
      </c>
      <c r="Z157" t="str">
        <f>_xlfn.LET(
  _xlpm.result, _xlfn.XLOOKUP($B157, Result_Database!$A$2:$A$500, Result_Database!Y$2:Y$500),
  _xlfn.IFNA(_xlpm.result, "")
)</f>
        <v/>
      </c>
      <c r="AA157" t="str">
        <f>_xlfn.LET(
  _xlpm.result, _xlfn.XLOOKUP($B157, Result_Database!$A$2:$A$500, Result_Database!Z$2:Z$500),
  _xlfn.IFNA(_xlpm.result, "")
)</f>
        <v/>
      </c>
      <c r="AB157" t="str">
        <f>_xlfn.LET(
  _xlpm.result, _xlfn.XLOOKUP($B157, Result_Database!$A$2:$A$500, Result_Database!AA$2:AA$500),
  _xlfn.IFNA(_xlpm.result, "")
)</f>
        <v/>
      </c>
      <c r="AC157" t="str">
        <f>_xlfn.LET(
  _xlpm.result, _xlfn.XLOOKUP($B157, Result_Database!$A$2:$A$500, Result_Database!AB$2:AB$500),
  _xlfn.IFNA(_xlpm.result, "")
)</f>
        <v/>
      </c>
      <c r="AD157" t="str">
        <f>_xlfn.LET(
  _xlpm.result, _xlfn.XLOOKUP($B157, Result_Database!$A$2:$A$500, Result_Database!AC$2:AC$500),
  _xlfn.IFNA(_xlpm.result, "")
)</f>
        <v/>
      </c>
      <c r="AE157" t="str">
        <f>_xlfn.LET(
  _xlpm.result, _xlfn.XLOOKUP($B157, Result_Database!$A$2:$A$500, Result_Database!AD$2:AD$500),
  _xlfn.IFNA(_xlpm.result, "")
)</f>
        <v/>
      </c>
      <c r="AF157" t="str">
        <f>_xlfn.LET(
  _xlpm.result, _xlfn.XLOOKUP($B157, Result_Database!$A$2:$A$500, Result_Database!AE$2:AE$500),
  _xlfn.IFNA(_xlpm.result, "")
)</f>
        <v/>
      </c>
      <c r="AG157" t="str">
        <f>_xlfn.LET(
  _xlpm.result, _xlfn.XLOOKUP($B157, Result_Database!$A$2:$A$500, Result_Database!AF$2:AF$500),
  _xlfn.IFNA(_xlpm.result, "")
)</f>
        <v/>
      </c>
      <c r="AH157" t="str">
        <f>_xlfn.LET(
  _xlpm.result, _xlfn.XLOOKUP($B157, Result_Database!$A$2:$A$500, Result_Database!AG$2:AG$500),
  _xlfn.IFNA(_xlpm.result, "")
)</f>
        <v/>
      </c>
      <c r="AI157" t="str">
        <f>_xlfn.LET(
  _xlpm.result, _xlfn.XLOOKUP($B157, Result_Database!$A$2:$A$500, Result_Database!AH$2:AH$500),
  _xlfn.IFNA(_xlpm.result, "")
)</f>
        <v/>
      </c>
      <c r="AJ157" t="str">
        <f>_xlfn.LET(
  _xlpm.result, _xlfn.XLOOKUP($B157, Result_Database!$A$2:$A$500, Result_Database!AI$2:AI$500),
  _xlfn.IFNA(_xlpm.result, "")
)</f>
        <v/>
      </c>
      <c r="AK157" t="str">
        <f>_xlfn.LET(
  _xlpm.result, _xlfn.XLOOKUP($B157, Result_Database!$A$2:$A$500, Result_Database!AJ$2:AJ$500),
  _xlfn.IFNA(_xlpm.result, "")
)</f>
        <v/>
      </c>
      <c r="AL157" t="str">
        <f>_xlfn.LET(
  _xlpm.result, _xlfn.XLOOKUP($B157, Result_Database!$A$2:$A$500, Result_Database!AK$2:AK$500),
  _xlfn.IFNA(_xlpm.result, "")
)</f>
        <v/>
      </c>
      <c r="AM15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5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5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5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5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5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5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5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5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57" t="str">
        <f>IF(SUM(Table5[[#This Row],[A1]:[C6]])&lt;&gt;0,SUM(Table5[[#This Row],[A1]:[C6]]),"")</f>
        <v/>
      </c>
      <c r="AW157" t="str">
        <f>IF(SUM(Table5[[#This Row],[D7]:[F9]])=0,"",SUM(Table5[[#This Row],[D7]:[F9]]))</f>
        <v/>
      </c>
      <c r="AX15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5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5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5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5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5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57" t="str">
        <f>IF(COUNTIF(Table5[[#This Row],[English Language]:[Electrical/ Electronics]],"WITHHELD")=0,"",COUNTIF(Table5[[#This Row],[English Language]:[Electrical/ Electronics]],"WITHHELD"))</f>
        <v/>
      </c>
      <c r="BE157" t="str">
        <f>IF(SUM(Table5[[#This Row],[NO OF CREDITS]:[BELOW CREDITS]])=0,"",SUM(Table5[[#This Row],[NO OF CREDITS]:[BELOW CREDITS]]))</f>
        <v/>
      </c>
    </row>
    <row r="158" spans="1:57" x14ac:dyDescent="0.3">
      <c r="A158" t="str">
        <f>IF(B158&lt;&gt;"",COUNTA($B$6:B158),"")</f>
        <v/>
      </c>
      <c r="B158" t="str">
        <f>IF(Result_Database!A154="","",Result_Database!A154)</f>
        <v/>
      </c>
      <c r="C158" t="str">
        <f>_xlfn.LET(
_xlpm.result,_xlfn.XLOOKUP($B158,Result_Database!$A$2:$A$500,Result_Database!$B$2:$B$500),
_xlfn.IFNA(_xlpm.result,"")
)</f>
        <v/>
      </c>
      <c r="D158" t="str">
        <f>_xlfn.LET(
  _xlpm.result, _xlfn.XLOOKUP($B158, Result_Database!$A$2:$A$500, Result_Database!C$2:C$500),
  _xlfn.IFNA(_xlpm.result, "")
)</f>
        <v/>
      </c>
      <c r="E158" t="str">
        <f>_xlfn.LET(
  _xlpm.result, _xlfn.XLOOKUP($B158, Result_Database!$A$2:$A$500, Result_Database!D$2:D$500),
  _xlfn.IFNA(_xlpm.result, "")
)</f>
        <v/>
      </c>
      <c r="F158" t="str">
        <f>_xlfn.LET(
  _xlpm.result, _xlfn.XLOOKUP($B158, Result_Database!$A$2:$A$500, Result_Database!E$2:E$500),
  _xlfn.IFNA(_xlpm.result, "")
)</f>
        <v/>
      </c>
      <c r="G158" t="str">
        <f>_xlfn.LET(
  _xlpm.result, _xlfn.XLOOKUP($B158, Result_Database!$A$2:$A$500, Result_Database!F$2:F$500),
  _xlfn.IFNA(_xlpm.result, "")
)</f>
        <v/>
      </c>
      <c r="H158" t="str">
        <f>_xlfn.LET(
  _xlpm.result, _xlfn.XLOOKUP($B158, Result_Database!$A$2:$A$500, Result_Database!G$2:G$500),
  _xlfn.IFNA(_xlpm.result, "")
)</f>
        <v/>
      </c>
      <c r="I158" t="str">
        <f>_xlfn.LET(
  _xlpm.result, _xlfn.XLOOKUP($B158, Result_Database!$A$2:$A$500, Result_Database!H$2:H$500),
  _xlfn.IFNA(_xlpm.result, "")
)</f>
        <v/>
      </c>
      <c r="J158" t="str">
        <f>_xlfn.LET(
  _xlpm.result, _xlfn.XLOOKUP($B158, Result_Database!$A$2:$A$500, Result_Database!I$2:I$500),
  _xlfn.IFNA(_xlpm.result, "")
)</f>
        <v/>
      </c>
      <c r="K158" t="str">
        <f>_xlfn.LET(
  _xlpm.result, _xlfn.XLOOKUP($B158, Result_Database!$A$2:$A$500, Result_Database!J$2:J$500),
  _xlfn.IFNA(_xlpm.result, "")
)</f>
        <v/>
      </c>
      <c r="L158" t="str">
        <f>_xlfn.LET(
  _xlpm.result, _xlfn.XLOOKUP($B158, Result_Database!$A$2:$A$500, Result_Database!K$2:K$500),
  _xlfn.IFNA(_xlpm.result, "")
)</f>
        <v/>
      </c>
      <c r="M158" t="str">
        <f>_xlfn.LET(
  _xlpm.result, _xlfn.XLOOKUP($B158, Result_Database!$A$2:$A$500, Result_Database!L$2:L$500),
  _xlfn.IFNA(_xlpm.result, "")
)</f>
        <v/>
      </c>
      <c r="N158" t="str">
        <f>_xlfn.LET(
  _xlpm.result, _xlfn.XLOOKUP($B158, Result_Database!$A$2:$A$500, Result_Database!M$2:M$500),
  _xlfn.IFNA(_xlpm.result, "")
)</f>
        <v/>
      </c>
      <c r="O158" t="str">
        <f>_xlfn.LET(
  _xlpm.result, _xlfn.XLOOKUP($B158, Result_Database!$A$2:$A$500, Result_Database!N$2:N$500),
  _xlfn.IFNA(_xlpm.result, "")
)</f>
        <v/>
      </c>
      <c r="P158" t="str">
        <f>_xlfn.LET(
  _xlpm.result, _xlfn.XLOOKUP($B158, Result_Database!$A$2:$A$500, Result_Database!O$2:O$500),
  _xlfn.IFNA(_xlpm.result, "")
)</f>
        <v/>
      </c>
      <c r="Q158" t="str">
        <f>_xlfn.LET(
  _xlpm.result, _xlfn.XLOOKUP($B158, Result_Database!$A$2:$A$500, Result_Database!P$2:P$500),
  _xlfn.IFNA(_xlpm.result, "")
)</f>
        <v/>
      </c>
      <c r="R158" t="str">
        <f>_xlfn.LET(
  _xlpm.result, _xlfn.XLOOKUP($B158, Result_Database!$A$2:$A$500, Result_Database!Q$2:Q$500),
  _xlfn.IFNA(_xlpm.result, "")
)</f>
        <v/>
      </c>
      <c r="S158" t="str">
        <f>_xlfn.LET(
  _xlpm.result, _xlfn.XLOOKUP($B158, Result_Database!$A$2:$A$500, Result_Database!R$2:R$500),
  _xlfn.IFNA(_xlpm.result, "")
)</f>
        <v/>
      </c>
      <c r="T158" t="str">
        <f>_xlfn.LET(
  _xlpm.result, _xlfn.XLOOKUP($B158, Result_Database!$A$2:$A$500, Result_Database!S$2:S$500),
  _xlfn.IFNA(_xlpm.result, "")
)</f>
        <v/>
      </c>
      <c r="U158" t="str">
        <f>_xlfn.LET(
  _xlpm.result, _xlfn.XLOOKUP($B158, Result_Database!$A$2:$A$500, Result_Database!T$2:T$500),
  _xlfn.IFNA(_xlpm.result, "")
)</f>
        <v/>
      </c>
      <c r="V158" t="str">
        <f>_xlfn.LET(
  _xlpm.result, _xlfn.XLOOKUP($B158, Result_Database!$A$2:$A$500, Result_Database!U$2:U$500),
  _xlfn.IFNA(_xlpm.result, "")
)</f>
        <v/>
      </c>
      <c r="W158" t="str">
        <f>_xlfn.LET(
  _xlpm.result, _xlfn.XLOOKUP($B158, Result_Database!$A$2:$A$500, Result_Database!V$2:V$500),
  _xlfn.IFNA(_xlpm.result, "")
)</f>
        <v/>
      </c>
      <c r="X158" t="str">
        <f>_xlfn.LET(
  _xlpm.result, _xlfn.XLOOKUP($B158, Result_Database!$A$2:$A$500, Result_Database!W$2:W$500),
  _xlfn.IFNA(_xlpm.result, "")
)</f>
        <v/>
      </c>
      <c r="Y158" t="str">
        <f>_xlfn.LET(
  _xlpm.result, _xlfn.XLOOKUP($B158, Result_Database!$A$2:$A$500, Result_Database!X$2:X$500),
  _xlfn.IFNA(_xlpm.result, "")
)</f>
        <v/>
      </c>
      <c r="Z158" t="str">
        <f>_xlfn.LET(
  _xlpm.result, _xlfn.XLOOKUP($B158, Result_Database!$A$2:$A$500, Result_Database!Y$2:Y$500),
  _xlfn.IFNA(_xlpm.result, "")
)</f>
        <v/>
      </c>
      <c r="AA158" t="str">
        <f>_xlfn.LET(
  _xlpm.result, _xlfn.XLOOKUP($B158, Result_Database!$A$2:$A$500, Result_Database!Z$2:Z$500),
  _xlfn.IFNA(_xlpm.result, "")
)</f>
        <v/>
      </c>
      <c r="AB158" t="str">
        <f>_xlfn.LET(
  _xlpm.result, _xlfn.XLOOKUP($B158, Result_Database!$A$2:$A$500, Result_Database!AA$2:AA$500),
  _xlfn.IFNA(_xlpm.result, "")
)</f>
        <v/>
      </c>
      <c r="AC158" t="str">
        <f>_xlfn.LET(
  _xlpm.result, _xlfn.XLOOKUP($B158, Result_Database!$A$2:$A$500, Result_Database!AB$2:AB$500),
  _xlfn.IFNA(_xlpm.result, "")
)</f>
        <v/>
      </c>
      <c r="AD158" t="str">
        <f>_xlfn.LET(
  _xlpm.result, _xlfn.XLOOKUP($B158, Result_Database!$A$2:$A$500, Result_Database!AC$2:AC$500),
  _xlfn.IFNA(_xlpm.result, "")
)</f>
        <v/>
      </c>
      <c r="AE158" t="str">
        <f>_xlfn.LET(
  _xlpm.result, _xlfn.XLOOKUP($B158, Result_Database!$A$2:$A$500, Result_Database!AD$2:AD$500),
  _xlfn.IFNA(_xlpm.result, "")
)</f>
        <v/>
      </c>
      <c r="AF158" t="str">
        <f>_xlfn.LET(
  _xlpm.result, _xlfn.XLOOKUP($B158, Result_Database!$A$2:$A$500, Result_Database!AE$2:AE$500),
  _xlfn.IFNA(_xlpm.result, "")
)</f>
        <v/>
      </c>
      <c r="AG158" t="str">
        <f>_xlfn.LET(
  _xlpm.result, _xlfn.XLOOKUP($B158, Result_Database!$A$2:$A$500, Result_Database!AF$2:AF$500),
  _xlfn.IFNA(_xlpm.result, "")
)</f>
        <v/>
      </c>
      <c r="AH158" t="str">
        <f>_xlfn.LET(
  _xlpm.result, _xlfn.XLOOKUP($B158, Result_Database!$A$2:$A$500, Result_Database!AG$2:AG$500),
  _xlfn.IFNA(_xlpm.result, "")
)</f>
        <v/>
      </c>
      <c r="AI158" t="str">
        <f>_xlfn.LET(
  _xlpm.result, _xlfn.XLOOKUP($B158, Result_Database!$A$2:$A$500, Result_Database!AH$2:AH$500),
  _xlfn.IFNA(_xlpm.result, "")
)</f>
        <v/>
      </c>
      <c r="AJ158" t="str">
        <f>_xlfn.LET(
  _xlpm.result, _xlfn.XLOOKUP($B158, Result_Database!$A$2:$A$500, Result_Database!AI$2:AI$500),
  _xlfn.IFNA(_xlpm.result, "")
)</f>
        <v/>
      </c>
      <c r="AK158" t="str">
        <f>_xlfn.LET(
  _xlpm.result, _xlfn.XLOOKUP($B158, Result_Database!$A$2:$A$500, Result_Database!AJ$2:AJ$500),
  _xlfn.IFNA(_xlpm.result, "")
)</f>
        <v/>
      </c>
      <c r="AL158" t="str">
        <f>_xlfn.LET(
  _xlpm.result, _xlfn.XLOOKUP($B158, Result_Database!$A$2:$A$500, Result_Database!AK$2:AK$500),
  _xlfn.IFNA(_xlpm.result, "")
)</f>
        <v/>
      </c>
      <c r="AM15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5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5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5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5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5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5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5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5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58" t="str">
        <f>IF(SUM(Table5[[#This Row],[A1]:[C6]])&lt;&gt;0,SUM(Table5[[#This Row],[A1]:[C6]]),"")</f>
        <v/>
      </c>
      <c r="AW158" t="str">
        <f>IF(SUM(Table5[[#This Row],[D7]:[F9]])=0,"",SUM(Table5[[#This Row],[D7]:[F9]]))</f>
        <v/>
      </c>
      <c r="AX15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5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5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5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5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5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58" t="str">
        <f>IF(COUNTIF(Table5[[#This Row],[English Language]:[Electrical/ Electronics]],"WITHHELD")=0,"",COUNTIF(Table5[[#This Row],[English Language]:[Electrical/ Electronics]],"WITHHELD"))</f>
        <v/>
      </c>
      <c r="BE158" t="str">
        <f>IF(SUM(Table5[[#This Row],[NO OF CREDITS]:[BELOW CREDITS]])=0,"",SUM(Table5[[#This Row],[NO OF CREDITS]:[BELOW CREDITS]]))</f>
        <v/>
      </c>
    </row>
    <row r="159" spans="1:57" x14ac:dyDescent="0.3">
      <c r="A159" t="str">
        <f>IF(B159&lt;&gt;"",COUNTA($B$6:B159),"")</f>
        <v/>
      </c>
      <c r="B159" t="str">
        <f>IF(Result_Database!A155="","",Result_Database!A155)</f>
        <v/>
      </c>
      <c r="C159" t="str">
        <f>_xlfn.LET(
_xlpm.result,_xlfn.XLOOKUP($B159,Result_Database!$A$2:$A$500,Result_Database!$B$2:$B$500),
_xlfn.IFNA(_xlpm.result,"")
)</f>
        <v/>
      </c>
      <c r="D159" t="str">
        <f>_xlfn.LET(
  _xlpm.result, _xlfn.XLOOKUP($B159, Result_Database!$A$2:$A$500, Result_Database!C$2:C$500),
  _xlfn.IFNA(_xlpm.result, "")
)</f>
        <v/>
      </c>
      <c r="E159" t="str">
        <f>_xlfn.LET(
  _xlpm.result, _xlfn.XLOOKUP($B159, Result_Database!$A$2:$A$500, Result_Database!D$2:D$500),
  _xlfn.IFNA(_xlpm.result, "")
)</f>
        <v/>
      </c>
      <c r="F159" t="str">
        <f>_xlfn.LET(
  _xlpm.result, _xlfn.XLOOKUP($B159, Result_Database!$A$2:$A$500, Result_Database!E$2:E$500),
  _xlfn.IFNA(_xlpm.result, "")
)</f>
        <v/>
      </c>
      <c r="G159" t="str">
        <f>_xlfn.LET(
  _xlpm.result, _xlfn.XLOOKUP($B159, Result_Database!$A$2:$A$500, Result_Database!F$2:F$500),
  _xlfn.IFNA(_xlpm.result, "")
)</f>
        <v/>
      </c>
      <c r="H159" t="str">
        <f>_xlfn.LET(
  _xlpm.result, _xlfn.XLOOKUP($B159, Result_Database!$A$2:$A$500, Result_Database!G$2:G$500),
  _xlfn.IFNA(_xlpm.result, "")
)</f>
        <v/>
      </c>
      <c r="I159" t="str">
        <f>_xlfn.LET(
  _xlpm.result, _xlfn.XLOOKUP($B159, Result_Database!$A$2:$A$500, Result_Database!H$2:H$500),
  _xlfn.IFNA(_xlpm.result, "")
)</f>
        <v/>
      </c>
      <c r="J159" t="str">
        <f>_xlfn.LET(
  _xlpm.result, _xlfn.XLOOKUP($B159, Result_Database!$A$2:$A$500, Result_Database!I$2:I$500),
  _xlfn.IFNA(_xlpm.result, "")
)</f>
        <v/>
      </c>
      <c r="K159" t="str">
        <f>_xlfn.LET(
  _xlpm.result, _xlfn.XLOOKUP($B159, Result_Database!$A$2:$A$500, Result_Database!J$2:J$500),
  _xlfn.IFNA(_xlpm.result, "")
)</f>
        <v/>
      </c>
      <c r="L159" t="str">
        <f>_xlfn.LET(
  _xlpm.result, _xlfn.XLOOKUP($B159, Result_Database!$A$2:$A$500, Result_Database!K$2:K$500),
  _xlfn.IFNA(_xlpm.result, "")
)</f>
        <v/>
      </c>
      <c r="M159" t="str">
        <f>_xlfn.LET(
  _xlpm.result, _xlfn.XLOOKUP($B159, Result_Database!$A$2:$A$500, Result_Database!L$2:L$500),
  _xlfn.IFNA(_xlpm.result, "")
)</f>
        <v/>
      </c>
      <c r="N159" t="str">
        <f>_xlfn.LET(
  _xlpm.result, _xlfn.XLOOKUP($B159, Result_Database!$A$2:$A$500, Result_Database!M$2:M$500),
  _xlfn.IFNA(_xlpm.result, "")
)</f>
        <v/>
      </c>
      <c r="O159" t="str">
        <f>_xlfn.LET(
  _xlpm.result, _xlfn.XLOOKUP($B159, Result_Database!$A$2:$A$500, Result_Database!N$2:N$500),
  _xlfn.IFNA(_xlpm.result, "")
)</f>
        <v/>
      </c>
      <c r="P159" t="str">
        <f>_xlfn.LET(
  _xlpm.result, _xlfn.XLOOKUP($B159, Result_Database!$A$2:$A$500, Result_Database!O$2:O$500),
  _xlfn.IFNA(_xlpm.result, "")
)</f>
        <v/>
      </c>
      <c r="Q159" t="str">
        <f>_xlfn.LET(
  _xlpm.result, _xlfn.XLOOKUP($B159, Result_Database!$A$2:$A$500, Result_Database!P$2:P$500),
  _xlfn.IFNA(_xlpm.result, "")
)</f>
        <v/>
      </c>
      <c r="R159" t="str">
        <f>_xlfn.LET(
  _xlpm.result, _xlfn.XLOOKUP($B159, Result_Database!$A$2:$A$500, Result_Database!Q$2:Q$500),
  _xlfn.IFNA(_xlpm.result, "")
)</f>
        <v/>
      </c>
      <c r="S159" t="str">
        <f>_xlfn.LET(
  _xlpm.result, _xlfn.XLOOKUP($B159, Result_Database!$A$2:$A$500, Result_Database!R$2:R$500),
  _xlfn.IFNA(_xlpm.result, "")
)</f>
        <v/>
      </c>
      <c r="T159" t="str">
        <f>_xlfn.LET(
  _xlpm.result, _xlfn.XLOOKUP($B159, Result_Database!$A$2:$A$500, Result_Database!S$2:S$500),
  _xlfn.IFNA(_xlpm.result, "")
)</f>
        <v/>
      </c>
      <c r="U159" t="str">
        <f>_xlfn.LET(
  _xlpm.result, _xlfn.XLOOKUP($B159, Result_Database!$A$2:$A$500, Result_Database!T$2:T$500),
  _xlfn.IFNA(_xlpm.result, "")
)</f>
        <v/>
      </c>
      <c r="V159" t="str">
        <f>_xlfn.LET(
  _xlpm.result, _xlfn.XLOOKUP($B159, Result_Database!$A$2:$A$500, Result_Database!U$2:U$500),
  _xlfn.IFNA(_xlpm.result, "")
)</f>
        <v/>
      </c>
      <c r="W159" t="str">
        <f>_xlfn.LET(
  _xlpm.result, _xlfn.XLOOKUP($B159, Result_Database!$A$2:$A$500, Result_Database!V$2:V$500),
  _xlfn.IFNA(_xlpm.result, "")
)</f>
        <v/>
      </c>
      <c r="X159" t="str">
        <f>_xlfn.LET(
  _xlpm.result, _xlfn.XLOOKUP($B159, Result_Database!$A$2:$A$500, Result_Database!W$2:W$500),
  _xlfn.IFNA(_xlpm.result, "")
)</f>
        <v/>
      </c>
      <c r="Y159" t="str">
        <f>_xlfn.LET(
  _xlpm.result, _xlfn.XLOOKUP($B159, Result_Database!$A$2:$A$500, Result_Database!X$2:X$500),
  _xlfn.IFNA(_xlpm.result, "")
)</f>
        <v/>
      </c>
      <c r="Z159" t="str">
        <f>_xlfn.LET(
  _xlpm.result, _xlfn.XLOOKUP($B159, Result_Database!$A$2:$A$500, Result_Database!Y$2:Y$500),
  _xlfn.IFNA(_xlpm.result, "")
)</f>
        <v/>
      </c>
      <c r="AA159" t="str">
        <f>_xlfn.LET(
  _xlpm.result, _xlfn.XLOOKUP($B159, Result_Database!$A$2:$A$500, Result_Database!Z$2:Z$500),
  _xlfn.IFNA(_xlpm.result, "")
)</f>
        <v/>
      </c>
      <c r="AB159" t="str">
        <f>_xlfn.LET(
  _xlpm.result, _xlfn.XLOOKUP($B159, Result_Database!$A$2:$A$500, Result_Database!AA$2:AA$500),
  _xlfn.IFNA(_xlpm.result, "")
)</f>
        <v/>
      </c>
      <c r="AC159" t="str">
        <f>_xlfn.LET(
  _xlpm.result, _xlfn.XLOOKUP($B159, Result_Database!$A$2:$A$500, Result_Database!AB$2:AB$500),
  _xlfn.IFNA(_xlpm.result, "")
)</f>
        <v/>
      </c>
      <c r="AD159" t="str">
        <f>_xlfn.LET(
  _xlpm.result, _xlfn.XLOOKUP($B159, Result_Database!$A$2:$A$500, Result_Database!AC$2:AC$500),
  _xlfn.IFNA(_xlpm.result, "")
)</f>
        <v/>
      </c>
      <c r="AE159" t="str">
        <f>_xlfn.LET(
  _xlpm.result, _xlfn.XLOOKUP($B159, Result_Database!$A$2:$A$500, Result_Database!AD$2:AD$500),
  _xlfn.IFNA(_xlpm.result, "")
)</f>
        <v/>
      </c>
      <c r="AF159" t="str">
        <f>_xlfn.LET(
  _xlpm.result, _xlfn.XLOOKUP($B159, Result_Database!$A$2:$A$500, Result_Database!AE$2:AE$500),
  _xlfn.IFNA(_xlpm.result, "")
)</f>
        <v/>
      </c>
      <c r="AG159" t="str">
        <f>_xlfn.LET(
  _xlpm.result, _xlfn.XLOOKUP($B159, Result_Database!$A$2:$A$500, Result_Database!AF$2:AF$500),
  _xlfn.IFNA(_xlpm.result, "")
)</f>
        <v/>
      </c>
      <c r="AH159" t="str">
        <f>_xlfn.LET(
  _xlpm.result, _xlfn.XLOOKUP($B159, Result_Database!$A$2:$A$500, Result_Database!AG$2:AG$500),
  _xlfn.IFNA(_xlpm.result, "")
)</f>
        <v/>
      </c>
      <c r="AI159" t="str">
        <f>_xlfn.LET(
  _xlpm.result, _xlfn.XLOOKUP($B159, Result_Database!$A$2:$A$500, Result_Database!AH$2:AH$500),
  _xlfn.IFNA(_xlpm.result, "")
)</f>
        <v/>
      </c>
      <c r="AJ159" t="str">
        <f>_xlfn.LET(
  _xlpm.result, _xlfn.XLOOKUP($B159, Result_Database!$A$2:$A$500, Result_Database!AI$2:AI$500),
  _xlfn.IFNA(_xlpm.result, "")
)</f>
        <v/>
      </c>
      <c r="AK159" t="str">
        <f>_xlfn.LET(
  _xlpm.result, _xlfn.XLOOKUP($B159, Result_Database!$A$2:$A$500, Result_Database!AJ$2:AJ$500),
  _xlfn.IFNA(_xlpm.result, "")
)</f>
        <v/>
      </c>
      <c r="AL159" t="str">
        <f>_xlfn.LET(
  _xlpm.result, _xlfn.XLOOKUP($B159, Result_Database!$A$2:$A$500, Result_Database!AK$2:AK$500),
  _xlfn.IFNA(_xlpm.result, "")
)</f>
        <v/>
      </c>
      <c r="AM15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5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5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5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5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5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5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5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5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59" t="str">
        <f>IF(SUM(Table5[[#This Row],[A1]:[C6]])&lt;&gt;0,SUM(Table5[[#This Row],[A1]:[C6]]),"")</f>
        <v/>
      </c>
      <c r="AW159" t="str">
        <f>IF(SUM(Table5[[#This Row],[D7]:[F9]])=0,"",SUM(Table5[[#This Row],[D7]:[F9]]))</f>
        <v/>
      </c>
      <c r="AX15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5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5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5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5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5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59" t="str">
        <f>IF(COUNTIF(Table5[[#This Row],[English Language]:[Electrical/ Electronics]],"WITHHELD")=0,"",COUNTIF(Table5[[#This Row],[English Language]:[Electrical/ Electronics]],"WITHHELD"))</f>
        <v/>
      </c>
      <c r="BE159" t="str">
        <f>IF(SUM(Table5[[#This Row],[NO OF CREDITS]:[BELOW CREDITS]])=0,"",SUM(Table5[[#This Row],[NO OF CREDITS]:[BELOW CREDITS]]))</f>
        <v/>
      </c>
    </row>
    <row r="160" spans="1:57" x14ac:dyDescent="0.3">
      <c r="A160" t="str">
        <f>IF(B160&lt;&gt;"",COUNTA($B$6:B160),"")</f>
        <v/>
      </c>
      <c r="B160" t="str">
        <f>IF(Result_Database!A156="","",Result_Database!A156)</f>
        <v/>
      </c>
      <c r="C160" t="str">
        <f>_xlfn.LET(
_xlpm.result,_xlfn.XLOOKUP($B160,Result_Database!$A$2:$A$500,Result_Database!$B$2:$B$500),
_xlfn.IFNA(_xlpm.result,"")
)</f>
        <v/>
      </c>
      <c r="D160" t="str">
        <f>_xlfn.LET(
  _xlpm.result, _xlfn.XLOOKUP($B160, Result_Database!$A$2:$A$500, Result_Database!C$2:C$500),
  _xlfn.IFNA(_xlpm.result, "")
)</f>
        <v/>
      </c>
      <c r="E160" t="str">
        <f>_xlfn.LET(
  _xlpm.result, _xlfn.XLOOKUP($B160, Result_Database!$A$2:$A$500, Result_Database!D$2:D$500),
  _xlfn.IFNA(_xlpm.result, "")
)</f>
        <v/>
      </c>
      <c r="F160" t="str">
        <f>_xlfn.LET(
  _xlpm.result, _xlfn.XLOOKUP($B160, Result_Database!$A$2:$A$500, Result_Database!E$2:E$500),
  _xlfn.IFNA(_xlpm.result, "")
)</f>
        <v/>
      </c>
      <c r="G160" t="str">
        <f>_xlfn.LET(
  _xlpm.result, _xlfn.XLOOKUP($B160, Result_Database!$A$2:$A$500, Result_Database!F$2:F$500),
  _xlfn.IFNA(_xlpm.result, "")
)</f>
        <v/>
      </c>
      <c r="H160" t="str">
        <f>_xlfn.LET(
  _xlpm.result, _xlfn.XLOOKUP($B160, Result_Database!$A$2:$A$500, Result_Database!G$2:G$500),
  _xlfn.IFNA(_xlpm.result, "")
)</f>
        <v/>
      </c>
      <c r="I160" t="str">
        <f>_xlfn.LET(
  _xlpm.result, _xlfn.XLOOKUP($B160, Result_Database!$A$2:$A$500, Result_Database!H$2:H$500),
  _xlfn.IFNA(_xlpm.result, "")
)</f>
        <v/>
      </c>
      <c r="J160" t="str">
        <f>_xlfn.LET(
  _xlpm.result, _xlfn.XLOOKUP($B160, Result_Database!$A$2:$A$500, Result_Database!I$2:I$500),
  _xlfn.IFNA(_xlpm.result, "")
)</f>
        <v/>
      </c>
      <c r="K160" t="str">
        <f>_xlfn.LET(
  _xlpm.result, _xlfn.XLOOKUP($B160, Result_Database!$A$2:$A$500, Result_Database!J$2:J$500),
  _xlfn.IFNA(_xlpm.result, "")
)</f>
        <v/>
      </c>
      <c r="L160" t="str">
        <f>_xlfn.LET(
  _xlpm.result, _xlfn.XLOOKUP($B160, Result_Database!$A$2:$A$500, Result_Database!K$2:K$500),
  _xlfn.IFNA(_xlpm.result, "")
)</f>
        <v/>
      </c>
      <c r="M160" t="str">
        <f>_xlfn.LET(
  _xlpm.result, _xlfn.XLOOKUP($B160, Result_Database!$A$2:$A$500, Result_Database!L$2:L$500),
  _xlfn.IFNA(_xlpm.result, "")
)</f>
        <v/>
      </c>
      <c r="N160" t="str">
        <f>_xlfn.LET(
  _xlpm.result, _xlfn.XLOOKUP($B160, Result_Database!$A$2:$A$500, Result_Database!M$2:M$500),
  _xlfn.IFNA(_xlpm.result, "")
)</f>
        <v/>
      </c>
      <c r="O160" t="str">
        <f>_xlfn.LET(
  _xlpm.result, _xlfn.XLOOKUP($B160, Result_Database!$A$2:$A$500, Result_Database!N$2:N$500),
  _xlfn.IFNA(_xlpm.result, "")
)</f>
        <v/>
      </c>
      <c r="P160" t="str">
        <f>_xlfn.LET(
  _xlpm.result, _xlfn.XLOOKUP($B160, Result_Database!$A$2:$A$500, Result_Database!O$2:O$500),
  _xlfn.IFNA(_xlpm.result, "")
)</f>
        <v/>
      </c>
      <c r="Q160" t="str">
        <f>_xlfn.LET(
  _xlpm.result, _xlfn.XLOOKUP($B160, Result_Database!$A$2:$A$500, Result_Database!P$2:P$500),
  _xlfn.IFNA(_xlpm.result, "")
)</f>
        <v/>
      </c>
      <c r="R160" t="str">
        <f>_xlfn.LET(
  _xlpm.result, _xlfn.XLOOKUP($B160, Result_Database!$A$2:$A$500, Result_Database!Q$2:Q$500),
  _xlfn.IFNA(_xlpm.result, "")
)</f>
        <v/>
      </c>
      <c r="S160" t="str">
        <f>_xlfn.LET(
  _xlpm.result, _xlfn.XLOOKUP($B160, Result_Database!$A$2:$A$500, Result_Database!R$2:R$500),
  _xlfn.IFNA(_xlpm.result, "")
)</f>
        <v/>
      </c>
      <c r="T160" t="str">
        <f>_xlfn.LET(
  _xlpm.result, _xlfn.XLOOKUP($B160, Result_Database!$A$2:$A$500, Result_Database!S$2:S$500),
  _xlfn.IFNA(_xlpm.result, "")
)</f>
        <v/>
      </c>
      <c r="U160" t="str">
        <f>_xlfn.LET(
  _xlpm.result, _xlfn.XLOOKUP($B160, Result_Database!$A$2:$A$500, Result_Database!T$2:T$500),
  _xlfn.IFNA(_xlpm.result, "")
)</f>
        <v/>
      </c>
      <c r="V160" t="str">
        <f>_xlfn.LET(
  _xlpm.result, _xlfn.XLOOKUP($B160, Result_Database!$A$2:$A$500, Result_Database!U$2:U$500),
  _xlfn.IFNA(_xlpm.result, "")
)</f>
        <v/>
      </c>
      <c r="W160" t="str">
        <f>_xlfn.LET(
  _xlpm.result, _xlfn.XLOOKUP($B160, Result_Database!$A$2:$A$500, Result_Database!V$2:V$500),
  _xlfn.IFNA(_xlpm.result, "")
)</f>
        <v/>
      </c>
      <c r="X160" t="str">
        <f>_xlfn.LET(
  _xlpm.result, _xlfn.XLOOKUP($B160, Result_Database!$A$2:$A$500, Result_Database!W$2:W$500),
  _xlfn.IFNA(_xlpm.result, "")
)</f>
        <v/>
      </c>
      <c r="Y160" t="str">
        <f>_xlfn.LET(
  _xlpm.result, _xlfn.XLOOKUP($B160, Result_Database!$A$2:$A$500, Result_Database!X$2:X$500),
  _xlfn.IFNA(_xlpm.result, "")
)</f>
        <v/>
      </c>
      <c r="Z160" t="str">
        <f>_xlfn.LET(
  _xlpm.result, _xlfn.XLOOKUP($B160, Result_Database!$A$2:$A$500, Result_Database!Y$2:Y$500),
  _xlfn.IFNA(_xlpm.result, "")
)</f>
        <v/>
      </c>
      <c r="AA160" t="str">
        <f>_xlfn.LET(
  _xlpm.result, _xlfn.XLOOKUP($B160, Result_Database!$A$2:$A$500, Result_Database!Z$2:Z$500),
  _xlfn.IFNA(_xlpm.result, "")
)</f>
        <v/>
      </c>
      <c r="AB160" t="str">
        <f>_xlfn.LET(
  _xlpm.result, _xlfn.XLOOKUP($B160, Result_Database!$A$2:$A$500, Result_Database!AA$2:AA$500),
  _xlfn.IFNA(_xlpm.result, "")
)</f>
        <v/>
      </c>
      <c r="AC160" t="str">
        <f>_xlfn.LET(
  _xlpm.result, _xlfn.XLOOKUP($B160, Result_Database!$A$2:$A$500, Result_Database!AB$2:AB$500),
  _xlfn.IFNA(_xlpm.result, "")
)</f>
        <v/>
      </c>
      <c r="AD160" t="str">
        <f>_xlfn.LET(
  _xlpm.result, _xlfn.XLOOKUP($B160, Result_Database!$A$2:$A$500, Result_Database!AC$2:AC$500),
  _xlfn.IFNA(_xlpm.result, "")
)</f>
        <v/>
      </c>
      <c r="AE160" t="str">
        <f>_xlfn.LET(
  _xlpm.result, _xlfn.XLOOKUP($B160, Result_Database!$A$2:$A$500, Result_Database!AD$2:AD$500),
  _xlfn.IFNA(_xlpm.result, "")
)</f>
        <v/>
      </c>
      <c r="AF160" t="str">
        <f>_xlfn.LET(
  _xlpm.result, _xlfn.XLOOKUP($B160, Result_Database!$A$2:$A$500, Result_Database!AE$2:AE$500),
  _xlfn.IFNA(_xlpm.result, "")
)</f>
        <v/>
      </c>
      <c r="AG160" t="str">
        <f>_xlfn.LET(
  _xlpm.result, _xlfn.XLOOKUP($B160, Result_Database!$A$2:$A$500, Result_Database!AF$2:AF$500),
  _xlfn.IFNA(_xlpm.result, "")
)</f>
        <v/>
      </c>
      <c r="AH160" t="str">
        <f>_xlfn.LET(
  _xlpm.result, _xlfn.XLOOKUP($B160, Result_Database!$A$2:$A$500, Result_Database!AG$2:AG$500),
  _xlfn.IFNA(_xlpm.result, "")
)</f>
        <v/>
      </c>
      <c r="AI160" t="str">
        <f>_xlfn.LET(
  _xlpm.result, _xlfn.XLOOKUP($B160, Result_Database!$A$2:$A$500, Result_Database!AH$2:AH$500),
  _xlfn.IFNA(_xlpm.result, "")
)</f>
        <v/>
      </c>
      <c r="AJ160" t="str">
        <f>_xlfn.LET(
  _xlpm.result, _xlfn.XLOOKUP($B160, Result_Database!$A$2:$A$500, Result_Database!AI$2:AI$500),
  _xlfn.IFNA(_xlpm.result, "")
)</f>
        <v/>
      </c>
      <c r="AK160" t="str">
        <f>_xlfn.LET(
  _xlpm.result, _xlfn.XLOOKUP($B160, Result_Database!$A$2:$A$500, Result_Database!AJ$2:AJ$500),
  _xlfn.IFNA(_xlpm.result, "")
)</f>
        <v/>
      </c>
      <c r="AL160" t="str">
        <f>_xlfn.LET(
  _xlpm.result, _xlfn.XLOOKUP($B160, Result_Database!$A$2:$A$500, Result_Database!AK$2:AK$500),
  _xlfn.IFNA(_xlpm.result, "")
)</f>
        <v/>
      </c>
      <c r="AM16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6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6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6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6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6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6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6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6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60" t="str">
        <f>IF(SUM(Table5[[#This Row],[A1]:[C6]])&lt;&gt;0,SUM(Table5[[#This Row],[A1]:[C6]]),"")</f>
        <v/>
      </c>
      <c r="AW160" t="str">
        <f>IF(SUM(Table5[[#This Row],[D7]:[F9]])=0,"",SUM(Table5[[#This Row],[D7]:[F9]]))</f>
        <v/>
      </c>
      <c r="AX16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6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6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6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6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6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60" t="str">
        <f>IF(COUNTIF(Table5[[#This Row],[English Language]:[Electrical/ Electronics]],"WITHHELD")=0,"",COUNTIF(Table5[[#This Row],[English Language]:[Electrical/ Electronics]],"WITHHELD"))</f>
        <v/>
      </c>
      <c r="BE160" t="str">
        <f>IF(SUM(Table5[[#This Row],[NO OF CREDITS]:[BELOW CREDITS]])=0,"",SUM(Table5[[#This Row],[NO OF CREDITS]:[BELOW CREDITS]]))</f>
        <v/>
      </c>
    </row>
    <row r="161" spans="1:57" x14ac:dyDescent="0.3">
      <c r="A161" t="str">
        <f>IF(B161&lt;&gt;"",COUNTA($B$6:B161),"")</f>
        <v/>
      </c>
      <c r="B161" t="str">
        <f>IF(Result_Database!A157="","",Result_Database!A157)</f>
        <v/>
      </c>
      <c r="C161" t="str">
        <f>_xlfn.LET(
_xlpm.result,_xlfn.XLOOKUP($B161,Result_Database!$A$2:$A$500,Result_Database!$B$2:$B$500),
_xlfn.IFNA(_xlpm.result,"")
)</f>
        <v/>
      </c>
      <c r="D161" t="str">
        <f>_xlfn.LET(
  _xlpm.result, _xlfn.XLOOKUP($B161, Result_Database!$A$2:$A$500, Result_Database!C$2:C$500),
  _xlfn.IFNA(_xlpm.result, "")
)</f>
        <v/>
      </c>
      <c r="E161" t="str">
        <f>_xlfn.LET(
  _xlpm.result, _xlfn.XLOOKUP($B161, Result_Database!$A$2:$A$500, Result_Database!D$2:D$500),
  _xlfn.IFNA(_xlpm.result, "")
)</f>
        <v/>
      </c>
      <c r="F161" t="str">
        <f>_xlfn.LET(
  _xlpm.result, _xlfn.XLOOKUP($B161, Result_Database!$A$2:$A$500, Result_Database!E$2:E$500),
  _xlfn.IFNA(_xlpm.result, "")
)</f>
        <v/>
      </c>
      <c r="G161" t="str">
        <f>_xlfn.LET(
  _xlpm.result, _xlfn.XLOOKUP($B161, Result_Database!$A$2:$A$500, Result_Database!F$2:F$500),
  _xlfn.IFNA(_xlpm.result, "")
)</f>
        <v/>
      </c>
      <c r="H161" t="str">
        <f>_xlfn.LET(
  _xlpm.result, _xlfn.XLOOKUP($B161, Result_Database!$A$2:$A$500, Result_Database!G$2:G$500),
  _xlfn.IFNA(_xlpm.result, "")
)</f>
        <v/>
      </c>
      <c r="I161" t="str">
        <f>_xlfn.LET(
  _xlpm.result, _xlfn.XLOOKUP($B161, Result_Database!$A$2:$A$500, Result_Database!H$2:H$500),
  _xlfn.IFNA(_xlpm.result, "")
)</f>
        <v/>
      </c>
      <c r="J161" t="str">
        <f>_xlfn.LET(
  _xlpm.result, _xlfn.XLOOKUP($B161, Result_Database!$A$2:$A$500, Result_Database!I$2:I$500),
  _xlfn.IFNA(_xlpm.result, "")
)</f>
        <v/>
      </c>
      <c r="K161" t="str">
        <f>_xlfn.LET(
  _xlpm.result, _xlfn.XLOOKUP($B161, Result_Database!$A$2:$A$500, Result_Database!J$2:J$500),
  _xlfn.IFNA(_xlpm.result, "")
)</f>
        <v/>
      </c>
      <c r="L161" t="str">
        <f>_xlfn.LET(
  _xlpm.result, _xlfn.XLOOKUP($B161, Result_Database!$A$2:$A$500, Result_Database!K$2:K$500),
  _xlfn.IFNA(_xlpm.result, "")
)</f>
        <v/>
      </c>
      <c r="M161" t="str">
        <f>_xlfn.LET(
  _xlpm.result, _xlfn.XLOOKUP($B161, Result_Database!$A$2:$A$500, Result_Database!L$2:L$500),
  _xlfn.IFNA(_xlpm.result, "")
)</f>
        <v/>
      </c>
      <c r="N161" t="str">
        <f>_xlfn.LET(
  _xlpm.result, _xlfn.XLOOKUP($B161, Result_Database!$A$2:$A$500, Result_Database!M$2:M$500),
  _xlfn.IFNA(_xlpm.result, "")
)</f>
        <v/>
      </c>
      <c r="O161" t="str">
        <f>_xlfn.LET(
  _xlpm.result, _xlfn.XLOOKUP($B161, Result_Database!$A$2:$A$500, Result_Database!N$2:N$500),
  _xlfn.IFNA(_xlpm.result, "")
)</f>
        <v/>
      </c>
      <c r="P161" t="str">
        <f>_xlfn.LET(
  _xlpm.result, _xlfn.XLOOKUP($B161, Result_Database!$A$2:$A$500, Result_Database!O$2:O$500),
  _xlfn.IFNA(_xlpm.result, "")
)</f>
        <v/>
      </c>
      <c r="Q161" t="str">
        <f>_xlfn.LET(
  _xlpm.result, _xlfn.XLOOKUP($B161, Result_Database!$A$2:$A$500, Result_Database!P$2:P$500),
  _xlfn.IFNA(_xlpm.result, "")
)</f>
        <v/>
      </c>
      <c r="R161" t="str">
        <f>_xlfn.LET(
  _xlpm.result, _xlfn.XLOOKUP($B161, Result_Database!$A$2:$A$500, Result_Database!Q$2:Q$500),
  _xlfn.IFNA(_xlpm.result, "")
)</f>
        <v/>
      </c>
      <c r="S161" t="str">
        <f>_xlfn.LET(
  _xlpm.result, _xlfn.XLOOKUP($B161, Result_Database!$A$2:$A$500, Result_Database!R$2:R$500),
  _xlfn.IFNA(_xlpm.result, "")
)</f>
        <v/>
      </c>
      <c r="T161" t="str">
        <f>_xlfn.LET(
  _xlpm.result, _xlfn.XLOOKUP($B161, Result_Database!$A$2:$A$500, Result_Database!S$2:S$500),
  _xlfn.IFNA(_xlpm.result, "")
)</f>
        <v/>
      </c>
      <c r="U161" t="str">
        <f>_xlfn.LET(
  _xlpm.result, _xlfn.XLOOKUP($B161, Result_Database!$A$2:$A$500, Result_Database!T$2:T$500),
  _xlfn.IFNA(_xlpm.result, "")
)</f>
        <v/>
      </c>
      <c r="V161" t="str">
        <f>_xlfn.LET(
  _xlpm.result, _xlfn.XLOOKUP($B161, Result_Database!$A$2:$A$500, Result_Database!U$2:U$500),
  _xlfn.IFNA(_xlpm.result, "")
)</f>
        <v/>
      </c>
      <c r="W161" t="str">
        <f>_xlfn.LET(
  _xlpm.result, _xlfn.XLOOKUP($B161, Result_Database!$A$2:$A$500, Result_Database!V$2:V$500),
  _xlfn.IFNA(_xlpm.result, "")
)</f>
        <v/>
      </c>
      <c r="X161" t="str">
        <f>_xlfn.LET(
  _xlpm.result, _xlfn.XLOOKUP($B161, Result_Database!$A$2:$A$500, Result_Database!W$2:W$500),
  _xlfn.IFNA(_xlpm.result, "")
)</f>
        <v/>
      </c>
      <c r="Y161" t="str">
        <f>_xlfn.LET(
  _xlpm.result, _xlfn.XLOOKUP($B161, Result_Database!$A$2:$A$500, Result_Database!X$2:X$500),
  _xlfn.IFNA(_xlpm.result, "")
)</f>
        <v/>
      </c>
      <c r="Z161" t="str">
        <f>_xlfn.LET(
  _xlpm.result, _xlfn.XLOOKUP($B161, Result_Database!$A$2:$A$500, Result_Database!Y$2:Y$500),
  _xlfn.IFNA(_xlpm.result, "")
)</f>
        <v/>
      </c>
      <c r="AA161" t="str">
        <f>_xlfn.LET(
  _xlpm.result, _xlfn.XLOOKUP($B161, Result_Database!$A$2:$A$500, Result_Database!Z$2:Z$500),
  _xlfn.IFNA(_xlpm.result, "")
)</f>
        <v/>
      </c>
      <c r="AB161" t="str">
        <f>_xlfn.LET(
  _xlpm.result, _xlfn.XLOOKUP($B161, Result_Database!$A$2:$A$500, Result_Database!AA$2:AA$500),
  _xlfn.IFNA(_xlpm.result, "")
)</f>
        <v/>
      </c>
      <c r="AC161" t="str">
        <f>_xlfn.LET(
  _xlpm.result, _xlfn.XLOOKUP($B161, Result_Database!$A$2:$A$500, Result_Database!AB$2:AB$500),
  _xlfn.IFNA(_xlpm.result, "")
)</f>
        <v/>
      </c>
      <c r="AD161" t="str">
        <f>_xlfn.LET(
  _xlpm.result, _xlfn.XLOOKUP($B161, Result_Database!$A$2:$A$500, Result_Database!AC$2:AC$500),
  _xlfn.IFNA(_xlpm.result, "")
)</f>
        <v/>
      </c>
      <c r="AE161" t="str">
        <f>_xlfn.LET(
  _xlpm.result, _xlfn.XLOOKUP($B161, Result_Database!$A$2:$A$500, Result_Database!AD$2:AD$500),
  _xlfn.IFNA(_xlpm.result, "")
)</f>
        <v/>
      </c>
      <c r="AF161" t="str">
        <f>_xlfn.LET(
  _xlpm.result, _xlfn.XLOOKUP($B161, Result_Database!$A$2:$A$500, Result_Database!AE$2:AE$500),
  _xlfn.IFNA(_xlpm.result, "")
)</f>
        <v/>
      </c>
      <c r="AG161" t="str">
        <f>_xlfn.LET(
  _xlpm.result, _xlfn.XLOOKUP($B161, Result_Database!$A$2:$A$500, Result_Database!AF$2:AF$500),
  _xlfn.IFNA(_xlpm.result, "")
)</f>
        <v/>
      </c>
      <c r="AH161" t="str">
        <f>_xlfn.LET(
  _xlpm.result, _xlfn.XLOOKUP($B161, Result_Database!$A$2:$A$500, Result_Database!AG$2:AG$500),
  _xlfn.IFNA(_xlpm.result, "")
)</f>
        <v/>
      </c>
      <c r="AI161" t="str">
        <f>_xlfn.LET(
  _xlpm.result, _xlfn.XLOOKUP($B161, Result_Database!$A$2:$A$500, Result_Database!AH$2:AH$500),
  _xlfn.IFNA(_xlpm.result, "")
)</f>
        <v/>
      </c>
      <c r="AJ161" t="str">
        <f>_xlfn.LET(
  _xlpm.result, _xlfn.XLOOKUP($B161, Result_Database!$A$2:$A$500, Result_Database!AI$2:AI$500),
  _xlfn.IFNA(_xlpm.result, "")
)</f>
        <v/>
      </c>
      <c r="AK161" t="str">
        <f>_xlfn.LET(
  _xlpm.result, _xlfn.XLOOKUP($B161, Result_Database!$A$2:$A$500, Result_Database!AJ$2:AJ$500),
  _xlfn.IFNA(_xlpm.result, "")
)</f>
        <v/>
      </c>
      <c r="AL161" t="str">
        <f>_xlfn.LET(
  _xlpm.result, _xlfn.XLOOKUP($B161, Result_Database!$A$2:$A$500, Result_Database!AK$2:AK$500),
  _xlfn.IFNA(_xlpm.result, "")
)</f>
        <v/>
      </c>
      <c r="AM16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6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6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6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6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6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6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6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6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61" t="str">
        <f>IF(SUM(Table5[[#This Row],[A1]:[C6]])&lt;&gt;0,SUM(Table5[[#This Row],[A1]:[C6]]),"")</f>
        <v/>
      </c>
      <c r="AW161" t="str">
        <f>IF(SUM(Table5[[#This Row],[D7]:[F9]])=0,"",SUM(Table5[[#This Row],[D7]:[F9]]))</f>
        <v/>
      </c>
      <c r="AX16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6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6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6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6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6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61" t="str">
        <f>IF(COUNTIF(Table5[[#This Row],[English Language]:[Electrical/ Electronics]],"WITHHELD")=0,"",COUNTIF(Table5[[#This Row],[English Language]:[Electrical/ Electronics]],"WITHHELD"))</f>
        <v/>
      </c>
      <c r="BE161" t="str">
        <f>IF(SUM(Table5[[#This Row],[NO OF CREDITS]:[BELOW CREDITS]])=0,"",SUM(Table5[[#This Row],[NO OF CREDITS]:[BELOW CREDITS]]))</f>
        <v/>
      </c>
    </row>
    <row r="162" spans="1:57" x14ac:dyDescent="0.3">
      <c r="A162" t="str">
        <f>IF(B162&lt;&gt;"",COUNTA($B$6:B162),"")</f>
        <v/>
      </c>
      <c r="B162" t="str">
        <f>IF(Result_Database!A158="","",Result_Database!A158)</f>
        <v/>
      </c>
      <c r="C162" t="str">
        <f>_xlfn.LET(
_xlpm.result,_xlfn.XLOOKUP($B162,Result_Database!$A$2:$A$500,Result_Database!$B$2:$B$500),
_xlfn.IFNA(_xlpm.result,"")
)</f>
        <v/>
      </c>
      <c r="D162" t="str">
        <f>_xlfn.LET(
  _xlpm.result, _xlfn.XLOOKUP($B162, Result_Database!$A$2:$A$500, Result_Database!C$2:C$500),
  _xlfn.IFNA(_xlpm.result, "")
)</f>
        <v/>
      </c>
      <c r="E162" t="str">
        <f>_xlfn.LET(
  _xlpm.result, _xlfn.XLOOKUP($B162, Result_Database!$A$2:$A$500, Result_Database!D$2:D$500),
  _xlfn.IFNA(_xlpm.result, "")
)</f>
        <v/>
      </c>
      <c r="F162" t="str">
        <f>_xlfn.LET(
  _xlpm.result, _xlfn.XLOOKUP($B162, Result_Database!$A$2:$A$500, Result_Database!E$2:E$500),
  _xlfn.IFNA(_xlpm.result, "")
)</f>
        <v/>
      </c>
      <c r="G162" t="str">
        <f>_xlfn.LET(
  _xlpm.result, _xlfn.XLOOKUP($B162, Result_Database!$A$2:$A$500, Result_Database!F$2:F$500),
  _xlfn.IFNA(_xlpm.result, "")
)</f>
        <v/>
      </c>
      <c r="H162" t="str">
        <f>_xlfn.LET(
  _xlpm.result, _xlfn.XLOOKUP($B162, Result_Database!$A$2:$A$500, Result_Database!G$2:G$500),
  _xlfn.IFNA(_xlpm.result, "")
)</f>
        <v/>
      </c>
      <c r="I162" t="str">
        <f>_xlfn.LET(
  _xlpm.result, _xlfn.XLOOKUP($B162, Result_Database!$A$2:$A$500, Result_Database!H$2:H$500),
  _xlfn.IFNA(_xlpm.result, "")
)</f>
        <v/>
      </c>
      <c r="J162" t="str">
        <f>_xlfn.LET(
  _xlpm.result, _xlfn.XLOOKUP($B162, Result_Database!$A$2:$A$500, Result_Database!I$2:I$500),
  _xlfn.IFNA(_xlpm.result, "")
)</f>
        <v/>
      </c>
      <c r="K162" t="str">
        <f>_xlfn.LET(
  _xlpm.result, _xlfn.XLOOKUP($B162, Result_Database!$A$2:$A$500, Result_Database!J$2:J$500),
  _xlfn.IFNA(_xlpm.result, "")
)</f>
        <v/>
      </c>
      <c r="L162" t="str">
        <f>_xlfn.LET(
  _xlpm.result, _xlfn.XLOOKUP($B162, Result_Database!$A$2:$A$500, Result_Database!K$2:K$500),
  _xlfn.IFNA(_xlpm.result, "")
)</f>
        <v/>
      </c>
      <c r="M162" t="str">
        <f>_xlfn.LET(
  _xlpm.result, _xlfn.XLOOKUP($B162, Result_Database!$A$2:$A$500, Result_Database!L$2:L$500),
  _xlfn.IFNA(_xlpm.result, "")
)</f>
        <v/>
      </c>
      <c r="N162" t="str">
        <f>_xlfn.LET(
  _xlpm.result, _xlfn.XLOOKUP($B162, Result_Database!$A$2:$A$500, Result_Database!M$2:M$500),
  _xlfn.IFNA(_xlpm.result, "")
)</f>
        <v/>
      </c>
      <c r="O162" t="str">
        <f>_xlfn.LET(
  _xlpm.result, _xlfn.XLOOKUP($B162, Result_Database!$A$2:$A$500, Result_Database!N$2:N$500),
  _xlfn.IFNA(_xlpm.result, "")
)</f>
        <v/>
      </c>
      <c r="P162" t="str">
        <f>_xlfn.LET(
  _xlpm.result, _xlfn.XLOOKUP($B162, Result_Database!$A$2:$A$500, Result_Database!O$2:O$500),
  _xlfn.IFNA(_xlpm.result, "")
)</f>
        <v/>
      </c>
      <c r="Q162" t="str">
        <f>_xlfn.LET(
  _xlpm.result, _xlfn.XLOOKUP($B162, Result_Database!$A$2:$A$500, Result_Database!P$2:P$500),
  _xlfn.IFNA(_xlpm.result, "")
)</f>
        <v/>
      </c>
      <c r="R162" t="str">
        <f>_xlfn.LET(
  _xlpm.result, _xlfn.XLOOKUP($B162, Result_Database!$A$2:$A$500, Result_Database!Q$2:Q$500),
  _xlfn.IFNA(_xlpm.result, "")
)</f>
        <v/>
      </c>
      <c r="S162" t="str">
        <f>_xlfn.LET(
  _xlpm.result, _xlfn.XLOOKUP($B162, Result_Database!$A$2:$A$500, Result_Database!R$2:R$500),
  _xlfn.IFNA(_xlpm.result, "")
)</f>
        <v/>
      </c>
      <c r="T162" t="str">
        <f>_xlfn.LET(
  _xlpm.result, _xlfn.XLOOKUP($B162, Result_Database!$A$2:$A$500, Result_Database!S$2:S$500),
  _xlfn.IFNA(_xlpm.result, "")
)</f>
        <v/>
      </c>
      <c r="U162" t="str">
        <f>_xlfn.LET(
  _xlpm.result, _xlfn.XLOOKUP($B162, Result_Database!$A$2:$A$500, Result_Database!T$2:T$500),
  _xlfn.IFNA(_xlpm.result, "")
)</f>
        <v/>
      </c>
      <c r="V162" t="str">
        <f>_xlfn.LET(
  _xlpm.result, _xlfn.XLOOKUP($B162, Result_Database!$A$2:$A$500, Result_Database!U$2:U$500),
  _xlfn.IFNA(_xlpm.result, "")
)</f>
        <v/>
      </c>
      <c r="W162" t="str">
        <f>_xlfn.LET(
  _xlpm.result, _xlfn.XLOOKUP($B162, Result_Database!$A$2:$A$500, Result_Database!V$2:V$500),
  _xlfn.IFNA(_xlpm.result, "")
)</f>
        <v/>
      </c>
      <c r="X162" t="str">
        <f>_xlfn.LET(
  _xlpm.result, _xlfn.XLOOKUP($B162, Result_Database!$A$2:$A$500, Result_Database!W$2:W$500),
  _xlfn.IFNA(_xlpm.result, "")
)</f>
        <v/>
      </c>
      <c r="Y162" t="str">
        <f>_xlfn.LET(
  _xlpm.result, _xlfn.XLOOKUP($B162, Result_Database!$A$2:$A$500, Result_Database!X$2:X$500),
  _xlfn.IFNA(_xlpm.result, "")
)</f>
        <v/>
      </c>
      <c r="Z162" t="str">
        <f>_xlfn.LET(
  _xlpm.result, _xlfn.XLOOKUP($B162, Result_Database!$A$2:$A$500, Result_Database!Y$2:Y$500),
  _xlfn.IFNA(_xlpm.result, "")
)</f>
        <v/>
      </c>
      <c r="AA162" t="str">
        <f>_xlfn.LET(
  _xlpm.result, _xlfn.XLOOKUP($B162, Result_Database!$A$2:$A$500, Result_Database!Z$2:Z$500),
  _xlfn.IFNA(_xlpm.result, "")
)</f>
        <v/>
      </c>
      <c r="AB162" t="str">
        <f>_xlfn.LET(
  _xlpm.result, _xlfn.XLOOKUP($B162, Result_Database!$A$2:$A$500, Result_Database!AA$2:AA$500),
  _xlfn.IFNA(_xlpm.result, "")
)</f>
        <v/>
      </c>
      <c r="AC162" t="str">
        <f>_xlfn.LET(
  _xlpm.result, _xlfn.XLOOKUP($B162, Result_Database!$A$2:$A$500, Result_Database!AB$2:AB$500),
  _xlfn.IFNA(_xlpm.result, "")
)</f>
        <v/>
      </c>
      <c r="AD162" t="str">
        <f>_xlfn.LET(
  _xlpm.result, _xlfn.XLOOKUP($B162, Result_Database!$A$2:$A$500, Result_Database!AC$2:AC$500),
  _xlfn.IFNA(_xlpm.result, "")
)</f>
        <v/>
      </c>
      <c r="AE162" t="str">
        <f>_xlfn.LET(
  _xlpm.result, _xlfn.XLOOKUP($B162, Result_Database!$A$2:$A$500, Result_Database!AD$2:AD$500),
  _xlfn.IFNA(_xlpm.result, "")
)</f>
        <v/>
      </c>
      <c r="AF162" t="str">
        <f>_xlfn.LET(
  _xlpm.result, _xlfn.XLOOKUP($B162, Result_Database!$A$2:$A$500, Result_Database!AE$2:AE$500),
  _xlfn.IFNA(_xlpm.result, "")
)</f>
        <v/>
      </c>
      <c r="AG162" t="str">
        <f>_xlfn.LET(
  _xlpm.result, _xlfn.XLOOKUP($B162, Result_Database!$A$2:$A$500, Result_Database!AF$2:AF$500),
  _xlfn.IFNA(_xlpm.result, "")
)</f>
        <v/>
      </c>
      <c r="AH162" t="str">
        <f>_xlfn.LET(
  _xlpm.result, _xlfn.XLOOKUP($B162, Result_Database!$A$2:$A$500, Result_Database!AG$2:AG$500),
  _xlfn.IFNA(_xlpm.result, "")
)</f>
        <v/>
      </c>
      <c r="AI162" t="str">
        <f>_xlfn.LET(
  _xlpm.result, _xlfn.XLOOKUP($B162, Result_Database!$A$2:$A$500, Result_Database!AH$2:AH$500),
  _xlfn.IFNA(_xlpm.result, "")
)</f>
        <v/>
      </c>
      <c r="AJ162" t="str">
        <f>_xlfn.LET(
  _xlpm.result, _xlfn.XLOOKUP($B162, Result_Database!$A$2:$A$500, Result_Database!AI$2:AI$500),
  _xlfn.IFNA(_xlpm.result, "")
)</f>
        <v/>
      </c>
      <c r="AK162" t="str">
        <f>_xlfn.LET(
  _xlpm.result, _xlfn.XLOOKUP($B162, Result_Database!$A$2:$A$500, Result_Database!AJ$2:AJ$500),
  _xlfn.IFNA(_xlpm.result, "")
)</f>
        <v/>
      </c>
      <c r="AL162" t="str">
        <f>_xlfn.LET(
  _xlpm.result, _xlfn.XLOOKUP($B162, Result_Database!$A$2:$A$500, Result_Database!AK$2:AK$500),
  _xlfn.IFNA(_xlpm.result, "")
)</f>
        <v/>
      </c>
      <c r="AM16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6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6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6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6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6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6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6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6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62" t="str">
        <f>IF(SUM(Table5[[#This Row],[A1]:[C6]])&lt;&gt;0,SUM(Table5[[#This Row],[A1]:[C6]]),"")</f>
        <v/>
      </c>
      <c r="AW162" t="str">
        <f>IF(SUM(Table5[[#This Row],[D7]:[F9]])=0,"",SUM(Table5[[#This Row],[D7]:[F9]]))</f>
        <v/>
      </c>
      <c r="AX16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6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6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6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6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6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62" t="str">
        <f>IF(COUNTIF(Table5[[#This Row],[English Language]:[Electrical/ Electronics]],"WITHHELD")=0,"",COUNTIF(Table5[[#This Row],[English Language]:[Electrical/ Electronics]],"WITHHELD"))</f>
        <v/>
      </c>
      <c r="BE162" t="str">
        <f>IF(SUM(Table5[[#This Row],[NO OF CREDITS]:[BELOW CREDITS]])=0,"",SUM(Table5[[#This Row],[NO OF CREDITS]:[BELOW CREDITS]]))</f>
        <v/>
      </c>
    </row>
    <row r="163" spans="1:57" x14ac:dyDescent="0.3">
      <c r="A163" t="str">
        <f>IF(B163&lt;&gt;"",COUNTA($B$6:B163),"")</f>
        <v/>
      </c>
      <c r="B163" t="str">
        <f>IF(Result_Database!A159="","",Result_Database!A159)</f>
        <v/>
      </c>
      <c r="C163" t="str">
        <f>_xlfn.LET(
_xlpm.result,_xlfn.XLOOKUP($B163,Result_Database!$A$2:$A$500,Result_Database!$B$2:$B$500),
_xlfn.IFNA(_xlpm.result,"")
)</f>
        <v/>
      </c>
      <c r="D163" t="str">
        <f>_xlfn.LET(
  _xlpm.result, _xlfn.XLOOKUP($B163, Result_Database!$A$2:$A$500, Result_Database!C$2:C$500),
  _xlfn.IFNA(_xlpm.result, "")
)</f>
        <v/>
      </c>
      <c r="E163" t="str">
        <f>_xlfn.LET(
  _xlpm.result, _xlfn.XLOOKUP($B163, Result_Database!$A$2:$A$500, Result_Database!D$2:D$500),
  _xlfn.IFNA(_xlpm.result, "")
)</f>
        <v/>
      </c>
      <c r="F163" t="str">
        <f>_xlfn.LET(
  _xlpm.result, _xlfn.XLOOKUP($B163, Result_Database!$A$2:$A$500, Result_Database!E$2:E$500),
  _xlfn.IFNA(_xlpm.result, "")
)</f>
        <v/>
      </c>
      <c r="G163" t="str">
        <f>_xlfn.LET(
  _xlpm.result, _xlfn.XLOOKUP($B163, Result_Database!$A$2:$A$500, Result_Database!F$2:F$500),
  _xlfn.IFNA(_xlpm.result, "")
)</f>
        <v/>
      </c>
      <c r="H163" t="str">
        <f>_xlfn.LET(
  _xlpm.result, _xlfn.XLOOKUP($B163, Result_Database!$A$2:$A$500, Result_Database!G$2:G$500),
  _xlfn.IFNA(_xlpm.result, "")
)</f>
        <v/>
      </c>
      <c r="I163" t="str">
        <f>_xlfn.LET(
  _xlpm.result, _xlfn.XLOOKUP($B163, Result_Database!$A$2:$A$500, Result_Database!H$2:H$500),
  _xlfn.IFNA(_xlpm.result, "")
)</f>
        <v/>
      </c>
      <c r="J163" t="str">
        <f>_xlfn.LET(
  _xlpm.result, _xlfn.XLOOKUP($B163, Result_Database!$A$2:$A$500, Result_Database!I$2:I$500),
  _xlfn.IFNA(_xlpm.result, "")
)</f>
        <v/>
      </c>
      <c r="K163" t="str">
        <f>_xlfn.LET(
  _xlpm.result, _xlfn.XLOOKUP($B163, Result_Database!$A$2:$A$500, Result_Database!J$2:J$500),
  _xlfn.IFNA(_xlpm.result, "")
)</f>
        <v/>
      </c>
      <c r="L163" t="str">
        <f>_xlfn.LET(
  _xlpm.result, _xlfn.XLOOKUP($B163, Result_Database!$A$2:$A$500, Result_Database!K$2:K$500),
  _xlfn.IFNA(_xlpm.result, "")
)</f>
        <v/>
      </c>
      <c r="M163" t="str">
        <f>_xlfn.LET(
  _xlpm.result, _xlfn.XLOOKUP($B163, Result_Database!$A$2:$A$500, Result_Database!L$2:L$500),
  _xlfn.IFNA(_xlpm.result, "")
)</f>
        <v/>
      </c>
      <c r="N163" t="str">
        <f>_xlfn.LET(
  _xlpm.result, _xlfn.XLOOKUP($B163, Result_Database!$A$2:$A$500, Result_Database!M$2:M$500),
  _xlfn.IFNA(_xlpm.result, "")
)</f>
        <v/>
      </c>
      <c r="O163" t="str">
        <f>_xlfn.LET(
  _xlpm.result, _xlfn.XLOOKUP($B163, Result_Database!$A$2:$A$500, Result_Database!N$2:N$500),
  _xlfn.IFNA(_xlpm.result, "")
)</f>
        <v/>
      </c>
      <c r="P163" t="str">
        <f>_xlfn.LET(
  _xlpm.result, _xlfn.XLOOKUP($B163, Result_Database!$A$2:$A$500, Result_Database!O$2:O$500),
  _xlfn.IFNA(_xlpm.result, "")
)</f>
        <v/>
      </c>
      <c r="Q163" t="str">
        <f>_xlfn.LET(
  _xlpm.result, _xlfn.XLOOKUP($B163, Result_Database!$A$2:$A$500, Result_Database!P$2:P$500),
  _xlfn.IFNA(_xlpm.result, "")
)</f>
        <v/>
      </c>
      <c r="R163" t="str">
        <f>_xlfn.LET(
  _xlpm.result, _xlfn.XLOOKUP($B163, Result_Database!$A$2:$A$500, Result_Database!Q$2:Q$500),
  _xlfn.IFNA(_xlpm.result, "")
)</f>
        <v/>
      </c>
      <c r="S163" t="str">
        <f>_xlfn.LET(
  _xlpm.result, _xlfn.XLOOKUP($B163, Result_Database!$A$2:$A$500, Result_Database!R$2:R$500),
  _xlfn.IFNA(_xlpm.result, "")
)</f>
        <v/>
      </c>
      <c r="T163" t="str">
        <f>_xlfn.LET(
  _xlpm.result, _xlfn.XLOOKUP($B163, Result_Database!$A$2:$A$500, Result_Database!S$2:S$500),
  _xlfn.IFNA(_xlpm.result, "")
)</f>
        <v/>
      </c>
      <c r="U163" t="str">
        <f>_xlfn.LET(
  _xlpm.result, _xlfn.XLOOKUP($B163, Result_Database!$A$2:$A$500, Result_Database!T$2:T$500),
  _xlfn.IFNA(_xlpm.result, "")
)</f>
        <v/>
      </c>
      <c r="V163" t="str">
        <f>_xlfn.LET(
  _xlpm.result, _xlfn.XLOOKUP($B163, Result_Database!$A$2:$A$500, Result_Database!U$2:U$500),
  _xlfn.IFNA(_xlpm.result, "")
)</f>
        <v/>
      </c>
      <c r="W163" t="str">
        <f>_xlfn.LET(
  _xlpm.result, _xlfn.XLOOKUP($B163, Result_Database!$A$2:$A$500, Result_Database!V$2:V$500),
  _xlfn.IFNA(_xlpm.result, "")
)</f>
        <v/>
      </c>
      <c r="X163" t="str">
        <f>_xlfn.LET(
  _xlpm.result, _xlfn.XLOOKUP($B163, Result_Database!$A$2:$A$500, Result_Database!W$2:W$500),
  _xlfn.IFNA(_xlpm.result, "")
)</f>
        <v/>
      </c>
      <c r="Y163" t="str">
        <f>_xlfn.LET(
  _xlpm.result, _xlfn.XLOOKUP($B163, Result_Database!$A$2:$A$500, Result_Database!X$2:X$500),
  _xlfn.IFNA(_xlpm.result, "")
)</f>
        <v/>
      </c>
      <c r="Z163" t="str">
        <f>_xlfn.LET(
  _xlpm.result, _xlfn.XLOOKUP($B163, Result_Database!$A$2:$A$500, Result_Database!Y$2:Y$500),
  _xlfn.IFNA(_xlpm.result, "")
)</f>
        <v/>
      </c>
      <c r="AA163" t="str">
        <f>_xlfn.LET(
  _xlpm.result, _xlfn.XLOOKUP($B163, Result_Database!$A$2:$A$500, Result_Database!Z$2:Z$500),
  _xlfn.IFNA(_xlpm.result, "")
)</f>
        <v/>
      </c>
      <c r="AB163" t="str">
        <f>_xlfn.LET(
  _xlpm.result, _xlfn.XLOOKUP($B163, Result_Database!$A$2:$A$500, Result_Database!AA$2:AA$500),
  _xlfn.IFNA(_xlpm.result, "")
)</f>
        <v/>
      </c>
      <c r="AC163" t="str">
        <f>_xlfn.LET(
  _xlpm.result, _xlfn.XLOOKUP($B163, Result_Database!$A$2:$A$500, Result_Database!AB$2:AB$500),
  _xlfn.IFNA(_xlpm.result, "")
)</f>
        <v/>
      </c>
      <c r="AD163" t="str">
        <f>_xlfn.LET(
  _xlpm.result, _xlfn.XLOOKUP($B163, Result_Database!$A$2:$A$500, Result_Database!AC$2:AC$500),
  _xlfn.IFNA(_xlpm.result, "")
)</f>
        <v/>
      </c>
      <c r="AE163" t="str">
        <f>_xlfn.LET(
  _xlpm.result, _xlfn.XLOOKUP($B163, Result_Database!$A$2:$A$500, Result_Database!AD$2:AD$500),
  _xlfn.IFNA(_xlpm.result, "")
)</f>
        <v/>
      </c>
      <c r="AF163" t="str">
        <f>_xlfn.LET(
  _xlpm.result, _xlfn.XLOOKUP($B163, Result_Database!$A$2:$A$500, Result_Database!AE$2:AE$500),
  _xlfn.IFNA(_xlpm.result, "")
)</f>
        <v/>
      </c>
      <c r="AG163" t="str">
        <f>_xlfn.LET(
  _xlpm.result, _xlfn.XLOOKUP($B163, Result_Database!$A$2:$A$500, Result_Database!AF$2:AF$500),
  _xlfn.IFNA(_xlpm.result, "")
)</f>
        <v/>
      </c>
      <c r="AH163" t="str">
        <f>_xlfn.LET(
  _xlpm.result, _xlfn.XLOOKUP($B163, Result_Database!$A$2:$A$500, Result_Database!AG$2:AG$500),
  _xlfn.IFNA(_xlpm.result, "")
)</f>
        <v/>
      </c>
      <c r="AI163" t="str">
        <f>_xlfn.LET(
  _xlpm.result, _xlfn.XLOOKUP($B163, Result_Database!$A$2:$A$500, Result_Database!AH$2:AH$500),
  _xlfn.IFNA(_xlpm.result, "")
)</f>
        <v/>
      </c>
      <c r="AJ163" t="str">
        <f>_xlfn.LET(
  _xlpm.result, _xlfn.XLOOKUP($B163, Result_Database!$A$2:$A$500, Result_Database!AI$2:AI$500),
  _xlfn.IFNA(_xlpm.result, "")
)</f>
        <v/>
      </c>
      <c r="AK163" t="str">
        <f>_xlfn.LET(
  _xlpm.result, _xlfn.XLOOKUP($B163, Result_Database!$A$2:$A$500, Result_Database!AJ$2:AJ$500),
  _xlfn.IFNA(_xlpm.result, "")
)</f>
        <v/>
      </c>
      <c r="AL163" t="str">
        <f>_xlfn.LET(
  _xlpm.result, _xlfn.XLOOKUP($B163, Result_Database!$A$2:$A$500, Result_Database!AK$2:AK$500),
  _xlfn.IFNA(_xlpm.result, "")
)</f>
        <v/>
      </c>
      <c r="AM16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6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6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6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6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6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6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6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6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63" t="str">
        <f>IF(SUM(Table5[[#This Row],[A1]:[C6]])&lt;&gt;0,SUM(Table5[[#This Row],[A1]:[C6]]),"")</f>
        <v/>
      </c>
      <c r="AW163" t="str">
        <f>IF(SUM(Table5[[#This Row],[D7]:[F9]])=0,"",SUM(Table5[[#This Row],[D7]:[F9]]))</f>
        <v/>
      </c>
      <c r="AX16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6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6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6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6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6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63" t="str">
        <f>IF(COUNTIF(Table5[[#This Row],[English Language]:[Electrical/ Electronics]],"WITHHELD")=0,"",COUNTIF(Table5[[#This Row],[English Language]:[Electrical/ Electronics]],"WITHHELD"))</f>
        <v/>
      </c>
      <c r="BE163" t="str">
        <f>IF(SUM(Table5[[#This Row],[NO OF CREDITS]:[BELOW CREDITS]])=0,"",SUM(Table5[[#This Row],[NO OF CREDITS]:[BELOW CREDITS]]))</f>
        <v/>
      </c>
    </row>
    <row r="164" spans="1:57" x14ac:dyDescent="0.3">
      <c r="A164" t="str">
        <f>IF(B164&lt;&gt;"",COUNTA($B$6:B164),"")</f>
        <v/>
      </c>
      <c r="B164" t="str">
        <f>IF(Result_Database!A160="","",Result_Database!A160)</f>
        <v/>
      </c>
      <c r="C164" t="str">
        <f>_xlfn.LET(
_xlpm.result,_xlfn.XLOOKUP($B164,Result_Database!$A$2:$A$500,Result_Database!$B$2:$B$500),
_xlfn.IFNA(_xlpm.result,"")
)</f>
        <v/>
      </c>
      <c r="D164" t="str">
        <f>_xlfn.LET(
  _xlpm.result, _xlfn.XLOOKUP($B164, Result_Database!$A$2:$A$500, Result_Database!C$2:C$500),
  _xlfn.IFNA(_xlpm.result, "")
)</f>
        <v/>
      </c>
      <c r="E164" t="str">
        <f>_xlfn.LET(
  _xlpm.result, _xlfn.XLOOKUP($B164, Result_Database!$A$2:$A$500, Result_Database!D$2:D$500),
  _xlfn.IFNA(_xlpm.result, "")
)</f>
        <v/>
      </c>
      <c r="F164" t="str">
        <f>_xlfn.LET(
  _xlpm.result, _xlfn.XLOOKUP($B164, Result_Database!$A$2:$A$500, Result_Database!E$2:E$500),
  _xlfn.IFNA(_xlpm.result, "")
)</f>
        <v/>
      </c>
      <c r="G164" t="str">
        <f>_xlfn.LET(
  _xlpm.result, _xlfn.XLOOKUP($B164, Result_Database!$A$2:$A$500, Result_Database!F$2:F$500),
  _xlfn.IFNA(_xlpm.result, "")
)</f>
        <v/>
      </c>
      <c r="H164" t="str">
        <f>_xlfn.LET(
  _xlpm.result, _xlfn.XLOOKUP($B164, Result_Database!$A$2:$A$500, Result_Database!G$2:G$500),
  _xlfn.IFNA(_xlpm.result, "")
)</f>
        <v/>
      </c>
      <c r="I164" t="str">
        <f>_xlfn.LET(
  _xlpm.result, _xlfn.XLOOKUP($B164, Result_Database!$A$2:$A$500, Result_Database!H$2:H$500),
  _xlfn.IFNA(_xlpm.result, "")
)</f>
        <v/>
      </c>
      <c r="J164" t="str">
        <f>_xlfn.LET(
  _xlpm.result, _xlfn.XLOOKUP($B164, Result_Database!$A$2:$A$500, Result_Database!I$2:I$500),
  _xlfn.IFNA(_xlpm.result, "")
)</f>
        <v/>
      </c>
      <c r="K164" t="str">
        <f>_xlfn.LET(
  _xlpm.result, _xlfn.XLOOKUP($B164, Result_Database!$A$2:$A$500, Result_Database!J$2:J$500),
  _xlfn.IFNA(_xlpm.result, "")
)</f>
        <v/>
      </c>
      <c r="L164" t="str">
        <f>_xlfn.LET(
  _xlpm.result, _xlfn.XLOOKUP($B164, Result_Database!$A$2:$A$500, Result_Database!K$2:K$500),
  _xlfn.IFNA(_xlpm.result, "")
)</f>
        <v/>
      </c>
      <c r="M164" t="str">
        <f>_xlfn.LET(
  _xlpm.result, _xlfn.XLOOKUP($B164, Result_Database!$A$2:$A$500, Result_Database!L$2:L$500),
  _xlfn.IFNA(_xlpm.result, "")
)</f>
        <v/>
      </c>
      <c r="N164" t="str">
        <f>_xlfn.LET(
  _xlpm.result, _xlfn.XLOOKUP($B164, Result_Database!$A$2:$A$500, Result_Database!M$2:M$500),
  _xlfn.IFNA(_xlpm.result, "")
)</f>
        <v/>
      </c>
      <c r="O164" t="str">
        <f>_xlfn.LET(
  _xlpm.result, _xlfn.XLOOKUP($B164, Result_Database!$A$2:$A$500, Result_Database!N$2:N$500),
  _xlfn.IFNA(_xlpm.result, "")
)</f>
        <v/>
      </c>
      <c r="P164" t="str">
        <f>_xlfn.LET(
  _xlpm.result, _xlfn.XLOOKUP($B164, Result_Database!$A$2:$A$500, Result_Database!O$2:O$500),
  _xlfn.IFNA(_xlpm.result, "")
)</f>
        <v/>
      </c>
      <c r="Q164" t="str">
        <f>_xlfn.LET(
  _xlpm.result, _xlfn.XLOOKUP($B164, Result_Database!$A$2:$A$500, Result_Database!P$2:P$500),
  _xlfn.IFNA(_xlpm.result, "")
)</f>
        <v/>
      </c>
      <c r="R164" t="str">
        <f>_xlfn.LET(
  _xlpm.result, _xlfn.XLOOKUP($B164, Result_Database!$A$2:$A$500, Result_Database!Q$2:Q$500),
  _xlfn.IFNA(_xlpm.result, "")
)</f>
        <v/>
      </c>
      <c r="S164" t="str">
        <f>_xlfn.LET(
  _xlpm.result, _xlfn.XLOOKUP($B164, Result_Database!$A$2:$A$500, Result_Database!R$2:R$500),
  _xlfn.IFNA(_xlpm.result, "")
)</f>
        <v/>
      </c>
      <c r="T164" t="str">
        <f>_xlfn.LET(
  _xlpm.result, _xlfn.XLOOKUP($B164, Result_Database!$A$2:$A$500, Result_Database!S$2:S$500),
  _xlfn.IFNA(_xlpm.result, "")
)</f>
        <v/>
      </c>
      <c r="U164" t="str">
        <f>_xlfn.LET(
  _xlpm.result, _xlfn.XLOOKUP($B164, Result_Database!$A$2:$A$500, Result_Database!T$2:T$500),
  _xlfn.IFNA(_xlpm.result, "")
)</f>
        <v/>
      </c>
      <c r="V164" t="str">
        <f>_xlfn.LET(
  _xlpm.result, _xlfn.XLOOKUP($B164, Result_Database!$A$2:$A$500, Result_Database!U$2:U$500),
  _xlfn.IFNA(_xlpm.result, "")
)</f>
        <v/>
      </c>
      <c r="W164" t="str">
        <f>_xlfn.LET(
  _xlpm.result, _xlfn.XLOOKUP($B164, Result_Database!$A$2:$A$500, Result_Database!V$2:V$500),
  _xlfn.IFNA(_xlpm.result, "")
)</f>
        <v/>
      </c>
      <c r="X164" t="str">
        <f>_xlfn.LET(
  _xlpm.result, _xlfn.XLOOKUP($B164, Result_Database!$A$2:$A$500, Result_Database!W$2:W$500),
  _xlfn.IFNA(_xlpm.result, "")
)</f>
        <v/>
      </c>
      <c r="Y164" t="str">
        <f>_xlfn.LET(
  _xlpm.result, _xlfn.XLOOKUP($B164, Result_Database!$A$2:$A$500, Result_Database!X$2:X$500),
  _xlfn.IFNA(_xlpm.result, "")
)</f>
        <v/>
      </c>
      <c r="Z164" t="str">
        <f>_xlfn.LET(
  _xlpm.result, _xlfn.XLOOKUP($B164, Result_Database!$A$2:$A$500, Result_Database!Y$2:Y$500),
  _xlfn.IFNA(_xlpm.result, "")
)</f>
        <v/>
      </c>
      <c r="AA164" t="str">
        <f>_xlfn.LET(
  _xlpm.result, _xlfn.XLOOKUP($B164, Result_Database!$A$2:$A$500, Result_Database!Z$2:Z$500),
  _xlfn.IFNA(_xlpm.result, "")
)</f>
        <v/>
      </c>
      <c r="AB164" t="str">
        <f>_xlfn.LET(
  _xlpm.result, _xlfn.XLOOKUP($B164, Result_Database!$A$2:$A$500, Result_Database!AA$2:AA$500),
  _xlfn.IFNA(_xlpm.result, "")
)</f>
        <v/>
      </c>
      <c r="AC164" t="str">
        <f>_xlfn.LET(
  _xlpm.result, _xlfn.XLOOKUP($B164, Result_Database!$A$2:$A$500, Result_Database!AB$2:AB$500),
  _xlfn.IFNA(_xlpm.result, "")
)</f>
        <v/>
      </c>
      <c r="AD164" t="str">
        <f>_xlfn.LET(
  _xlpm.result, _xlfn.XLOOKUP($B164, Result_Database!$A$2:$A$500, Result_Database!AC$2:AC$500),
  _xlfn.IFNA(_xlpm.result, "")
)</f>
        <v/>
      </c>
      <c r="AE164" t="str">
        <f>_xlfn.LET(
  _xlpm.result, _xlfn.XLOOKUP($B164, Result_Database!$A$2:$A$500, Result_Database!AD$2:AD$500),
  _xlfn.IFNA(_xlpm.result, "")
)</f>
        <v/>
      </c>
      <c r="AF164" t="str">
        <f>_xlfn.LET(
  _xlpm.result, _xlfn.XLOOKUP($B164, Result_Database!$A$2:$A$500, Result_Database!AE$2:AE$500),
  _xlfn.IFNA(_xlpm.result, "")
)</f>
        <v/>
      </c>
      <c r="AG164" t="str">
        <f>_xlfn.LET(
  _xlpm.result, _xlfn.XLOOKUP($B164, Result_Database!$A$2:$A$500, Result_Database!AF$2:AF$500),
  _xlfn.IFNA(_xlpm.result, "")
)</f>
        <v/>
      </c>
      <c r="AH164" t="str">
        <f>_xlfn.LET(
  _xlpm.result, _xlfn.XLOOKUP($B164, Result_Database!$A$2:$A$500, Result_Database!AG$2:AG$500),
  _xlfn.IFNA(_xlpm.result, "")
)</f>
        <v/>
      </c>
      <c r="AI164" t="str">
        <f>_xlfn.LET(
  _xlpm.result, _xlfn.XLOOKUP($B164, Result_Database!$A$2:$A$500, Result_Database!AH$2:AH$500),
  _xlfn.IFNA(_xlpm.result, "")
)</f>
        <v/>
      </c>
      <c r="AJ164" t="str">
        <f>_xlfn.LET(
  _xlpm.result, _xlfn.XLOOKUP($B164, Result_Database!$A$2:$A$500, Result_Database!AI$2:AI$500),
  _xlfn.IFNA(_xlpm.result, "")
)</f>
        <v/>
      </c>
      <c r="AK164" t="str">
        <f>_xlfn.LET(
  _xlpm.result, _xlfn.XLOOKUP($B164, Result_Database!$A$2:$A$500, Result_Database!AJ$2:AJ$500),
  _xlfn.IFNA(_xlpm.result, "")
)</f>
        <v/>
      </c>
      <c r="AL164" t="str">
        <f>_xlfn.LET(
  _xlpm.result, _xlfn.XLOOKUP($B164, Result_Database!$A$2:$A$500, Result_Database!AK$2:AK$500),
  _xlfn.IFNA(_xlpm.result, "")
)</f>
        <v/>
      </c>
      <c r="AM16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6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6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6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6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6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6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6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6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64" t="str">
        <f>IF(SUM(Table5[[#This Row],[A1]:[C6]])&lt;&gt;0,SUM(Table5[[#This Row],[A1]:[C6]]),"")</f>
        <v/>
      </c>
      <c r="AW164" t="str">
        <f>IF(SUM(Table5[[#This Row],[D7]:[F9]])=0,"",SUM(Table5[[#This Row],[D7]:[F9]]))</f>
        <v/>
      </c>
      <c r="AX16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6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6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6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6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6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64" t="str">
        <f>IF(COUNTIF(Table5[[#This Row],[English Language]:[Electrical/ Electronics]],"WITHHELD")=0,"",COUNTIF(Table5[[#This Row],[English Language]:[Electrical/ Electronics]],"WITHHELD"))</f>
        <v/>
      </c>
      <c r="BE164" t="str">
        <f>IF(SUM(Table5[[#This Row],[NO OF CREDITS]:[BELOW CREDITS]])=0,"",SUM(Table5[[#This Row],[NO OF CREDITS]:[BELOW CREDITS]]))</f>
        <v/>
      </c>
    </row>
    <row r="165" spans="1:57" x14ac:dyDescent="0.3">
      <c r="A165" t="str">
        <f>IF(B165&lt;&gt;"",COUNTA($B$6:B165),"")</f>
        <v/>
      </c>
      <c r="B165" t="str">
        <f>IF(Result_Database!A161="","",Result_Database!A161)</f>
        <v/>
      </c>
      <c r="C165" t="str">
        <f>_xlfn.LET(
_xlpm.result,_xlfn.XLOOKUP($B165,Result_Database!$A$2:$A$500,Result_Database!$B$2:$B$500),
_xlfn.IFNA(_xlpm.result,"")
)</f>
        <v/>
      </c>
      <c r="D165" t="str">
        <f>_xlfn.LET(
  _xlpm.result, _xlfn.XLOOKUP($B165, Result_Database!$A$2:$A$500, Result_Database!C$2:C$500),
  _xlfn.IFNA(_xlpm.result, "")
)</f>
        <v/>
      </c>
      <c r="E165" t="str">
        <f>_xlfn.LET(
  _xlpm.result, _xlfn.XLOOKUP($B165, Result_Database!$A$2:$A$500, Result_Database!D$2:D$500),
  _xlfn.IFNA(_xlpm.result, "")
)</f>
        <v/>
      </c>
      <c r="F165" t="str">
        <f>_xlfn.LET(
  _xlpm.result, _xlfn.XLOOKUP($B165, Result_Database!$A$2:$A$500, Result_Database!E$2:E$500),
  _xlfn.IFNA(_xlpm.result, "")
)</f>
        <v/>
      </c>
      <c r="G165" t="str">
        <f>_xlfn.LET(
  _xlpm.result, _xlfn.XLOOKUP($B165, Result_Database!$A$2:$A$500, Result_Database!F$2:F$500),
  _xlfn.IFNA(_xlpm.result, "")
)</f>
        <v/>
      </c>
      <c r="H165" t="str">
        <f>_xlfn.LET(
  _xlpm.result, _xlfn.XLOOKUP($B165, Result_Database!$A$2:$A$500, Result_Database!G$2:G$500),
  _xlfn.IFNA(_xlpm.result, "")
)</f>
        <v/>
      </c>
      <c r="I165" t="str">
        <f>_xlfn.LET(
  _xlpm.result, _xlfn.XLOOKUP($B165, Result_Database!$A$2:$A$500, Result_Database!H$2:H$500),
  _xlfn.IFNA(_xlpm.result, "")
)</f>
        <v/>
      </c>
      <c r="J165" t="str">
        <f>_xlfn.LET(
  _xlpm.result, _xlfn.XLOOKUP($B165, Result_Database!$A$2:$A$500, Result_Database!I$2:I$500),
  _xlfn.IFNA(_xlpm.result, "")
)</f>
        <v/>
      </c>
      <c r="K165" t="str">
        <f>_xlfn.LET(
  _xlpm.result, _xlfn.XLOOKUP($B165, Result_Database!$A$2:$A$500, Result_Database!J$2:J$500),
  _xlfn.IFNA(_xlpm.result, "")
)</f>
        <v/>
      </c>
      <c r="L165" t="str">
        <f>_xlfn.LET(
  _xlpm.result, _xlfn.XLOOKUP($B165, Result_Database!$A$2:$A$500, Result_Database!K$2:K$500),
  _xlfn.IFNA(_xlpm.result, "")
)</f>
        <v/>
      </c>
      <c r="M165" t="str">
        <f>_xlfn.LET(
  _xlpm.result, _xlfn.XLOOKUP($B165, Result_Database!$A$2:$A$500, Result_Database!L$2:L$500),
  _xlfn.IFNA(_xlpm.result, "")
)</f>
        <v/>
      </c>
      <c r="N165" t="str">
        <f>_xlfn.LET(
  _xlpm.result, _xlfn.XLOOKUP($B165, Result_Database!$A$2:$A$500, Result_Database!M$2:M$500),
  _xlfn.IFNA(_xlpm.result, "")
)</f>
        <v/>
      </c>
      <c r="O165" t="str">
        <f>_xlfn.LET(
  _xlpm.result, _xlfn.XLOOKUP($B165, Result_Database!$A$2:$A$500, Result_Database!N$2:N$500),
  _xlfn.IFNA(_xlpm.result, "")
)</f>
        <v/>
      </c>
      <c r="P165" t="str">
        <f>_xlfn.LET(
  _xlpm.result, _xlfn.XLOOKUP($B165, Result_Database!$A$2:$A$500, Result_Database!O$2:O$500),
  _xlfn.IFNA(_xlpm.result, "")
)</f>
        <v/>
      </c>
      <c r="Q165" t="str">
        <f>_xlfn.LET(
  _xlpm.result, _xlfn.XLOOKUP($B165, Result_Database!$A$2:$A$500, Result_Database!P$2:P$500),
  _xlfn.IFNA(_xlpm.result, "")
)</f>
        <v/>
      </c>
      <c r="R165" t="str">
        <f>_xlfn.LET(
  _xlpm.result, _xlfn.XLOOKUP($B165, Result_Database!$A$2:$A$500, Result_Database!Q$2:Q$500),
  _xlfn.IFNA(_xlpm.result, "")
)</f>
        <v/>
      </c>
      <c r="S165" t="str">
        <f>_xlfn.LET(
  _xlpm.result, _xlfn.XLOOKUP($B165, Result_Database!$A$2:$A$500, Result_Database!R$2:R$500),
  _xlfn.IFNA(_xlpm.result, "")
)</f>
        <v/>
      </c>
      <c r="T165" t="str">
        <f>_xlfn.LET(
  _xlpm.result, _xlfn.XLOOKUP($B165, Result_Database!$A$2:$A$500, Result_Database!S$2:S$500),
  _xlfn.IFNA(_xlpm.result, "")
)</f>
        <v/>
      </c>
      <c r="U165" t="str">
        <f>_xlfn.LET(
  _xlpm.result, _xlfn.XLOOKUP($B165, Result_Database!$A$2:$A$500, Result_Database!T$2:T$500),
  _xlfn.IFNA(_xlpm.result, "")
)</f>
        <v/>
      </c>
      <c r="V165" t="str">
        <f>_xlfn.LET(
  _xlpm.result, _xlfn.XLOOKUP($B165, Result_Database!$A$2:$A$500, Result_Database!U$2:U$500),
  _xlfn.IFNA(_xlpm.result, "")
)</f>
        <v/>
      </c>
      <c r="W165" t="str">
        <f>_xlfn.LET(
  _xlpm.result, _xlfn.XLOOKUP($B165, Result_Database!$A$2:$A$500, Result_Database!V$2:V$500),
  _xlfn.IFNA(_xlpm.result, "")
)</f>
        <v/>
      </c>
      <c r="X165" t="str">
        <f>_xlfn.LET(
  _xlpm.result, _xlfn.XLOOKUP($B165, Result_Database!$A$2:$A$500, Result_Database!W$2:W$500),
  _xlfn.IFNA(_xlpm.result, "")
)</f>
        <v/>
      </c>
      <c r="Y165" t="str">
        <f>_xlfn.LET(
  _xlpm.result, _xlfn.XLOOKUP($B165, Result_Database!$A$2:$A$500, Result_Database!X$2:X$500),
  _xlfn.IFNA(_xlpm.result, "")
)</f>
        <v/>
      </c>
      <c r="Z165" t="str">
        <f>_xlfn.LET(
  _xlpm.result, _xlfn.XLOOKUP($B165, Result_Database!$A$2:$A$500, Result_Database!Y$2:Y$500),
  _xlfn.IFNA(_xlpm.result, "")
)</f>
        <v/>
      </c>
      <c r="AA165" t="str">
        <f>_xlfn.LET(
  _xlpm.result, _xlfn.XLOOKUP($B165, Result_Database!$A$2:$A$500, Result_Database!Z$2:Z$500),
  _xlfn.IFNA(_xlpm.result, "")
)</f>
        <v/>
      </c>
      <c r="AB165" t="str">
        <f>_xlfn.LET(
  _xlpm.result, _xlfn.XLOOKUP($B165, Result_Database!$A$2:$A$500, Result_Database!AA$2:AA$500),
  _xlfn.IFNA(_xlpm.result, "")
)</f>
        <v/>
      </c>
      <c r="AC165" t="str">
        <f>_xlfn.LET(
  _xlpm.result, _xlfn.XLOOKUP($B165, Result_Database!$A$2:$A$500, Result_Database!AB$2:AB$500),
  _xlfn.IFNA(_xlpm.result, "")
)</f>
        <v/>
      </c>
      <c r="AD165" t="str">
        <f>_xlfn.LET(
  _xlpm.result, _xlfn.XLOOKUP($B165, Result_Database!$A$2:$A$500, Result_Database!AC$2:AC$500),
  _xlfn.IFNA(_xlpm.result, "")
)</f>
        <v/>
      </c>
      <c r="AE165" t="str">
        <f>_xlfn.LET(
  _xlpm.result, _xlfn.XLOOKUP($B165, Result_Database!$A$2:$A$500, Result_Database!AD$2:AD$500),
  _xlfn.IFNA(_xlpm.result, "")
)</f>
        <v/>
      </c>
      <c r="AF165" t="str">
        <f>_xlfn.LET(
  _xlpm.result, _xlfn.XLOOKUP($B165, Result_Database!$A$2:$A$500, Result_Database!AE$2:AE$500),
  _xlfn.IFNA(_xlpm.result, "")
)</f>
        <v/>
      </c>
      <c r="AG165" t="str">
        <f>_xlfn.LET(
  _xlpm.result, _xlfn.XLOOKUP($B165, Result_Database!$A$2:$A$500, Result_Database!AF$2:AF$500),
  _xlfn.IFNA(_xlpm.result, "")
)</f>
        <v/>
      </c>
      <c r="AH165" t="str">
        <f>_xlfn.LET(
  _xlpm.result, _xlfn.XLOOKUP($B165, Result_Database!$A$2:$A$500, Result_Database!AG$2:AG$500),
  _xlfn.IFNA(_xlpm.result, "")
)</f>
        <v/>
      </c>
      <c r="AI165" t="str">
        <f>_xlfn.LET(
  _xlpm.result, _xlfn.XLOOKUP($B165, Result_Database!$A$2:$A$500, Result_Database!AH$2:AH$500),
  _xlfn.IFNA(_xlpm.result, "")
)</f>
        <v/>
      </c>
      <c r="AJ165" t="str">
        <f>_xlfn.LET(
  _xlpm.result, _xlfn.XLOOKUP($B165, Result_Database!$A$2:$A$500, Result_Database!AI$2:AI$500),
  _xlfn.IFNA(_xlpm.result, "")
)</f>
        <v/>
      </c>
      <c r="AK165" t="str">
        <f>_xlfn.LET(
  _xlpm.result, _xlfn.XLOOKUP($B165, Result_Database!$A$2:$A$500, Result_Database!AJ$2:AJ$500),
  _xlfn.IFNA(_xlpm.result, "")
)</f>
        <v/>
      </c>
      <c r="AL165" t="str">
        <f>_xlfn.LET(
  _xlpm.result, _xlfn.XLOOKUP($B165, Result_Database!$A$2:$A$500, Result_Database!AK$2:AK$500),
  _xlfn.IFNA(_xlpm.result, "")
)</f>
        <v/>
      </c>
      <c r="AM16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6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6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6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6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6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6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6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6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65" t="str">
        <f>IF(SUM(Table5[[#This Row],[A1]:[C6]])&lt;&gt;0,SUM(Table5[[#This Row],[A1]:[C6]]),"")</f>
        <v/>
      </c>
      <c r="AW165" t="str">
        <f>IF(SUM(Table5[[#This Row],[D7]:[F9]])=0,"",SUM(Table5[[#This Row],[D7]:[F9]]))</f>
        <v/>
      </c>
      <c r="AX16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6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6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6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6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6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65" t="str">
        <f>IF(COUNTIF(Table5[[#This Row],[English Language]:[Electrical/ Electronics]],"WITHHELD")=0,"",COUNTIF(Table5[[#This Row],[English Language]:[Electrical/ Electronics]],"WITHHELD"))</f>
        <v/>
      </c>
      <c r="BE165" t="str">
        <f>IF(SUM(Table5[[#This Row],[NO OF CREDITS]:[BELOW CREDITS]])=0,"",SUM(Table5[[#This Row],[NO OF CREDITS]:[BELOW CREDITS]]))</f>
        <v/>
      </c>
    </row>
    <row r="166" spans="1:57" x14ac:dyDescent="0.3">
      <c r="A166" t="str">
        <f>IF(B166&lt;&gt;"",COUNTA($B$6:B166),"")</f>
        <v/>
      </c>
      <c r="B166" t="str">
        <f>IF(Result_Database!A162="","",Result_Database!A162)</f>
        <v/>
      </c>
      <c r="C166" t="str">
        <f>_xlfn.LET(
_xlpm.result,_xlfn.XLOOKUP($B166,Result_Database!$A$2:$A$500,Result_Database!$B$2:$B$500),
_xlfn.IFNA(_xlpm.result,"")
)</f>
        <v/>
      </c>
      <c r="D166" t="str">
        <f>_xlfn.LET(
  _xlpm.result, _xlfn.XLOOKUP($B166, Result_Database!$A$2:$A$500, Result_Database!C$2:C$500),
  _xlfn.IFNA(_xlpm.result, "")
)</f>
        <v/>
      </c>
      <c r="E166" t="str">
        <f>_xlfn.LET(
  _xlpm.result, _xlfn.XLOOKUP($B166, Result_Database!$A$2:$A$500, Result_Database!D$2:D$500),
  _xlfn.IFNA(_xlpm.result, "")
)</f>
        <v/>
      </c>
      <c r="F166" t="str">
        <f>_xlfn.LET(
  _xlpm.result, _xlfn.XLOOKUP($B166, Result_Database!$A$2:$A$500, Result_Database!E$2:E$500),
  _xlfn.IFNA(_xlpm.result, "")
)</f>
        <v/>
      </c>
      <c r="G166" t="str">
        <f>_xlfn.LET(
  _xlpm.result, _xlfn.XLOOKUP($B166, Result_Database!$A$2:$A$500, Result_Database!F$2:F$500),
  _xlfn.IFNA(_xlpm.result, "")
)</f>
        <v/>
      </c>
      <c r="H166" t="str">
        <f>_xlfn.LET(
  _xlpm.result, _xlfn.XLOOKUP($B166, Result_Database!$A$2:$A$500, Result_Database!G$2:G$500),
  _xlfn.IFNA(_xlpm.result, "")
)</f>
        <v/>
      </c>
      <c r="I166" t="str">
        <f>_xlfn.LET(
  _xlpm.result, _xlfn.XLOOKUP($B166, Result_Database!$A$2:$A$500, Result_Database!H$2:H$500),
  _xlfn.IFNA(_xlpm.result, "")
)</f>
        <v/>
      </c>
      <c r="J166" t="str">
        <f>_xlfn.LET(
  _xlpm.result, _xlfn.XLOOKUP($B166, Result_Database!$A$2:$A$500, Result_Database!I$2:I$500),
  _xlfn.IFNA(_xlpm.result, "")
)</f>
        <v/>
      </c>
      <c r="K166" t="str">
        <f>_xlfn.LET(
  _xlpm.result, _xlfn.XLOOKUP($B166, Result_Database!$A$2:$A$500, Result_Database!J$2:J$500),
  _xlfn.IFNA(_xlpm.result, "")
)</f>
        <v/>
      </c>
      <c r="L166" t="str">
        <f>_xlfn.LET(
  _xlpm.result, _xlfn.XLOOKUP($B166, Result_Database!$A$2:$A$500, Result_Database!K$2:K$500),
  _xlfn.IFNA(_xlpm.result, "")
)</f>
        <v/>
      </c>
      <c r="M166" t="str">
        <f>_xlfn.LET(
  _xlpm.result, _xlfn.XLOOKUP($B166, Result_Database!$A$2:$A$500, Result_Database!L$2:L$500),
  _xlfn.IFNA(_xlpm.result, "")
)</f>
        <v/>
      </c>
      <c r="N166" t="str">
        <f>_xlfn.LET(
  _xlpm.result, _xlfn.XLOOKUP($B166, Result_Database!$A$2:$A$500, Result_Database!M$2:M$500),
  _xlfn.IFNA(_xlpm.result, "")
)</f>
        <v/>
      </c>
      <c r="O166" t="str">
        <f>_xlfn.LET(
  _xlpm.result, _xlfn.XLOOKUP($B166, Result_Database!$A$2:$A$500, Result_Database!N$2:N$500),
  _xlfn.IFNA(_xlpm.result, "")
)</f>
        <v/>
      </c>
      <c r="P166" t="str">
        <f>_xlfn.LET(
  _xlpm.result, _xlfn.XLOOKUP($B166, Result_Database!$A$2:$A$500, Result_Database!O$2:O$500),
  _xlfn.IFNA(_xlpm.result, "")
)</f>
        <v/>
      </c>
      <c r="Q166" t="str">
        <f>_xlfn.LET(
  _xlpm.result, _xlfn.XLOOKUP($B166, Result_Database!$A$2:$A$500, Result_Database!P$2:P$500),
  _xlfn.IFNA(_xlpm.result, "")
)</f>
        <v/>
      </c>
      <c r="R166" t="str">
        <f>_xlfn.LET(
  _xlpm.result, _xlfn.XLOOKUP($B166, Result_Database!$A$2:$A$500, Result_Database!Q$2:Q$500),
  _xlfn.IFNA(_xlpm.result, "")
)</f>
        <v/>
      </c>
      <c r="S166" t="str">
        <f>_xlfn.LET(
  _xlpm.result, _xlfn.XLOOKUP($B166, Result_Database!$A$2:$A$500, Result_Database!R$2:R$500),
  _xlfn.IFNA(_xlpm.result, "")
)</f>
        <v/>
      </c>
      <c r="T166" t="str">
        <f>_xlfn.LET(
  _xlpm.result, _xlfn.XLOOKUP($B166, Result_Database!$A$2:$A$500, Result_Database!S$2:S$500),
  _xlfn.IFNA(_xlpm.result, "")
)</f>
        <v/>
      </c>
      <c r="U166" t="str">
        <f>_xlfn.LET(
  _xlpm.result, _xlfn.XLOOKUP($B166, Result_Database!$A$2:$A$500, Result_Database!T$2:T$500),
  _xlfn.IFNA(_xlpm.result, "")
)</f>
        <v/>
      </c>
      <c r="V166" t="str">
        <f>_xlfn.LET(
  _xlpm.result, _xlfn.XLOOKUP($B166, Result_Database!$A$2:$A$500, Result_Database!U$2:U$500),
  _xlfn.IFNA(_xlpm.result, "")
)</f>
        <v/>
      </c>
      <c r="W166" t="str">
        <f>_xlfn.LET(
  _xlpm.result, _xlfn.XLOOKUP($B166, Result_Database!$A$2:$A$500, Result_Database!V$2:V$500),
  _xlfn.IFNA(_xlpm.result, "")
)</f>
        <v/>
      </c>
      <c r="X166" t="str">
        <f>_xlfn.LET(
  _xlpm.result, _xlfn.XLOOKUP($B166, Result_Database!$A$2:$A$500, Result_Database!W$2:W$500),
  _xlfn.IFNA(_xlpm.result, "")
)</f>
        <v/>
      </c>
      <c r="Y166" t="str">
        <f>_xlfn.LET(
  _xlpm.result, _xlfn.XLOOKUP($B166, Result_Database!$A$2:$A$500, Result_Database!X$2:X$500),
  _xlfn.IFNA(_xlpm.result, "")
)</f>
        <v/>
      </c>
      <c r="Z166" t="str">
        <f>_xlfn.LET(
  _xlpm.result, _xlfn.XLOOKUP($B166, Result_Database!$A$2:$A$500, Result_Database!Y$2:Y$500),
  _xlfn.IFNA(_xlpm.result, "")
)</f>
        <v/>
      </c>
      <c r="AA166" t="str">
        <f>_xlfn.LET(
  _xlpm.result, _xlfn.XLOOKUP($B166, Result_Database!$A$2:$A$500, Result_Database!Z$2:Z$500),
  _xlfn.IFNA(_xlpm.result, "")
)</f>
        <v/>
      </c>
      <c r="AB166" t="str">
        <f>_xlfn.LET(
  _xlpm.result, _xlfn.XLOOKUP($B166, Result_Database!$A$2:$A$500, Result_Database!AA$2:AA$500),
  _xlfn.IFNA(_xlpm.result, "")
)</f>
        <v/>
      </c>
      <c r="AC166" t="str">
        <f>_xlfn.LET(
  _xlpm.result, _xlfn.XLOOKUP($B166, Result_Database!$A$2:$A$500, Result_Database!AB$2:AB$500),
  _xlfn.IFNA(_xlpm.result, "")
)</f>
        <v/>
      </c>
      <c r="AD166" t="str">
        <f>_xlfn.LET(
  _xlpm.result, _xlfn.XLOOKUP($B166, Result_Database!$A$2:$A$500, Result_Database!AC$2:AC$500),
  _xlfn.IFNA(_xlpm.result, "")
)</f>
        <v/>
      </c>
      <c r="AE166" t="str">
        <f>_xlfn.LET(
  _xlpm.result, _xlfn.XLOOKUP($B166, Result_Database!$A$2:$A$500, Result_Database!AD$2:AD$500),
  _xlfn.IFNA(_xlpm.result, "")
)</f>
        <v/>
      </c>
      <c r="AF166" t="str">
        <f>_xlfn.LET(
  _xlpm.result, _xlfn.XLOOKUP($B166, Result_Database!$A$2:$A$500, Result_Database!AE$2:AE$500),
  _xlfn.IFNA(_xlpm.result, "")
)</f>
        <v/>
      </c>
      <c r="AG166" t="str">
        <f>_xlfn.LET(
  _xlpm.result, _xlfn.XLOOKUP($B166, Result_Database!$A$2:$A$500, Result_Database!AF$2:AF$500),
  _xlfn.IFNA(_xlpm.result, "")
)</f>
        <v/>
      </c>
      <c r="AH166" t="str">
        <f>_xlfn.LET(
  _xlpm.result, _xlfn.XLOOKUP($B166, Result_Database!$A$2:$A$500, Result_Database!AG$2:AG$500),
  _xlfn.IFNA(_xlpm.result, "")
)</f>
        <v/>
      </c>
      <c r="AI166" t="str">
        <f>_xlfn.LET(
  _xlpm.result, _xlfn.XLOOKUP($B166, Result_Database!$A$2:$A$500, Result_Database!AH$2:AH$500),
  _xlfn.IFNA(_xlpm.result, "")
)</f>
        <v/>
      </c>
      <c r="AJ166" t="str">
        <f>_xlfn.LET(
  _xlpm.result, _xlfn.XLOOKUP($B166, Result_Database!$A$2:$A$500, Result_Database!AI$2:AI$500),
  _xlfn.IFNA(_xlpm.result, "")
)</f>
        <v/>
      </c>
      <c r="AK166" t="str">
        <f>_xlfn.LET(
  _xlpm.result, _xlfn.XLOOKUP($B166, Result_Database!$A$2:$A$500, Result_Database!AJ$2:AJ$500),
  _xlfn.IFNA(_xlpm.result, "")
)</f>
        <v/>
      </c>
      <c r="AL166" t="str">
        <f>_xlfn.LET(
  _xlpm.result, _xlfn.XLOOKUP($B166, Result_Database!$A$2:$A$500, Result_Database!AK$2:AK$500),
  _xlfn.IFNA(_xlpm.result, "")
)</f>
        <v/>
      </c>
      <c r="AM16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6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6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6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6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6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6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6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6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66" t="str">
        <f>IF(SUM(Table5[[#This Row],[A1]:[C6]])&lt;&gt;0,SUM(Table5[[#This Row],[A1]:[C6]]),"")</f>
        <v/>
      </c>
      <c r="AW166" t="str">
        <f>IF(SUM(Table5[[#This Row],[D7]:[F9]])=0,"",SUM(Table5[[#This Row],[D7]:[F9]]))</f>
        <v/>
      </c>
      <c r="AX16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6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6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6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6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6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66" t="str">
        <f>IF(COUNTIF(Table5[[#This Row],[English Language]:[Electrical/ Electronics]],"WITHHELD")=0,"",COUNTIF(Table5[[#This Row],[English Language]:[Electrical/ Electronics]],"WITHHELD"))</f>
        <v/>
      </c>
      <c r="BE166" t="str">
        <f>IF(SUM(Table5[[#This Row],[NO OF CREDITS]:[BELOW CREDITS]])=0,"",SUM(Table5[[#This Row],[NO OF CREDITS]:[BELOW CREDITS]]))</f>
        <v/>
      </c>
    </row>
    <row r="167" spans="1:57" x14ac:dyDescent="0.3">
      <c r="A167" t="str">
        <f>IF(B167&lt;&gt;"",COUNTA($B$6:B167),"")</f>
        <v/>
      </c>
      <c r="B167" t="str">
        <f>IF(Result_Database!A163="","",Result_Database!A163)</f>
        <v/>
      </c>
      <c r="C167" t="str">
        <f>_xlfn.LET(
_xlpm.result,_xlfn.XLOOKUP($B167,Result_Database!$A$2:$A$500,Result_Database!$B$2:$B$500),
_xlfn.IFNA(_xlpm.result,"")
)</f>
        <v/>
      </c>
      <c r="D167" t="str">
        <f>_xlfn.LET(
  _xlpm.result, _xlfn.XLOOKUP($B167, Result_Database!$A$2:$A$500, Result_Database!C$2:C$500),
  _xlfn.IFNA(_xlpm.result, "")
)</f>
        <v/>
      </c>
      <c r="E167" t="str">
        <f>_xlfn.LET(
  _xlpm.result, _xlfn.XLOOKUP($B167, Result_Database!$A$2:$A$500, Result_Database!D$2:D$500),
  _xlfn.IFNA(_xlpm.result, "")
)</f>
        <v/>
      </c>
      <c r="F167" t="str">
        <f>_xlfn.LET(
  _xlpm.result, _xlfn.XLOOKUP($B167, Result_Database!$A$2:$A$500, Result_Database!E$2:E$500),
  _xlfn.IFNA(_xlpm.result, "")
)</f>
        <v/>
      </c>
      <c r="G167" t="str">
        <f>_xlfn.LET(
  _xlpm.result, _xlfn.XLOOKUP($B167, Result_Database!$A$2:$A$500, Result_Database!F$2:F$500),
  _xlfn.IFNA(_xlpm.result, "")
)</f>
        <v/>
      </c>
      <c r="H167" t="str">
        <f>_xlfn.LET(
  _xlpm.result, _xlfn.XLOOKUP($B167, Result_Database!$A$2:$A$500, Result_Database!G$2:G$500),
  _xlfn.IFNA(_xlpm.result, "")
)</f>
        <v/>
      </c>
      <c r="I167" t="str">
        <f>_xlfn.LET(
  _xlpm.result, _xlfn.XLOOKUP($B167, Result_Database!$A$2:$A$500, Result_Database!H$2:H$500),
  _xlfn.IFNA(_xlpm.result, "")
)</f>
        <v/>
      </c>
      <c r="J167" t="str">
        <f>_xlfn.LET(
  _xlpm.result, _xlfn.XLOOKUP($B167, Result_Database!$A$2:$A$500, Result_Database!I$2:I$500),
  _xlfn.IFNA(_xlpm.result, "")
)</f>
        <v/>
      </c>
      <c r="K167" t="str">
        <f>_xlfn.LET(
  _xlpm.result, _xlfn.XLOOKUP($B167, Result_Database!$A$2:$A$500, Result_Database!J$2:J$500),
  _xlfn.IFNA(_xlpm.result, "")
)</f>
        <v/>
      </c>
      <c r="L167" t="str">
        <f>_xlfn.LET(
  _xlpm.result, _xlfn.XLOOKUP($B167, Result_Database!$A$2:$A$500, Result_Database!K$2:K$500),
  _xlfn.IFNA(_xlpm.result, "")
)</f>
        <v/>
      </c>
      <c r="M167" t="str">
        <f>_xlfn.LET(
  _xlpm.result, _xlfn.XLOOKUP($B167, Result_Database!$A$2:$A$500, Result_Database!L$2:L$500),
  _xlfn.IFNA(_xlpm.result, "")
)</f>
        <v/>
      </c>
      <c r="N167" t="str">
        <f>_xlfn.LET(
  _xlpm.result, _xlfn.XLOOKUP($B167, Result_Database!$A$2:$A$500, Result_Database!M$2:M$500),
  _xlfn.IFNA(_xlpm.result, "")
)</f>
        <v/>
      </c>
      <c r="O167" t="str">
        <f>_xlfn.LET(
  _xlpm.result, _xlfn.XLOOKUP($B167, Result_Database!$A$2:$A$500, Result_Database!N$2:N$500),
  _xlfn.IFNA(_xlpm.result, "")
)</f>
        <v/>
      </c>
      <c r="P167" t="str">
        <f>_xlfn.LET(
  _xlpm.result, _xlfn.XLOOKUP($B167, Result_Database!$A$2:$A$500, Result_Database!O$2:O$500),
  _xlfn.IFNA(_xlpm.result, "")
)</f>
        <v/>
      </c>
      <c r="Q167" t="str">
        <f>_xlfn.LET(
  _xlpm.result, _xlfn.XLOOKUP($B167, Result_Database!$A$2:$A$500, Result_Database!P$2:P$500),
  _xlfn.IFNA(_xlpm.result, "")
)</f>
        <v/>
      </c>
      <c r="R167" t="str">
        <f>_xlfn.LET(
  _xlpm.result, _xlfn.XLOOKUP($B167, Result_Database!$A$2:$A$500, Result_Database!Q$2:Q$500),
  _xlfn.IFNA(_xlpm.result, "")
)</f>
        <v/>
      </c>
      <c r="S167" t="str">
        <f>_xlfn.LET(
  _xlpm.result, _xlfn.XLOOKUP($B167, Result_Database!$A$2:$A$500, Result_Database!R$2:R$500),
  _xlfn.IFNA(_xlpm.result, "")
)</f>
        <v/>
      </c>
      <c r="T167" t="str">
        <f>_xlfn.LET(
  _xlpm.result, _xlfn.XLOOKUP($B167, Result_Database!$A$2:$A$500, Result_Database!S$2:S$500),
  _xlfn.IFNA(_xlpm.result, "")
)</f>
        <v/>
      </c>
      <c r="U167" t="str">
        <f>_xlfn.LET(
  _xlpm.result, _xlfn.XLOOKUP($B167, Result_Database!$A$2:$A$500, Result_Database!T$2:T$500),
  _xlfn.IFNA(_xlpm.result, "")
)</f>
        <v/>
      </c>
      <c r="V167" t="str">
        <f>_xlfn.LET(
  _xlpm.result, _xlfn.XLOOKUP($B167, Result_Database!$A$2:$A$500, Result_Database!U$2:U$500),
  _xlfn.IFNA(_xlpm.result, "")
)</f>
        <v/>
      </c>
      <c r="W167" t="str">
        <f>_xlfn.LET(
  _xlpm.result, _xlfn.XLOOKUP($B167, Result_Database!$A$2:$A$500, Result_Database!V$2:V$500),
  _xlfn.IFNA(_xlpm.result, "")
)</f>
        <v/>
      </c>
      <c r="X167" t="str">
        <f>_xlfn.LET(
  _xlpm.result, _xlfn.XLOOKUP($B167, Result_Database!$A$2:$A$500, Result_Database!W$2:W$500),
  _xlfn.IFNA(_xlpm.result, "")
)</f>
        <v/>
      </c>
      <c r="Y167" t="str">
        <f>_xlfn.LET(
  _xlpm.result, _xlfn.XLOOKUP($B167, Result_Database!$A$2:$A$500, Result_Database!X$2:X$500),
  _xlfn.IFNA(_xlpm.result, "")
)</f>
        <v/>
      </c>
      <c r="Z167" t="str">
        <f>_xlfn.LET(
  _xlpm.result, _xlfn.XLOOKUP($B167, Result_Database!$A$2:$A$500, Result_Database!Y$2:Y$500),
  _xlfn.IFNA(_xlpm.result, "")
)</f>
        <v/>
      </c>
      <c r="AA167" t="str">
        <f>_xlfn.LET(
  _xlpm.result, _xlfn.XLOOKUP($B167, Result_Database!$A$2:$A$500, Result_Database!Z$2:Z$500),
  _xlfn.IFNA(_xlpm.result, "")
)</f>
        <v/>
      </c>
      <c r="AB167" t="str">
        <f>_xlfn.LET(
  _xlpm.result, _xlfn.XLOOKUP($B167, Result_Database!$A$2:$A$500, Result_Database!AA$2:AA$500),
  _xlfn.IFNA(_xlpm.result, "")
)</f>
        <v/>
      </c>
      <c r="AC167" t="str">
        <f>_xlfn.LET(
  _xlpm.result, _xlfn.XLOOKUP($B167, Result_Database!$A$2:$A$500, Result_Database!AB$2:AB$500),
  _xlfn.IFNA(_xlpm.result, "")
)</f>
        <v/>
      </c>
      <c r="AD167" t="str">
        <f>_xlfn.LET(
  _xlpm.result, _xlfn.XLOOKUP($B167, Result_Database!$A$2:$A$500, Result_Database!AC$2:AC$500),
  _xlfn.IFNA(_xlpm.result, "")
)</f>
        <v/>
      </c>
      <c r="AE167" t="str">
        <f>_xlfn.LET(
  _xlpm.result, _xlfn.XLOOKUP($B167, Result_Database!$A$2:$A$500, Result_Database!AD$2:AD$500),
  _xlfn.IFNA(_xlpm.result, "")
)</f>
        <v/>
      </c>
      <c r="AF167" t="str">
        <f>_xlfn.LET(
  _xlpm.result, _xlfn.XLOOKUP($B167, Result_Database!$A$2:$A$500, Result_Database!AE$2:AE$500),
  _xlfn.IFNA(_xlpm.result, "")
)</f>
        <v/>
      </c>
      <c r="AG167" t="str">
        <f>_xlfn.LET(
  _xlpm.result, _xlfn.XLOOKUP($B167, Result_Database!$A$2:$A$500, Result_Database!AF$2:AF$500),
  _xlfn.IFNA(_xlpm.result, "")
)</f>
        <v/>
      </c>
      <c r="AH167" t="str">
        <f>_xlfn.LET(
  _xlpm.result, _xlfn.XLOOKUP($B167, Result_Database!$A$2:$A$500, Result_Database!AG$2:AG$500),
  _xlfn.IFNA(_xlpm.result, "")
)</f>
        <v/>
      </c>
      <c r="AI167" t="str">
        <f>_xlfn.LET(
  _xlpm.result, _xlfn.XLOOKUP($B167, Result_Database!$A$2:$A$500, Result_Database!AH$2:AH$500),
  _xlfn.IFNA(_xlpm.result, "")
)</f>
        <v/>
      </c>
      <c r="AJ167" t="str">
        <f>_xlfn.LET(
  _xlpm.result, _xlfn.XLOOKUP($B167, Result_Database!$A$2:$A$500, Result_Database!AI$2:AI$500),
  _xlfn.IFNA(_xlpm.result, "")
)</f>
        <v/>
      </c>
      <c r="AK167" t="str">
        <f>_xlfn.LET(
  _xlpm.result, _xlfn.XLOOKUP($B167, Result_Database!$A$2:$A$500, Result_Database!AJ$2:AJ$500),
  _xlfn.IFNA(_xlpm.result, "")
)</f>
        <v/>
      </c>
      <c r="AL167" t="str">
        <f>_xlfn.LET(
  _xlpm.result, _xlfn.XLOOKUP($B167, Result_Database!$A$2:$A$500, Result_Database!AK$2:AK$500),
  _xlfn.IFNA(_xlpm.result, "")
)</f>
        <v/>
      </c>
      <c r="AM16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6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6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6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6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6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6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6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6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67" t="str">
        <f>IF(SUM(Table5[[#This Row],[A1]:[C6]])&lt;&gt;0,SUM(Table5[[#This Row],[A1]:[C6]]),"")</f>
        <v/>
      </c>
      <c r="AW167" t="str">
        <f>IF(SUM(Table5[[#This Row],[D7]:[F9]])=0,"",SUM(Table5[[#This Row],[D7]:[F9]]))</f>
        <v/>
      </c>
      <c r="AX16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6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6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6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6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6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67" t="str">
        <f>IF(COUNTIF(Table5[[#This Row],[English Language]:[Electrical/ Electronics]],"WITHHELD")=0,"",COUNTIF(Table5[[#This Row],[English Language]:[Electrical/ Electronics]],"WITHHELD"))</f>
        <v/>
      </c>
      <c r="BE167" t="str">
        <f>IF(SUM(Table5[[#This Row],[NO OF CREDITS]:[BELOW CREDITS]])=0,"",SUM(Table5[[#This Row],[NO OF CREDITS]:[BELOW CREDITS]]))</f>
        <v/>
      </c>
    </row>
    <row r="168" spans="1:57" x14ac:dyDescent="0.3">
      <c r="A168" t="str">
        <f>IF(B168&lt;&gt;"",COUNTA($B$6:B168),"")</f>
        <v/>
      </c>
      <c r="B168" t="str">
        <f>IF(Result_Database!A164="","",Result_Database!A164)</f>
        <v/>
      </c>
      <c r="C168" t="str">
        <f>_xlfn.LET(
_xlpm.result,_xlfn.XLOOKUP($B168,Result_Database!$A$2:$A$500,Result_Database!$B$2:$B$500),
_xlfn.IFNA(_xlpm.result,"")
)</f>
        <v/>
      </c>
      <c r="D168" t="str">
        <f>_xlfn.LET(
  _xlpm.result, _xlfn.XLOOKUP($B168, Result_Database!$A$2:$A$500, Result_Database!C$2:C$500),
  _xlfn.IFNA(_xlpm.result, "")
)</f>
        <v/>
      </c>
      <c r="E168" t="str">
        <f>_xlfn.LET(
  _xlpm.result, _xlfn.XLOOKUP($B168, Result_Database!$A$2:$A$500, Result_Database!D$2:D$500),
  _xlfn.IFNA(_xlpm.result, "")
)</f>
        <v/>
      </c>
      <c r="F168" t="str">
        <f>_xlfn.LET(
  _xlpm.result, _xlfn.XLOOKUP($B168, Result_Database!$A$2:$A$500, Result_Database!E$2:E$500),
  _xlfn.IFNA(_xlpm.result, "")
)</f>
        <v/>
      </c>
      <c r="G168" t="str">
        <f>_xlfn.LET(
  _xlpm.result, _xlfn.XLOOKUP($B168, Result_Database!$A$2:$A$500, Result_Database!F$2:F$500),
  _xlfn.IFNA(_xlpm.result, "")
)</f>
        <v/>
      </c>
      <c r="H168" t="str">
        <f>_xlfn.LET(
  _xlpm.result, _xlfn.XLOOKUP($B168, Result_Database!$A$2:$A$500, Result_Database!G$2:G$500),
  _xlfn.IFNA(_xlpm.result, "")
)</f>
        <v/>
      </c>
      <c r="I168" t="str">
        <f>_xlfn.LET(
  _xlpm.result, _xlfn.XLOOKUP($B168, Result_Database!$A$2:$A$500, Result_Database!H$2:H$500),
  _xlfn.IFNA(_xlpm.result, "")
)</f>
        <v/>
      </c>
      <c r="J168" t="str">
        <f>_xlfn.LET(
  _xlpm.result, _xlfn.XLOOKUP($B168, Result_Database!$A$2:$A$500, Result_Database!I$2:I$500),
  _xlfn.IFNA(_xlpm.result, "")
)</f>
        <v/>
      </c>
      <c r="K168" t="str">
        <f>_xlfn.LET(
  _xlpm.result, _xlfn.XLOOKUP($B168, Result_Database!$A$2:$A$500, Result_Database!J$2:J$500),
  _xlfn.IFNA(_xlpm.result, "")
)</f>
        <v/>
      </c>
      <c r="L168" t="str">
        <f>_xlfn.LET(
  _xlpm.result, _xlfn.XLOOKUP($B168, Result_Database!$A$2:$A$500, Result_Database!K$2:K$500),
  _xlfn.IFNA(_xlpm.result, "")
)</f>
        <v/>
      </c>
      <c r="M168" t="str">
        <f>_xlfn.LET(
  _xlpm.result, _xlfn.XLOOKUP($B168, Result_Database!$A$2:$A$500, Result_Database!L$2:L$500),
  _xlfn.IFNA(_xlpm.result, "")
)</f>
        <v/>
      </c>
      <c r="N168" t="str">
        <f>_xlfn.LET(
  _xlpm.result, _xlfn.XLOOKUP($B168, Result_Database!$A$2:$A$500, Result_Database!M$2:M$500),
  _xlfn.IFNA(_xlpm.result, "")
)</f>
        <v/>
      </c>
      <c r="O168" t="str">
        <f>_xlfn.LET(
  _xlpm.result, _xlfn.XLOOKUP($B168, Result_Database!$A$2:$A$500, Result_Database!N$2:N$500),
  _xlfn.IFNA(_xlpm.result, "")
)</f>
        <v/>
      </c>
      <c r="P168" t="str">
        <f>_xlfn.LET(
  _xlpm.result, _xlfn.XLOOKUP($B168, Result_Database!$A$2:$A$500, Result_Database!O$2:O$500),
  _xlfn.IFNA(_xlpm.result, "")
)</f>
        <v/>
      </c>
      <c r="Q168" t="str">
        <f>_xlfn.LET(
  _xlpm.result, _xlfn.XLOOKUP($B168, Result_Database!$A$2:$A$500, Result_Database!P$2:P$500),
  _xlfn.IFNA(_xlpm.result, "")
)</f>
        <v/>
      </c>
      <c r="R168" t="str">
        <f>_xlfn.LET(
  _xlpm.result, _xlfn.XLOOKUP($B168, Result_Database!$A$2:$A$500, Result_Database!Q$2:Q$500),
  _xlfn.IFNA(_xlpm.result, "")
)</f>
        <v/>
      </c>
      <c r="S168" t="str">
        <f>_xlfn.LET(
  _xlpm.result, _xlfn.XLOOKUP($B168, Result_Database!$A$2:$A$500, Result_Database!R$2:R$500),
  _xlfn.IFNA(_xlpm.result, "")
)</f>
        <v/>
      </c>
      <c r="T168" t="str">
        <f>_xlfn.LET(
  _xlpm.result, _xlfn.XLOOKUP($B168, Result_Database!$A$2:$A$500, Result_Database!S$2:S$500),
  _xlfn.IFNA(_xlpm.result, "")
)</f>
        <v/>
      </c>
      <c r="U168" t="str">
        <f>_xlfn.LET(
  _xlpm.result, _xlfn.XLOOKUP($B168, Result_Database!$A$2:$A$500, Result_Database!T$2:T$500),
  _xlfn.IFNA(_xlpm.result, "")
)</f>
        <v/>
      </c>
      <c r="V168" t="str">
        <f>_xlfn.LET(
  _xlpm.result, _xlfn.XLOOKUP($B168, Result_Database!$A$2:$A$500, Result_Database!U$2:U$500),
  _xlfn.IFNA(_xlpm.result, "")
)</f>
        <v/>
      </c>
      <c r="W168" t="str">
        <f>_xlfn.LET(
  _xlpm.result, _xlfn.XLOOKUP($B168, Result_Database!$A$2:$A$500, Result_Database!V$2:V$500),
  _xlfn.IFNA(_xlpm.result, "")
)</f>
        <v/>
      </c>
      <c r="X168" t="str">
        <f>_xlfn.LET(
  _xlpm.result, _xlfn.XLOOKUP($B168, Result_Database!$A$2:$A$500, Result_Database!W$2:W$500),
  _xlfn.IFNA(_xlpm.result, "")
)</f>
        <v/>
      </c>
      <c r="Y168" t="str">
        <f>_xlfn.LET(
  _xlpm.result, _xlfn.XLOOKUP($B168, Result_Database!$A$2:$A$500, Result_Database!X$2:X$500),
  _xlfn.IFNA(_xlpm.result, "")
)</f>
        <v/>
      </c>
      <c r="Z168" t="str">
        <f>_xlfn.LET(
  _xlpm.result, _xlfn.XLOOKUP($B168, Result_Database!$A$2:$A$500, Result_Database!Y$2:Y$500),
  _xlfn.IFNA(_xlpm.result, "")
)</f>
        <v/>
      </c>
      <c r="AA168" t="str">
        <f>_xlfn.LET(
  _xlpm.result, _xlfn.XLOOKUP($B168, Result_Database!$A$2:$A$500, Result_Database!Z$2:Z$500),
  _xlfn.IFNA(_xlpm.result, "")
)</f>
        <v/>
      </c>
      <c r="AB168" t="str">
        <f>_xlfn.LET(
  _xlpm.result, _xlfn.XLOOKUP($B168, Result_Database!$A$2:$A$500, Result_Database!AA$2:AA$500),
  _xlfn.IFNA(_xlpm.result, "")
)</f>
        <v/>
      </c>
      <c r="AC168" t="str">
        <f>_xlfn.LET(
  _xlpm.result, _xlfn.XLOOKUP($B168, Result_Database!$A$2:$A$500, Result_Database!AB$2:AB$500),
  _xlfn.IFNA(_xlpm.result, "")
)</f>
        <v/>
      </c>
      <c r="AD168" t="str">
        <f>_xlfn.LET(
  _xlpm.result, _xlfn.XLOOKUP($B168, Result_Database!$A$2:$A$500, Result_Database!AC$2:AC$500),
  _xlfn.IFNA(_xlpm.result, "")
)</f>
        <v/>
      </c>
      <c r="AE168" t="str">
        <f>_xlfn.LET(
  _xlpm.result, _xlfn.XLOOKUP($B168, Result_Database!$A$2:$A$500, Result_Database!AD$2:AD$500),
  _xlfn.IFNA(_xlpm.result, "")
)</f>
        <v/>
      </c>
      <c r="AF168" t="str">
        <f>_xlfn.LET(
  _xlpm.result, _xlfn.XLOOKUP($B168, Result_Database!$A$2:$A$500, Result_Database!AE$2:AE$500),
  _xlfn.IFNA(_xlpm.result, "")
)</f>
        <v/>
      </c>
      <c r="AG168" t="str">
        <f>_xlfn.LET(
  _xlpm.result, _xlfn.XLOOKUP($B168, Result_Database!$A$2:$A$500, Result_Database!AF$2:AF$500),
  _xlfn.IFNA(_xlpm.result, "")
)</f>
        <v/>
      </c>
      <c r="AH168" t="str">
        <f>_xlfn.LET(
  _xlpm.result, _xlfn.XLOOKUP($B168, Result_Database!$A$2:$A$500, Result_Database!AG$2:AG$500),
  _xlfn.IFNA(_xlpm.result, "")
)</f>
        <v/>
      </c>
      <c r="AI168" t="str">
        <f>_xlfn.LET(
  _xlpm.result, _xlfn.XLOOKUP($B168, Result_Database!$A$2:$A$500, Result_Database!AH$2:AH$500),
  _xlfn.IFNA(_xlpm.result, "")
)</f>
        <v/>
      </c>
      <c r="AJ168" t="str">
        <f>_xlfn.LET(
  _xlpm.result, _xlfn.XLOOKUP($B168, Result_Database!$A$2:$A$500, Result_Database!AI$2:AI$500),
  _xlfn.IFNA(_xlpm.result, "")
)</f>
        <v/>
      </c>
      <c r="AK168" t="str">
        <f>_xlfn.LET(
  _xlpm.result, _xlfn.XLOOKUP($B168, Result_Database!$A$2:$A$500, Result_Database!AJ$2:AJ$500),
  _xlfn.IFNA(_xlpm.result, "")
)</f>
        <v/>
      </c>
      <c r="AL168" t="str">
        <f>_xlfn.LET(
  _xlpm.result, _xlfn.XLOOKUP($B168, Result_Database!$A$2:$A$500, Result_Database!AK$2:AK$500),
  _xlfn.IFNA(_xlpm.result, "")
)</f>
        <v/>
      </c>
      <c r="AM16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6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6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6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6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6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6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6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6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68" t="str">
        <f>IF(SUM(Table5[[#This Row],[A1]:[C6]])&lt;&gt;0,SUM(Table5[[#This Row],[A1]:[C6]]),"")</f>
        <v/>
      </c>
      <c r="AW168" t="str">
        <f>IF(SUM(Table5[[#This Row],[D7]:[F9]])=0,"",SUM(Table5[[#This Row],[D7]:[F9]]))</f>
        <v/>
      </c>
      <c r="AX16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6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6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6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6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6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68" t="str">
        <f>IF(COUNTIF(Table5[[#This Row],[English Language]:[Electrical/ Electronics]],"WITHHELD")=0,"",COUNTIF(Table5[[#This Row],[English Language]:[Electrical/ Electronics]],"WITHHELD"))</f>
        <v/>
      </c>
      <c r="BE168" t="str">
        <f>IF(SUM(Table5[[#This Row],[NO OF CREDITS]:[BELOW CREDITS]])=0,"",SUM(Table5[[#This Row],[NO OF CREDITS]:[BELOW CREDITS]]))</f>
        <v/>
      </c>
    </row>
    <row r="169" spans="1:57" x14ac:dyDescent="0.3">
      <c r="A169" t="str">
        <f>IF(B169&lt;&gt;"",COUNTA($B$6:B169),"")</f>
        <v/>
      </c>
      <c r="B169" t="str">
        <f>IF(Result_Database!A165="","",Result_Database!A165)</f>
        <v/>
      </c>
      <c r="C169" t="str">
        <f>_xlfn.LET(
_xlpm.result,_xlfn.XLOOKUP($B169,Result_Database!$A$2:$A$500,Result_Database!$B$2:$B$500),
_xlfn.IFNA(_xlpm.result,"")
)</f>
        <v/>
      </c>
      <c r="D169" t="str">
        <f>_xlfn.LET(
  _xlpm.result, _xlfn.XLOOKUP($B169, Result_Database!$A$2:$A$500, Result_Database!C$2:C$500),
  _xlfn.IFNA(_xlpm.result, "")
)</f>
        <v/>
      </c>
      <c r="E169" t="str">
        <f>_xlfn.LET(
  _xlpm.result, _xlfn.XLOOKUP($B169, Result_Database!$A$2:$A$500, Result_Database!D$2:D$500),
  _xlfn.IFNA(_xlpm.result, "")
)</f>
        <v/>
      </c>
      <c r="F169" t="str">
        <f>_xlfn.LET(
  _xlpm.result, _xlfn.XLOOKUP($B169, Result_Database!$A$2:$A$500, Result_Database!E$2:E$500),
  _xlfn.IFNA(_xlpm.result, "")
)</f>
        <v/>
      </c>
      <c r="G169" t="str">
        <f>_xlfn.LET(
  _xlpm.result, _xlfn.XLOOKUP($B169, Result_Database!$A$2:$A$500, Result_Database!F$2:F$500),
  _xlfn.IFNA(_xlpm.result, "")
)</f>
        <v/>
      </c>
      <c r="H169" t="str">
        <f>_xlfn.LET(
  _xlpm.result, _xlfn.XLOOKUP($B169, Result_Database!$A$2:$A$500, Result_Database!G$2:G$500),
  _xlfn.IFNA(_xlpm.result, "")
)</f>
        <v/>
      </c>
      <c r="I169" t="str">
        <f>_xlfn.LET(
  _xlpm.result, _xlfn.XLOOKUP($B169, Result_Database!$A$2:$A$500, Result_Database!H$2:H$500),
  _xlfn.IFNA(_xlpm.result, "")
)</f>
        <v/>
      </c>
      <c r="J169" t="str">
        <f>_xlfn.LET(
  _xlpm.result, _xlfn.XLOOKUP($B169, Result_Database!$A$2:$A$500, Result_Database!I$2:I$500),
  _xlfn.IFNA(_xlpm.result, "")
)</f>
        <v/>
      </c>
      <c r="K169" t="str">
        <f>_xlfn.LET(
  _xlpm.result, _xlfn.XLOOKUP($B169, Result_Database!$A$2:$A$500, Result_Database!J$2:J$500),
  _xlfn.IFNA(_xlpm.result, "")
)</f>
        <v/>
      </c>
      <c r="L169" t="str">
        <f>_xlfn.LET(
  _xlpm.result, _xlfn.XLOOKUP($B169, Result_Database!$A$2:$A$500, Result_Database!K$2:K$500),
  _xlfn.IFNA(_xlpm.result, "")
)</f>
        <v/>
      </c>
      <c r="M169" t="str">
        <f>_xlfn.LET(
  _xlpm.result, _xlfn.XLOOKUP($B169, Result_Database!$A$2:$A$500, Result_Database!L$2:L$500),
  _xlfn.IFNA(_xlpm.result, "")
)</f>
        <v/>
      </c>
      <c r="N169" t="str">
        <f>_xlfn.LET(
  _xlpm.result, _xlfn.XLOOKUP($B169, Result_Database!$A$2:$A$500, Result_Database!M$2:M$500),
  _xlfn.IFNA(_xlpm.result, "")
)</f>
        <v/>
      </c>
      <c r="O169" t="str">
        <f>_xlfn.LET(
  _xlpm.result, _xlfn.XLOOKUP($B169, Result_Database!$A$2:$A$500, Result_Database!N$2:N$500),
  _xlfn.IFNA(_xlpm.result, "")
)</f>
        <v/>
      </c>
      <c r="P169" t="str">
        <f>_xlfn.LET(
  _xlpm.result, _xlfn.XLOOKUP($B169, Result_Database!$A$2:$A$500, Result_Database!O$2:O$500),
  _xlfn.IFNA(_xlpm.result, "")
)</f>
        <v/>
      </c>
      <c r="Q169" t="str">
        <f>_xlfn.LET(
  _xlpm.result, _xlfn.XLOOKUP($B169, Result_Database!$A$2:$A$500, Result_Database!P$2:P$500),
  _xlfn.IFNA(_xlpm.result, "")
)</f>
        <v/>
      </c>
      <c r="R169" t="str">
        <f>_xlfn.LET(
  _xlpm.result, _xlfn.XLOOKUP($B169, Result_Database!$A$2:$A$500, Result_Database!Q$2:Q$500),
  _xlfn.IFNA(_xlpm.result, "")
)</f>
        <v/>
      </c>
      <c r="S169" t="str">
        <f>_xlfn.LET(
  _xlpm.result, _xlfn.XLOOKUP($B169, Result_Database!$A$2:$A$500, Result_Database!R$2:R$500),
  _xlfn.IFNA(_xlpm.result, "")
)</f>
        <v/>
      </c>
      <c r="T169" t="str">
        <f>_xlfn.LET(
  _xlpm.result, _xlfn.XLOOKUP($B169, Result_Database!$A$2:$A$500, Result_Database!S$2:S$500),
  _xlfn.IFNA(_xlpm.result, "")
)</f>
        <v/>
      </c>
      <c r="U169" t="str">
        <f>_xlfn.LET(
  _xlpm.result, _xlfn.XLOOKUP($B169, Result_Database!$A$2:$A$500, Result_Database!T$2:T$500),
  _xlfn.IFNA(_xlpm.result, "")
)</f>
        <v/>
      </c>
      <c r="V169" t="str">
        <f>_xlfn.LET(
  _xlpm.result, _xlfn.XLOOKUP($B169, Result_Database!$A$2:$A$500, Result_Database!U$2:U$500),
  _xlfn.IFNA(_xlpm.result, "")
)</f>
        <v/>
      </c>
      <c r="W169" t="str">
        <f>_xlfn.LET(
  _xlpm.result, _xlfn.XLOOKUP($B169, Result_Database!$A$2:$A$500, Result_Database!V$2:V$500),
  _xlfn.IFNA(_xlpm.result, "")
)</f>
        <v/>
      </c>
      <c r="X169" t="str">
        <f>_xlfn.LET(
  _xlpm.result, _xlfn.XLOOKUP($B169, Result_Database!$A$2:$A$500, Result_Database!W$2:W$500),
  _xlfn.IFNA(_xlpm.result, "")
)</f>
        <v/>
      </c>
      <c r="Y169" t="str">
        <f>_xlfn.LET(
  _xlpm.result, _xlfn.XLOOKUP($B169, Result_Database!$A$2:$A$500, Result_Database!X$2:X$500),
  _xlfn.IFNA(_xlpm.result, "")
)</f>
        <v/>
      </c>
      <c r="Z169" t="str">
        <f>_xlfn.LET(
  _xlpm.result, _xlfn.XLOOKUP($B169, Result_Database!$A$2:$A$500, Result_Database!Y$2:Y$500),
  _xlfn.IFNA(_xlpm.result, "")
)</f>
        <v/>
      </c>
      <c r="AA169" t="str">
        <f>_xlfn.LET(
  _xlpm.result, _xlfn.XLOOKUP($B169, Result_Database!$A$2:$A$500, Result_Database!Z$2:Z$500),
  _xlfn.IFNA(_xlpm.result, "")
)</f>
        <v/>
      </c>
      <c r="AB169" t="str">
        <f>_xlfn.LET(
  _xlpm.result, _xlfn.XLOOKUP($B169, Result_Database!$A$2:$A$500, Result_Database!AA$2:AA$500),
  _xlfn.IFNA(_xlpm.result, "")
)</f>
        <v/>
      </c>
      <c r="AC169" t="str">
        <f>_xlfn.LET(
  _xlpm.result, _xlfn.XLOOKUP($B169, Result_Database!$A$2:$A$500, Result_Database!AB$2:AB$500),
  _xlfn.IFNA(_xlpm.result, "")
)</f>
        <v/>
      </c>
      <c r="AD169" t="str">
        <f>_xlfn.LET(
  _xlpm.result, _xlfn.XLOOKUP($B169, Result_Database!$A$2:$A$500, Result_Database!AC$2:AC$500),
  _xlfn.IFNA(_xlpm.result, "")
)</f>
        <v/>
      </c>
      <c r="AE169" t="str">
        <f>_xlfn.LET(
  _xlpm.result, _xlfn.XLOOKUP($B169, Result_Database!$A$2:$A$500, Result_Database!AD$2:AD$500),
  _xlfn.IFNA(_xlpm.result, "")
)</f>
        <v/>
      </c>
      <c r="AF169" t="str">
        <f>_xlfn.LET(
  _xlpm.result, _xlfn.XLOOKUP($B169, Result_Database!$A$2:$A$500, Result_Database!AE$2:AE$500),
  _xlfn.IFNA(_xlpm.result, "")
)</f>
        <v/>
      </c>
      <c r="AG169" t="str">
        <f>_xlfn.LET(
  _xlpm.result, _xlfn.XLOOKUP($B169, Result_Database!$A$2:$A$500, Result_Database!AF$2:AF$500),
  _xlfn.IFNA(_xlpm.result, "")
)</f>
        <v/>
      </c>
      <c r="AH169" t="str">
        <f>_xlfn.LET(
  _xlpm.result, _xlfn.XLOOKUP($B169, Result_Database!$A$2:$A$500, Result_Database!AG$2:AG$500),
  _xlfn.IFNA(_xlpm.result, "")
)</f>
        <v/>
      </c>
      <c r="AI169" t="str">
        <f>_xlfn.LET(
  _xlpm.result, _xlfn.XLOOKUP($B169, Result_Database!$A$2:$A$500, Result_Database!AH$2:AH$500),
  _xlfn.IFNA(_xlpm.result, "")
)</f>
        <v/>
      </c>
      <c r="AJ169" t="str">
        <f>_xlfn.LET(
  _xlpm.result, _xlfn.XLOOKUP($B169, Result_Database!$A$2:$A$500, Result_Database!AI$2:AI$500),
  _xlfn.IFNA(_xlpm.result, "")
)</f>
        <v/>
      </c>
      <c r="AK169" t="str">
        <f>_xlfn.LET(
  _xlpm.result, _xlfn.XLOOKUP($B169, Result_Database!$A$2:$A$500, Result_Database!AJ$2:AJ$500),
  _xlfn.IFNA(_xlpm.result, "")
)</f>
        <v/>
      </c>
      <c r="AL169" t="str">
        <f>_xlfn.LET(
  _xlpm.result, _xlfn.XLOOKUP($B169, Result_Database!$A$2:$A$500, Result_Database!AK$2:AK$500),
  _xlfn.IFNA(_xlpm.result, "")
)</f>
        <v/>
      </c>
      <c r="AM16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6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6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6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6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6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6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6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6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69" t="str">
        <f>IF(SUM(Table5[[#This Row],[A1]:[C6]])&lt;&gt;0,SUM(Table5[[#This Row],[A1]:[C6]]),"")</f>
        <v/>
      </c>
      <c r="AW169" t="str">
        <f>IF(SUM(Table5[[#This Row],[D7]:[F9]])=0,"",SUM(Table5[[#This Row],[D7]:[F9]]))</f>
        <v/>
      </c>
      <c r="AX16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6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6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6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6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6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69" t="str">
        <f>IF(COUNTIF(Table5[[#This Row],[English Language]:[Electrical/ Electronics]],"WITHHELD")=0,"",COUNTIF(Table5[[#This Row],[English Language]:[Electrical/ Electronics]],"WITHHELD"))</f>
        <v/>
      </c>
      <c r="BE169" t="str">
        <f>IF(SUM(Table5[[#This Row],[NO OF CREDITS]:[BELOW CREDITS]])=0,"",SUM(Table5[[#This Row],[NO OF CREDITS]:[BELOW CREDITS]]))</f>
        <v/>
      </c>
    </row>
    <row r="170" spans="1:57" x14ac:dyDescent="0.3">
      <c r="A170" t="str">
        <f>IF(B170&lt;&gt;"",COUNTA($B$6:B170),"")</f>
        <v/>
      </c>
      <c r="B170" t="str">
        <f>IF(Result_Database!A166="","",Result_Database!A166)</f>
        <v/>
      </c>
      <c r="C170" t="str">
        <f>_xlfn.LET(
_xlpm.result,_xlfn.XLOOKUP($B170,Result_Database!$A$2:$A$500,Result_Database!$B$2:$B$500),
_xlfn.IFNA(_xlpm.result,"")
)</f>
        <v/>
      </c>
      <c r="D170" t="str">
        <f>_xlfn.LET(
  _xlpm.result, _xlfn.XLOOKUP($B170, Result_Database!$A$2:$A$500, Result_Database!C$2:C$500),
  _xlfn.IFNA(_xlpm.result, "")
)</f>
        <v/>
      </c>
      <c r="E170" t="str">
        <f>_xlfn.LET(
  _xlpm.result, _xlfn.XLOOKUP($B170, Result_Database!$A$2:$A$500, Result_Database!D$2:D$500),
  _xlfn.IFNA(_xlpm.result, "")
)</f>
        <v/>
      </c>
      <c r="F170" t="str">
        <f>_xlfn.LET(
  _xlpm.result, _xlfn.XLOOKUP($B170, Result_Database!$A$2:$A$500, Result_Database!E$2:E$500),
  _xlfn.IFNA(_xlpm.result, "")
)</f>
        <v/>
      </c>
      <c r="G170" t="str">
        <f>_xlfn.LET(
  _xlpm.result, _xlfn.XLOOKUP($B170, Result_Database!$A$2:$A$500, Result_Database!F$2:F$500),
  _xlfn.IFNA(_xlpm.result, "")
)</f>
        <v/>
      </c>
      <c r="H170" t="str">
        <f>_xlfn.LET(
  _xlpm.result, _xlfn.XLOOKUP($B170, Result_Database!$A$2:$A$500, Result_Database!G$2:G$500),
  _xlfn.IFNA(_xlpm.result, "")
)</f>
        <v/>
      </c>
      <c r="I170" t="str">
        <f>_xlfn.LET(
  _xlpm.result, _xlfn.XLOOKUP($B170, Result_Database!$A$2:$A$500, Result_Database!H$2:H$500),
  _xlfn.IFNA(_xlpm.result, "")
)</f>
        <v/>
      </c>
      <c r="J170" t="str">
        <f>_xlfn.LET(
  _xlpm.result, _xlfn.XLOOKUP($B170, Result_Database!$A$2:$A$500, Result_Database!I$2:I$500),
  _xlfn.IFNA(_xlpm.result, "")
)</f>
        <v/>
      </c>
      <c r="K170" t="str">
        <f>_xlfn.LET(
  _xlpm.result, _xlfn.XLOOKUP($B170, Result_Database!$A$2:$A$500, Result_Database!J$2:J$500),
  _xlfn.IFNA(_xlpm.result, "")
)</f>
        <v/>
      </c>
      <c r="L170" t="str">
        <f>_xlfn.LET(
  _xlpm.result, _xlfn.XLOOKUP($B170, Result_Database!$A$2:$A$500, Result_Database!K$2:K$500),
  _xlfn.IFNA(_xlpm.result, "")
)</f>
        <v/>
      </c>
      <c r="M170" t="str">
        <f>_xlfn.LET(
  _xlpm.result, _xlfn.XLOOKUP($B170, Result_Database!$A$2:$A$500, Result_Database!L$2:L$500),
  _xlfn.IFNA(_xlpm.result, "")
)</f>
        <v/>
      </c>
      <c r="N170" t="str">
        <f>_xlfn.LET(
  _xlpm.result, _xlfn.XLOOKUP($B170, Result_Database!$A$2:$A$500, Result_Database!M$2:M$500),
  _xlfn.IFNA(_xlpm.result, "")
)</f>
        <v/>
      </c>
      <c r="O170" t="str">
        <f>_xlfn.LET(
  _xlpm.result, _xlfn.XLOOKUP($B170, Result_Database!$A$2:$A$500, Result_Database!N$2:N$500),
  _xlfn.IFNA(_xlpm.result, "")
)</f>
        <v/>
      </c>
      <c r="P170" t="str">
        <f>_xlfn.LET(
  _xlpm.result, _xlfn.XLOOKUP($B170, Result_Database!$A$2:$A$500, Result_Database!O$2:O$500),
  _xlfn.IFNA(_xlpm.result, "")
)</f>
        <v/>
      </c>
      <c r="Q170" t="str">
        <f>_xlfn.LET(
  _xlpm.result, _xlfn.XLOOKUP($B170, Result_Database!$A$2:$A$500, Result_Database!P$2:P$500),
  _xlfn.IFNA(_xlpm.result, "")
)</f>
        <v/>
      </c>
      <c r="R170" t="str">
        <f>_xlfn.LET(
  _xlpm.result, _xlfn.XLOOKUP($B170, Result_Database!$A$2:$A$500, Result_Database!Q$2:Q$500),
  _xlfn.IFNA(_xlpm.result, "")
)</f>
        <v/>
      </c>
      <c r="S170" t="str">
        <f>_xlfn.LET(
  _xlpm.result, _xlfn.XLOOKUP($B170, Result_Database!$A$2:$A$500, Result_Database!R$2:R$500),
  _xlfn.IFNA(_xlpm.result, "")
)</f>
        <v/>
      </c>
      <c r="T170" t="str">
        <f>_xlfn.LET(
  _xlpm.result, _xlfn.XLOOKUP($B170, Result_Database!$A$2:$A$500, Result_Database!S$2:S$500),
  _xlfn.IFNA(_xlpm.result, "")
)</f>
        <v/>
      </c>
      <c r="U170" t="str">
        <f>_xlfn.LET(
  _xlpm.result, _xlfn.XLOOKUP($B170, Result_Database!$A$2:$A$500, Result_Database!T$2:T$500),
  _xlfn.IFNA(_xlpm.result, "")
)</f>
        <v/>
      </c>
      <c r="V170" t="str">
        <f>_xlfn.LET(
  _xlpm.result, _xlfn.XLOOKUP($B170, Result_Database!$A$2:$A$500, Result_Database!U$2:U$500),
  _xlfn.IFNA(_xlpm.result, "")
)</f>
        <v/>
      </c>
      <c r="W170" t="str">
        <f>_xlfn.LET(
  _xlpm.result, _xlfn.XLOOKUP($B170, Result_Database!$A$2:$A$500, Result_Database!V$2:V$500),
  _xlfn.IFNA(_xlpm.result, "")
)</f>
        <v/>
      </c>
      <c r="X170" t="str">
        <f>_xlfn.LET(
  _xlpm.result, _xlfn.XLOOKUP($B170, Result_Database!$A$2:$A$500, Result_Database!W$2:W$500),
  _xlfn.IFNA(_xlpm.result, "")
)</f>
        <v/>
      </c>
      <c r="Y170" t="str">
        <f>_xlfn.LET(
  _xlpm.result, _xlfn.XLOOKUP($B170, Result_Database!$A$2:$A$500, Result_Database!X$2:X$500),
  _xlfn.IFNA(_xlpm.result, "")
)</f>
        <v/>
      </c>
      <c r="Z170" t="str">
        <f>_xlfn.LET(
  _xlpm.result, _xlfn.XLOOKUP($B170, Result_Database!$A$2:$A$500, Result_Database!Y$2:Y$500),
  _xlfn.IFNA(_xlpm.result, "")
)</f>
        <v/>
      </c>
      <c r="AA170" t="str">
        <f>_xlfn.LET(
  _xlpm.result, _xlfn.XLOOKUP($B170, Result_Database!$A$2:$A$500, Result_Database!Z$2:Z$500),
  _xlfn.IFNA(_xlpm.result, "")
)</f>
        <v/>
      </c>
      <c r="AB170" t="str">
        <f>_xlfn.LET(
  _xlpm.result, _xlfn.XLOOKUP($B170, Result_Database!$A$2:$A$500, Result_Database!AA$2:AA$500),
  _xlfn.IFNA(_xlpm.result, "")
)</f>
        <v/>
      </c>
      <c r="AC170" t="str">
        <f>_xlfn.LET(
  _xlpm.result, _xlfn.XLOOKUP($B170, Result_Database!$A$2:$A$500, Result_Database!AB$2:AB$500),
  _xlfn.IFNA(_xlpm.result, "")
)</f>
        <v/>
      </c>
      <c r="AD170" t="str">
        <f>_xlfn.LET(
  _xlpm.result, _xlfn.XLOOKUP($B170, Result_Database!$A$2:$A$500, Result_Database!AC$2:AC$500),
  _xlfn.IFNA(_xlpm.result, "")
)</f>
        <v/>
      </c>
      <c r="AE170" t="str">
        <f>_xlfn.LET(
  _xlpm.result, _xlfn.XLOOKUP($B170, Result_Database!$A$2:$A$500, Result_Database!AD$2:AD$500),
  _xlfn.IFNA(_xlpm.result, "")
)</f>
        <v/>
      </c>
      <c r="AF170" t="str">
        <f>_xlfn.LET(
  _xlpm.result, _xlfn.XLOOKUP($B170, Result_Database!$A$2:$A$500, Result_Database!AE$2:AE$500),
  _xlfn.IFNA(_xlpm.result, "")
)</f>
        <v/>
      </c>
      <c r="AG170" t="str">
        <f>_xlfn.LET(
  _xlpm.result, _xlfn.XLOOKUP($B170, Result_Database!$A$2:$A$500, Result_Database!AF$2:AF$500),
  _xlfn.IFNA(_xlpm.result, "")
)</f>
        <v/>
      </c>
      <c r="AH170" t="str">
        <f>_xlfn.LET(
  _xlpm.result, _xlfn.XLOOKUP($B170, Result_Database!$A$2:$A$500, Result_Database!AG$2:AG$500),
  _xlfn.IFNA(_xlpm.result, "")
)</f>
        <v/>
      </c>
      <c r="AI170" t="str">
        <f>_xlfn.LET(
  _xlpm.result, _xlfn.XLOOKUP($B170, Result_Database!$A$2:$A$500, Result_Database!AH$2:AH$500),
  _xlfn.IFNA(_xlpm.result, "")
)</f>
        <v/>
      </c>
      <c r="AJ170" t="str">
        <f>_xlfn.LET(
  _xlpm.result, _xlfn.XLOOKUP($B170, Result_Database!$A$2:$A$500, Result_Database!AI$2:AI$500),
  _xlfn.IFNA(_xlpm.result, "")
)</f>
        <v/>
      </c>
      <c r="AK170" t="str">
        <f>_xlfn.LET(
  _xlpm.result, _xlfn.XLOOKUP($B170, Result_Database!$A$2:$A$500, Result_Database!AJ$2:AJ$500),
  _xlfn.IFNA(_xlpm.result, "")
)</f>
        <v/>
      </c>
      <c r="AL170" t="str">
        <f>_xlfn.LET(
  _xlpm.result, _xlfn.XLOOKUP($B170, Result_Database!$A$2:$A$500, Result_Database!AK$2:AK$500),
  _xlfn.IFNA(_xlpm.result, "")
)</f>
        <v/>
      </c>
      <c r="AM17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7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7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7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7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7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7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7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7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70" t="str">
        <f>IF(SUM(Table5[[#This Row],[A1]:[C6]])&lt;&gt;0,SUM(Table5[[#This Row],[A1]:[C6]]),"")</f>
        <v/>
      </c>
      <c r="AW170" t="str">
        <f>IF(SUM(Table5[[#This Row],[D7]:[F9]])=0,"",SUM(Table5[[#This Row],[D7]:[F9]]))</f>
        <v/>
      </c>
      <c r="AX17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7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7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7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7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7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70" t="str">
        <f>IF(COUNTIF(Table5[[#This Row],[English Language]:[Electrical/ Electronics]],"WITHHELD")=0,"",COUNTIF(Table5[[#This Row],[English Language]:[Electrical/ Electronics]],"WITHHELD"))</f>
        <v/>
      </c>
      <c r="BE170" t="str">
        <f>IF(SUM(Table5[[#This Row],[NO OF CREDITS]:[BELOW CREDITS]])=0,"",SUM(Table5[[#This Row],[NO OF CREDITS]:[BELOW CREDITS]]))</f>
        <v/>
      </c>
    </row>
    <row r="171" spans="1:57" x14ac:dyDescent="0.3">
      <c r="A171" t="str">
        <f>IF(B171&lt;&gt;"",COUNTA($B$6:B171),"")</f>
        <v/>
      </c>
      <c r="B171" t="str">
        <f>IF(Result_Database!A167="","",Result_Database!A167)</f>
        <v/>
      </c>
      <c r="C171" t="str">
        <f>_xlfn.LET(
_xlpm.result,_xlfn.XLOOKUP($B171,Result_Database!$A$2:$A$500,Result_Database!$B$2:$B$500),
_xlfn.IFNA(_xlpm.result,"")
)</f>
        <v/>
      </c>
      <c r="D171" t="str">
        <f>_xlfn.LET(
  _xlpm.result, _xlfn.XLOOKUP($B171, Result_Database!$A$2:$A$500, Result_Database!C$2:C$500),
  _xlfn.IFNA(_xlpm.result, "")
)</f>
        <v/>
      </c>
      <c r="E171" t="str">
        <f>_xlfn.LET(
  _xlpm.result, _xlfn.XLOOKUP($B171, Result_Database!$A$2:$A$500, Result_Database!D$2:D$500),
  _xlfn.IFNA(_xlpm.result, "")
)</f>
        <v/>
      </c>
      <c r="F171" t="str">
        <f>_xlfn.LET(
  _xlpm.result, _xlfn.XLOOKUP($B171, Result_Database!$A$2:$A$500, Result_Database!E$2:E$500),
  _xlfn.IFNA(_xlpm.result, "")
)</f>
        <v/>
      </c>
      <c r="G171" t="str">
        <f>_xlfn.LET(
  _xlpm.result, _xlfn.XLOOKUP($B171, Result_Database!$A$2:$A$500, Result_Database!F$2:F$500),
  _xlfn.IFNA(_xlpm.result, "")
)</f>
        <v/>
      </c>
      <c r="H171" t="str">
        <f>_xlfn.LET(
  _xlpm.result, _xlfn.XLOOKUP($B171, Result_Database!$A$2:$A$500, Result_Database!G$2:G$500),
  _xlfn.IFNA(_xlpm.result, "")
)</f>
        <v/>
      </c>
      <c r="I171" t="str">
        <f>_xlfn.LET(
  _xlpm.result, _xlfn.XLOOKUP($B171, Result_Database!$A$2:$A$500, Result_Database!H$2:H$500),
  _xlfn.IFNA(_xlpm.result, "")
)</f>
        <v/>
      </c>
      <c r="J171" t="str">
        <f>_xlfn.LET(
  _xlpm.result, _xlfn.XLOOKUP($B171, Result_Database!$A$2:$A$500, Result_Database!I$2:I$500),
  _xlfn.IFNA(_xlpm.result, "")
)</f>
        <v/>
      </c>
      <c r="K171" t="str">
        <f>_xlfn.LET(
  _xlpm.result, _xlfn.XLOOKUP($B171, Result_Database!$A$2:$A$500, Result_Database!J$2:J$500),
  _xlfn.IFNA(_xlpm.result, "")
)</f>
        <v/>
      </c>
      <c r="L171" t="str">
        <f>_xlfn.LET(
  _xlpm.result, _xlfn.XLOOKUP($B171, Result_Database!$A$2:$A$500, Result_Database!K$2:K$500),
  _xlfn.IFNA(_xlpm.result, "")
)</f>
        <v/>
      </c>
      <c r="M171" t="str">
        <f>_xlfn.LET(
  _xlpm.result, _xlfn.XLOOKUP($B171, Result_Database!$A$2:$A$500, Result_Database!L$2:L$500),
  _xlfn.IFNA(_xlpm.result, "")
)</f>
        <v/>
      </c>
      <c r="N171" t="str">
        <f>_xlfn.LET(
  _xlpm.result, _xlfn.XLOOKUP($B171, Result_Database!$A$2:$A$500, Result_Database!M$2:M$500),
  _xlfn.IFNA(_xlpm.result, "")
)</f>
        <v/>
      </c>
      <c r="O171" t="str">
        <f>_xlfn.LET(
  _xlpm.result, _xlfn.XLOOKUP($B171, Result_Database!$A$2:$A$500, Result_Database!N$2:N$500),
  _xlfn.IFNA(_xlpm.result, "")
)</f>
        <v/>
      </c>
      <c r="P171" t="str">
        <f>_xlfn.LET(
  _xlpm.result, _xlfn.XLOOKUP($B171, Result_Database!$A$2:$A$500, Result_Database!O$2:O$500),
  _xlfn.IFNA(_xlpm.result, "")
)</f>
        <v/>
      </c>
      <c r="Q171" t="str">
        <f>_xlfn.LET(
  _xlpm.result, _xlfn.XLOOKUP($B171, Result_Database!$A$2:$A$500, Result_Database!P$2:P$500),
  _xlfn.IFNA(_xlpm.result, "")
)</f>
        <v/>
      </c>
      <c r="R171" t="str">
        <f>_xlfn.LET(
  _xlpm.result, _xlfn.XLOOKUP($B171, Result_Database!$A$2:$A$500, Result_Database!Q$2:Q$500),
  _xlfn.IFNA(_xlpm.result, "")
)</f>
        <v/>
      </c>
      <c r="S171" t="str">
        <f>_xlfn.LET(
  _xlpm.result, _xlfn.XLOOKUP($B171, Result_Database!$A$2:$A$500, Result_Database!R$2:R$500),
  _xlfn.IFNA(_xlpm.result, "")
)</f>
        <v/>
      </c>
      <c r="T171" t="str">
        <f>_xlfn.LET(
  _xlpm.result, _xlfn.XLOOKUP($B171, Result_Database!$A$2:$A$500, Result_Database!S$2:S$500),
  _xlfn.IFNA(_xlpm.result, "")
)</f>
        <v/>
      </c>
      <c r="U171" t="str">
        <f>_xlfn.LET(
  _xlpm.result, _xlfn.XLOOKUP($B171, Result_Database!$A$2:$A$500, Result_Database!T$2:T$500),
  _xlfn.IFNA(_xlpm.result, "")
)</f>
        <v/>
      </c>
      <c r="V171" t="str">
        <f>_xlfn.LET(
  _xlpm.result, _xlfn.XLOOKUP($B171, Result_Database!$A$2:$A$500, Result_Database!U$2:U$500),
  _xlfn.IFNA(_xlpm.result, "")
)</f>
        <v/>
      </c>
      <c r="W171" t="str">
        <f>_xlfn.LET(
  _xlpm.result, _xlfn.XLOOKUP($B171, Result_Database!$A$2:$A$500, Result_Database!V$2:V$500),
  _xlfn.IFNA(_xlpm.result, "")
)</f>
        <v/>
      </c>
      <c r="X171" t="str">
        <f>_xlfn.LET(
  _xlpm.result, _xlfn.XLOOKUP($B171, Result_Database!$A$2:$A$500, Result_Database!W$2:W$500),
  _xlfn.IFNA(_xlpm.result, "")
)</f>
        <v/>
      </c>
      <c r="Y171" t="str">
        <f>_xlfn.LET(
  _xlpm.result, _xlfn.XLOOKUP($B171, Result_Database!$A$2:$A$500, Result_Database!X$2:X$500),
  _xlfn.IFNA(_xlpm.result, "")
)</f>
        <v/>
      </c>
      <c r="Z171" t="str">
        <f>_xlfn.LET(
  _xlpm.result, _xlfn.XLOOKUP($B171, Result_Database!$A$2:$A$500, Result_Database!Y$2:Y$500),
  _xlfn.IFNA(_xlpm.result, "")
)</f>
        <v/>
      </c>
      <c r="AA171" t="str">
        <f>_xlfn.LET(
  _xlpm.result, _xlfn.XLOOKUP($B171, Result_Database!$A$2:$A$500, Result_Database!Z$2:Z$500),
  _xlfn.IFNA(_xlpm.result, "")
)</f>
        <v/>
      </c>
      <c r="AB171" t="str">
        <f>_xlfn.LET(
  _xlpm.result, _xlfn.XLOOKUP($B171, Result_Database!$A$2:$A$500, Result_Database!AA$2:AA$500),
  _xlfn.IFNA(_xlpm.result, "")
)</f>
        <v/>
      </c>
      <c r="AC171" t="str">
        <f>_xlfn.LET(
  _xlpm.result, _xlfn.XLOOKUP($B171, Result_Database!$A$2:$A$500, Result_Database!AB$2:AB$500),
  _xlfn.IFNA(_xlpm.result, "")
)</f>
        <v/>
      </c>
      <c r="AD171" t="str">
        <f>_xlfn.LET(
  _xlpm.result, _xlfn.XLOOKUP($B171, Result_Database!$A$2:$A$500, Result_Database!AC$2:AC$500),
  _xlfn.IFNA(_xlpm.result, "")
)</f>
        <v/>
      </c>
      <c r="AE171" t="str">
        <f>_xlfn.LET(
  _xlpm.result, _xlfn.XLOOKUP($B171, Result_Database!$A$2:$A$500, Result_Database!AD$2:AD$500),
  _xlfn.IFNA(_xlpm.result, "")
)</f>
        <v/>
      </c>
      <c r="AF171" t="str">
        <f>_xlfn.LET(
  _xlpm.result, _xlfn.XLOOKUP($B171, Result_Database!$A$2:$A$500, Result_Database!AE$2:AE$500),
  _xlfn.IFNA(_xlpm.result, "")
)</f>
        <v/>
      </c>
      <c r="AG171" t="str">
        <f>_xlfn.LET(
  _xlpm.result, _xlfn.XLOOKUP($B171, Result_Database!$A$2:$A$500, Result_Database!AF$2:AF$500),
  _xlfn.IFNA(_xlpm.result, "")
)</f>
        <v/>
      </c>
      <c r="AH171" t="str">
        <f>_xlfn.LET(
  _xlpm.result, _xlfn.XLOOKUP($B171, Result_Database!$A$2:$A$500, Result_Database!AG$2:AG$500),
  _xlfn.IFNA(_xlpm.result, "")
)</f>
        <v/>
      </c>
      <c r="AI171" t="str">
        <f>_xlfn.LET(
  _xlpm.result, _xlfn.XLOOKUP($B171, Result_Database!$A$2:$A$500, Result_Database!AH$2:AH$500),
  _xlfn.IFNA(_xlpm.result, "")
)</f>
        <v/>
      </c>
      <c r="AJ171" t="str">
        <f>_xlfn.LET(
  _xlpm.result, _xlfn.XLOOKUP($B171, Result_Database!$A$2:$A$500, Result_Database!AI$2:AI$500),
  _xlfn.IFNA(_xlpm.result, "")
)</f>
        <v/>
      </c>
      <c r="AK171" t="str">
        <f>_xlfn.LET(
  _xlpm.result, _xlfn.XLOOKUP($B171, Result_Database!$A$2:$A$500, Result_Database!AJ$2:AJ$500),
  _xlfn.IFNA(_xlpm.result, "")
)</f>
        <v/>
      </c>
      <c r="AL171" t="str">
        <f>_xlfn.LET(
  _xlpm.result, _xlfn.XLOOKUP($B171, Result_Database!$A$2:$A$500, Result_Database!AK$2:AK$500),
  _xlfn.IFNA(_xlpm.result, "")
)</f>
        <v/>
      </c>
      <c r="AM17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7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7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7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7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7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7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7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7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71" t="str">
        <f>IF(SUM(Table5[[#This Row],[A1]:[C6]])&lt;&gt;0,SUM(Table5[[#This Row],[A1]:[C6]]),"")</f>
        <v/>
      </c>
      <c r="AW171" t="str">
        <f>IF(SUM(Table5[[#This Row],[D7]:[F9]])=0,"",SUM(Table5[[#This Row],[D7]:[F9]]))</f>
        <v/>
      </c>
      <c r="AX17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7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7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7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7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7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71" t="str">
        <f>IF(COUNTIF(Table5[[#This Row],[English Language]:[Electrical/ Electronics]],"WITHHELD")=0,"",COUNTIF(Table5[[#This Row],[English Language]:[Electrical/ Electronics]],"WITHHELD"))</f>
        <v/>
      </c>
      <c r="BE171" t="str">
        <f>IF(SUM(Table5[[#This Row],[NO OF CREDITS]:[BELOW CREDITS]])=0,"",SUM(Table5[[#This Row],[NO OF CREDITS]:[BELOW CREDITS]]))</f>
        <v/>
      </c>
    </row>
    <row r="172" spans="1:57" x14ac:dyDescent="0.3">
      <c r="A172" t="str">
        <f>IF(B172&lt;&gt;"",COUNTA($B$6:B172),"")</f>
        <v/>
      </c>
      <c r="B172" t="str">
        <f>IF(Result_Database!A168="","",Result_Database!A168)</f>
        <v/>
      </c>
      <c r="C172" t="str">
        <f>_xlfn.LET(
_xlpm.result,_xlfn.XLOOKUP($B172,Result_Database!$A$2:$A$500,Result_Database!$B$2:$B$500),
_xlfn.IFNA(_xlpm.result,"")
)</f>
        <v/>
      </c>
      <c r="D172" t="str">
        <f>_xlfn.LET(
  _xlpm.result, _xlfn.XLOOKUP($B172, Result_Database!$A$2:$A$500, Result_Database!C$2:C$500),
  _xlfn.IFNA(_xlpm.result, "")
)</f>
        <v/>
      </c>
      <c r="E172" t="str">
        <f>_xlfn.LET(
  _xlpm.result, _xlfn.XLOOKUP($B172, Result_Database!$A$2:$A$500, Result_Database!D$2:D$500),
  _xlfn.IFNA(_xlpm.result, "")
)</f>
        <v/>
      </c>
      <c r="F172" t="str">
        <f>_xlfn.LET(
  _xlpm.result, _xlfn.XLOOKUP($B172, Result_Database!$A$2:$A$500, Result_Database!E$2:E$500),
  _xlfn.IFNA(_xlpm.result, "")
)</f>
        <v/>
      </c>
      <c r="G172" t="str">
        <f>_xlfn.LET(
  _xlpm.result, _xlfn.XLOOKUP($B172, Result_Database!$A$2:$A$500, Result_Database!F$2:F$500),
  _xlfn.IFNA(_xlpm.result, "")
)</f>
        <v/>
      </c>
      <c r="H172" t="str">
        <f>_xlfn.LET(
  _xlpm.result, _xlfn.XLOOKUP($B172, Result_Database!$A$2:$A$500, Result_Database!G$2:G$500),
  _xlfn.IFNA(_xlpm.result, "")
)</f>
        <v/>
      </c>
      <c r="I172" t="str">
        <f>_xlfn.LET(
  _xlpm.result, _xlfn.XLOOKUP($B172, Result_Database!$A$2:$A$500, Result_Database!H$2:H$500),
  _xlfn.IFNA(_xlpm.result, "")
)</f>
        <v/>
      </c>
      <c r="J172" t="str">
        <f>_xlfn.LET(
  _xlpm.result, _xlfn.XLOOKUP($B172, Result_Database!$A$2:$A$500, Result_Database!I$2:I$500),
  _xlfn.IFNA(_xlpm.result, "")
)</f>
        <v/>
      </c>
      <c r="K172" t="str">
        <f>_xlfn.LET(
  _xlpm.result, _xlfn.XLOOKUP($B172, Result_Database!$A$2:$A$500, Result_Database!J$2:J$500),
  _xlfn.IFNA(_xlpm.result, "")
)</f>
        <v/>
      </c>
      <c r="L172" t="str">
        <f>_xlfn.LET(
  _xlpm.result, _xlfn.XLOOKUP($B172, Result_Database!$A$2:$A$500, Result_Database!K$2:K$500),
  _xlfn.IFNA(_xlpm.result, "")
)</f>
        <v/>
      </c>
      <c r="M172" t="str">
        <f>_xlfn.LET(
  _xlpm.result, _xlfn.XLOOKUP($B172, Result_Database!$A$2:$A$500, Result_Database!L$2:L$500),
  _xlfn.IFNA(_xlpm.result, "")
)</f>
        <v/>
      </c>
      <c r="N172" t="str">
        <f>_xlfn.LET(
  _xlpm.result, _xlfn.XLOOKUP($B172, Result_Database!$A$2:$A$500, Result_Database!M$2:M$500),
  _xlfn.IFNA(_xlpm.result, "")
)</f>
        <v/>
      </c>
      <c r="O172" t="str">
        <f>_xlfn.LET(
  _xlpm.result, _xlfn.XLOOKUP($B172, Result_Database!$A$2:$A$500, Result_Database!N$2:N$500),
  _xlfn.IFNA(_xlpm.result, "")
)</f>
        <v/>
      </c>
      <c r="P172" t="str">
        <f>_xlfn.LET(
  _xlpm.result, _xlfn.XLOOKUP($B172, Result_Database!$A$2:$A$500, Result_Database!O$2:O$500),
  _xlfn.IFNA(_xlpm.result, "")
)</f>
        <v/>
      </c>
      <c r="Q172" t="str">
        <f>_xlfn.LET(
  _xlpm.result, _xlfn.XLOOKUP($B172, Result_Database!$A$2:$A$500, Result_Database!P$2:P$500),
  _xlfn.IFNA(_xlpm.result, "")
)</f>
        <v/>
      </c>
      <c r="R172" t="str">
        <f>_xlfn.LET(
  _xlpm.result, _xlfn.XLOOKUP($B172, Result_Database!$A$2:$A$500, Result_Database!Q$2:Q$500),
  _xlfn.IFNA(_xlpm.result, "")
)</f>
        <v/>
      </c>
      <c r="S172" t="str">
        <f>_xlfn.LET(
  _xlpm.result, _xlfn.XLOOKUP($B172, Result_Database!$A$2:$A$500, Result_Database!R$2:R$500),
  _xlfn.IFNA(_xlpm.result, "")
)</f>
        <v/>
      </c>
      <c r="T172" t="str">
        <f>_xlfn.LET(
  _xlpm.result, _xlfn.XLOOKUP($B172, Result_Database!$A$2:$A$500, Result_Database!S$2:S$500),
  _xlfn.IFNA(_xlpm.result, "")
)</f>
        <v/>
      </c>
      <c r="U172" t="str">
        <f>_xlfn.LET(
  _xlpm.result, _xlfn.XLOOKUP($B172, Result_Database!$A$2:$A$500, Result_Database!T$2:T$500),
  _xlfn.IFNA(_xlpm.result, "")
)</f>
        <v/>
      </c>
      <c r="V172" t="str">
        <f>_xlfn.LET(
  _xlpm.result, _xlfn.XLOOKUP($B172, Result_Database!$A$2:$A$500, Result_Database!U$2:U$500),
  _xlfn.IFNA(_xlpm.result, "")
)</f>
        <v/>
      </c>
      <c r="W172" t="str">
        <f>_xlfn.LET(
  _xlpm.result, _xlfn.XLOOKUP($B172, Result_Database!$A$2:$A$500, Result_Database!V$2:V$500),
  _xlfn.IFNA(_xlpm.result, "")
)</f>
        <v/>
      </c>
      <c r="X172" t="str">
        <f>_xlfn.LET(
  _xlpm.result, _xlfn.XLOOKUP($B172, Result_Database!$A$2:$A$500, Result_Database!W$2:W$500),
  _xlfn.IFNA(_xlpm.result, "")
)</f>
        <v/>
      </c>
      <c r="Y172" t="str">
        <f>_xlfn.LET(
  _xlpm.result, _xlfn.XLOOKUP($B172, Result_Database!$A$2:$A$500, Result_Database!X$2:X$500),
  _xlfn.IFNA(_xlpm.result, "")
)</f>
        <v/>
      </c>
      <c r="Z172" t="str">
        <f>_xlfn.LET(
  _xlpm.result, _xlfn.XLOOKUP($B172, Result_Database!$A$2:$A$500, Result_Database!Y$2:Y$500),
  _xlfn.IFNA(_xlpm.result, "")
)</f>
        <v/>
      </c>
      <c r="AA172" t="str">
        <f>_xlfn.LET(
  _xlpm.result, _xlfn.XLOOKUP($B172, Result_Database!$A$2:$A$500, Result_Database!Z$2:Z$500),
  _xlfn.IFNA(_xlpm.result, "")
)</f>
        <v/>
      </c>
      <c r="AB172" t="str">
        <f>_xlfn.LET(
  _xlpm.result, _xlfn.XLOOKUP($B172, Result_Database!$A$2:$A$500, Result_Database!AA$2:AA$500),
  _xlfn.IFNA(_xlpm.result, "")
)</f>
        <v/>
      </c>
      <c r="AC172" t="str">
        <f>_xlfn.LET(
  _xlpm.result, _xlfn.XLOOKUP($B172, Result_Database!$A$2:$A$500, Result_Database!AB$2:AB$500),
  _xlfn.IFNA(_xlpm.result, "")
)</f>
        <v/>
      </c>
      <c r="AD172" t="str">
        <f>_xlfn.LET(
  _xlpm.result, _xlfn.XLOOKUP($B172, Result_Database!$A$2:$A$500, Result_Database!AC$2:AC$500),
  _xlfn.IFNA(_xlpm.result, "")
)</f>
        <v/>
      </c>
      <c r="AE172" t="str">
        <f>_xlfn.LET(
  _xlpm.result, _xlfn.XLOOKUP($B172, Result_Database!$A$2:$A$500, Result_Database!AD$2:AD$500),
  _xlfn.IFNA(_xlpm.result, "")
)</f>
        <v/>
      </c>
      <c r="AF172" t="str">
        <f>_xlfn.LET(
  _xlpm.result, _xlfn.XLOOKUP($B172, Result_Database!$A$2:$A$500, Result_Database!AE$2:AE$500),
  _xlfn.IFNA(_xlpm.result, "")
)</f>
        <v/>
      </c>
      <c r="AG172" t="str">
        <f>_xlfn.LET(
  _xlpm.result, _xlfn.XLOOKUP($B172, Result_Database!$A$2:$A$500, Result_Database!AF$2:AF$500),
  _xlfn.IFNA(_xlpm.result, "")
)</f>
        <v/>
      </c>
      <c r="AH172" t="str">
        <f>_xlfn.LET(
  _xlpm.result, _xlfn.XLOOKUP($B172, Result_Database!$A$2:$A$500, Result_Database!AG$2:AG$500),
  _xlfn.IFNA(_xlpm.result, "")
)</f>
        <v/>
      </c>
      <c r="AI172" t="str">
        <f>_xlfn.LET(
  _xlpm.result, _xlfn.XLOOKUP($B172, Result_Database!$A$2:$A$500, Result_Database!AH$2:AH$500),
  _xlfn.IFNA(_xlpm.result, "")
)</f>
        <v/>
      </c>
      <c r="AJ172" t="str">
        <f>_xlfn.LET(
  _xlpm.result, _xlfn.XLOOKUP($B172, Result_Database!$A$2:$A$500, Result_Database!AI$2:AI$500),
  _xlfn.IFNA(_xlpm.result, "")
)</f>
        <v/>
      </c>
      <c r="AK172" t="str">
        <f>_xlfn.LET(
  _xlpm.result, _xlfn.XLOOKUP($B172, Result_Database!$A$2:$A$500, Result_Database!AJ$2:AJ$500),
  _xlfn.IFNA(_xlpm.result, "")
)</f>
        <v/>
      </c>
      <c r="AL172" t="str">
        <f>_xlfn.LET(
  _xlpm.result, _xlfn.XLOOKUP($B172, Result_Database!$A$2:$A$500, Result_Database!AK$2:AK$500),
  _xlfn.IFNA(_xlpm.result, "")
)</f>
        <v/>
      </c>
      <c r="AM17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7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7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7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7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7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7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7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7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72" t="str">
        <f>IF(SUM(Table5[[#This Row],[A1]:[C6]])&lt;&gt;0,SUM(Table5[[#This Row],[A1]:[C6]]),"")</f>
        <v/>
      </c>
      <c r="AW172" t="str">
        <f>IF(SUM(Table5[[#This Row],[D7]:[F9]])=0,"",SUM(Table5[[#This Row],[D7]:[F9]]))</f>
        <v/>
      </c>
      <c r="AX17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7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7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7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7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7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72" t="str">
        <f>IF(COUNTIF(Table5[[#This Row],[English Language]:[Electrical/ Electronics]],"WITHHELD")=0,"",COUNTIF(Table5[[#This Row],[English Language]:[Electrical/ Electronics]],"WITHHELD"))</f>
        <v/>
      </c>
      <c r="BE172" t="str">
        <f>IF(SUM(Table5[[#This Row],[NO OF CREDITS]:[BELOW CREDITS]])=0,"",SUM(Table5[[#This Row],[NO OF CREDITS]:[BELOW CREDITS]]))</f>
        <v/>
      </c>
    </row>
    <row r="173" spans="1:57" x14ac:dyDescent="0.3">
      <c r="A173" t="str">
        <f>IF(B173&lt;&gt;"",COUNTA($B$6:B173),"")</f>
        <v/>
      </c>
      <c r="B173" t="str">
        <f>IF(Result_Database!A169="","",Result_Database!A169)</f>
        <v/>
      </c>
      <c r="C173" t="str">
        <f>_xlfn.LET(
_xlpm.result,_xlfn.XLOOKUP($B173,Result_Database!$A$2:$A$500,Result_Database!$B$2:$B$500),
_xlfn.IFNA(_xlpm.result,"")
)</f>
        <v/>
      </c>
      <c r="D173" t="str">
        <f>_xlfn.LET(
  _xlpm.result, _xlfn.XLOOKUP($B173, Result_Database!$A$2:$A$500, Result_Database!C$2:C$500),
  _xlfn.IFNA(_xlpm.result, "")
)</f>
        <v/>
      </c>
      <c r="E173" t="str">
        <f>_xlfn.LET(
  _xlpm.result, _xlfn.XLOOKUP($B173, Result_Database!$A$2:$A$500, Result_Database!D$2:D$500),
  _xlfn.IFNA(_xlpm.result, "")
)</f>
        <v/>
      </c>
      <c r="F173" t="str">
        <f>_xlfn.LET(
  _xlpm.result, _xlfn.XLOOKUP($B173, Result_Database!$A$2:$A$500, Result_Database!E$2:E$500),
  _xlfn.IFNA(_xlpm.result, "")
)</f>
        <v/>
      </c>
      <c r="G173" t="str">
        <f>_xlfn.LET(
  _xlpm.result, _xlfn.XLOOKUP($B173, Result_Database!$A$2:$A$500, Result_Database!F$2:F$500),
  _xlfn.IFNA(_xlpm.result, "")
)</f>
        <v/>
      </c>
      <c r="H173" t="str">
        <f>_xlfn.LET(
  _xlpm.result, _xlfn.XLOOKUP($B173, Result_Database!$A$2:$A$500, Result_Database!G$2:G$500),
  _xlfn.IFNA(_xlpm.result, "")
)</f>
        <v/>
      </c>
      <c r="I173" t="str">
        <f>_xlfn.LET(
  _xlpm.result, _xlfn.XLOOKUP($B173, Result_Database!$A$2:$A$500, Result_Database!H$2:H$500),
  _xlfn.IFNA(_xlpm.result, "")
)</f>
        <v/>
      </c>
      <c r="J173" t="str">
        <f>_xlfn.LET(
  _xlpm.result, _xlfn.XLOOKUP($B173, Result_Database!$A$2:$A$500, Result_Database!I$2:I$500),
  _xlfn.IFNA(_xlpm.result, "")
)</f>
        <v/>
      </c>
      <c r="K173" t="str">
        <f>_xlfn.LET(
  _xlpm.result, _xlfn.XLOOKUP($B173, Result_Database!$A$2:$A$500, Result_Database!J$2:J$500),
  _xlfn.IFNA(_xlpm.result, "")
)</f>
        <v/>
      </c>
      <c r="L173" t="str">
        <f>_xlfn.LET(
  _xlpm.result, _xlfn.XLOOKUP($B173, Result_Database!$A$2:$A$500, Result_Database!K$2:K$500),
  _xlfn.IFNA(_xlpm.result, "")
)</f>
        <v/>
      </c>
      <c r="M173" t="str">
        <f>_xlfn.LET(
  _xlpm.result, _xlfn.XLOOKUP($B173, Result_Database!$A$2:$A$500, Result_Database!L$2:L$500),
  _xlfn.IFNA(_xlpm.result, "")
)</f>
        <v/>
      </c>
      <c r="N173" t="str">
        <f>_xlfn.LET(
  _xlpm.result, _xlfn.XLOOKUP($B173, Result_Database!$A$2:$A$500, Result_Database!M$2:M$500),
  _xlfn.IFNA(_xlpm.result, "")
)</f>
        <v/>
      </c>
      <c r="O173" t="str">
        <f>_xlfn.LET(
  _xlpm.result, _xlfn.XLOOKUP($B173, Result_Database!$A$2:$A$500, Result_Database!N$2:N$500),
  _xlfn.IFNA(_xlpm.result, "")
)</f>
        <v/>
      </c>
      <c r="P173" t="str">
        <f>_xlfn.LET(
  _xlpm.result, _xlfn.XLOOKUP($B173, Result_Database!$A$2:$A$500, Result_Database!O$2:O$500),
  _xlfn.IFNA(_xlpm.result, "")
)</f>
        <v/>
      </c>
      <c r="Q173" t="str">
        <f>_xlfn.LET(
  _xlpm.result, _xlfn.XLOOKUP($B173, Result_Database!$A$2:$A$500, Result_Database!P$2:P$500),
  _xlfn.IFNA(_xlpm.result, "")
)</f>
        <v/>
      </c>
      <c r="R173" t="str">
        <f>_xlfn.LET(
  _xlpm.result, _xlfn.XLOOKUP($B173, Result_Database!$A$2:$A$500, Result_Database!Q$2:Q$500),
  _xlfn.IFNA(_xlpm.result, "")
)</f>
        <v/>
      </c>
      <c r="S173" t="str">
        <f>_xlfn.LET(
  _xlpm.result, _xlfn.XLOOKUP($B173, Result_Database!$A$2:$A$500, Result_Database!R$2:R$500),
  _xlfn.IFNA(_xlpm.result, "")
)</f>
        <v/>
      </c>
      <c r="T173" t="str">
        <f>_xlfn.LET(
  _xlpm.result, _xlfn.XLOOKUP($B173, Result_Database!$A$2:$A$500, Result_Database!S$2:S$500),
  _xlfn.IFNA(_xlpm.result, "")
)</f>
        <v/>
      </c>
      <c r="U173" t="str">
        <f>_xlfn.LET(
  _xlpm.result, _xlfn.XLOOKUP($B173, Result_Database!$A$2:$A$500, Result_Database!T$2:T$500),
  _xlfn.IFNA(_xlpm.result, "")
)</f>
        <v/>
      </c>
      <c r="V173" t="str">
        <f>_xlfn.LET(
  _xlpm.result, _xlfn.XLOOKUP($B173, Result_Database!$A$2:$A$500, Result_Database!U$2:U$500),
  _xlfn.IFNA(_xlpm.result, "")
)</f>
        <v/>
      </c>
      <c r="W173" t="str">
        <f>_xlfn.LET(
  _xlpm.result, _xlfn.XLOOKUP($B173, Result_Database!$A$2:$A$500, Result_Database!V$2:V$500),
  _xlfn.IFNA(_xlpm.result, "")
)</f>
        <v/>
      </c>
      <c r="X173" t="str">
        <f>_xlfn.LET(
  _xlpm.result, _xlfn.XLOOKUP($B173, Result_Database!$A$2:$A$500, Result_Database!W$2:W$500),
  _xlfn.IFNA(_xlpm.result, "")
)</f>
        <v/>
      </c>
      <c r="Y173" t="str">
        <f>_xlfn.LET(
  _xlpm.result, _xlfn.XLOOKUP($B173, Result_Database!$A$2:$A$500, Result_Database!X$2:X$500),
  _xlfn.IFNA(_xlpm.result, "")
)</f>
        <v/>
      </c>
      <c r="Z173" t="str">
        <f>_xlfn.LET(
  _xlpm.result, _xlfn.XLOOKUP($B173, Result_Database!$A$2:$A$500, Result_Database!Y$2:Y$500),
  _xlfn.IFNA(_xlpm.result, "")
)</f>
        <v/>
      </c>
      <c r="AA173" t="str">
        <f>_xlfn.LET(
  _xlpm.result, _xlfn.XLOOKUP($B173, Result_Database!$A$2:$A$500, Result_Database!Z$2:Z$500),
  _xlfn.IFNA(_xlpm.result, "")
)</f>
        <v/>
      </c>
      <c r="AB173" t="str">
        <f>_xlfn.LET(
  _xlpm.result, _xlfn.XLOOKUP($B173, Result_Database!$A$2:$A$500, Result_Database!AA$2:AA$500),
  _xlfn.IFNA(_xlpm.result, "")
)</f>
        <v/>
      </c>
      <c r="AC173" t="str">
        <f>_xlfn.LET(
  _xlpm.result, _xlfn.XLOOKUP($B173, Result_Database!$A$2:$A$500, Result_Database!AB$2:AB$500),
  _xlfn.IFNA(_xlpm.result, "")
)</f>
        <v/>
      </c>
      <c r="AD173" t="str">
        <f>_xlfn.LET(
  _xlpm.result, _xlfn.XLOOKUP($B173, Result_Database!$A$2:$A$500, Result_Database!AC$2:AC$500),
  _xlfn.IFNA(_xlpm.result, "")
)</f>
        <v/>
      </c>
      <c r="AE173" t="str">
        <f>_xlfn.LET(
  _xlpm.result, _xlfn.XLOOKUP($B173, Result_Database!$A$2:$A$500, Result_Database!AD$2:AD$500),
  _xlfn.IFNA(_xlpm.result, "")
)</f>
        <v/>
      </c>
      <c r="AF173" t="str">
        <f>_xlfn.LET(
  _xlpm.result, _xlfn.XLOOKUP($B173, Result_Database!$A$2:$A$500, Result_Database!AE$2:AE$500),
  _xlfn.IFNA(_xlpm.result, "")
)</f>
        <v/>
      </c>
      <c r="AG173" t="str">
        <f>_xlfn.LET(
  _xlpm.result, _xlfn.XLOOKUP($B173, Result_Database!$A$2:$A$500, Result_Database!AF$2:AF$500),
  _xlfn.IFNA(_xlpm.result, "")
)</f>
        <v/>
      </c>
      <c r="AH173" t="str">
        <f>_xlfn.LET(
  _xlpm.result, _xlfn.XLOOKUP($B173, Result_Database!$A$2:$A$500, Result_Database!AG$2:AG$500),
  _xlfn.IFNA(_xlpm.result, "")
)</f>
        <v/>
      </c>
      <c r="AI173" t="str">
        <f>_xlfn.LET(
  _xlpm.result, _xlfn.XLOOKUP($B173, Result_Database!$A$2:$A$500, Result_Database!AH$2:AH$500),
  _xlfn.IFNA(_xlpm.result, "")
)</f>
        <v/>
      </c>
      <c r="AJ173" t="str">
        <f>_xlfn.LET(
  _xlpm.result, _xlfn.XLOOKUP($B173, Result_Database!$A$2:$A$500, Result_Database!AI$2:AI$500),
  _xlfn.IFNA(_xlpm.result, "")
)</f>
        <v/>
      </c>
      <c r="AK173" t="str">
        <f>_xlfn.LET(
  _xlpm.result, _xlfn.XLOOKUP($B173, Result_Database!$A$2:$A$500, Result_Database!AJ$2:AJ$500),
  _xlfn.IFNA(_xlpm.result, "")
)</f>
        <v/>
      </c>
      <c r="AL173" t="str">
        <f>_xlfn.LET(
  _xlpm.result, _xlfn.XLOOKUP($B173, Result_Database!$A$2:$A$500, Result_Database!AK$2:AK$500),
  _xlfn.IFNA(_xlpm.result, "")
)</f>
        <v/>
      </c>
      <c r="AM17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7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7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7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7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7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7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7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7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73" t="str">
        <f>IF(SUM(Table5[[#This Row],[A1]:[C6]])&lt;&gt;0,SUM(Table5[[#This Row],[A1]:[C6]]),"")</f>
        <v/>
      </c>
      <c r="AW173" t="str">
        <f>IF(SUM(Table5[[#This Row],[D7]:[F9]])=0,"",SUM(Table5[[#This Row],[D7]:[F9]]))</f>
        <v/>
      </c>
      <c r="AX17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7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7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7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7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7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73" t="str">
        <f>IF(COUNTIF(Table5[[#This Row],[English Language]:[Electrical/ Electronics]],"WITHHELD")=0,"",COUNTIF(Table5[[#This Row],[English Language]:[Electrical/ Electronics]],"WITHHELD"))</f>
        <v/>
      </c>
      <c r="BE173" t="str">
        <f>IF(SUM(Table5[[#This Row],[NO OF CREDITS]:[BELOW CREDITS]])=0,"",SUM(Table5[[#This Row],[NO OF CREDITS]:[BELOW CREDITS]]))</f>
        <v/>
      </c>
    </row>
    <row r="174" spans="1:57" x14ac:dyDescent="0.3">
      <c r="A174" t="str">
        <f>IF(B174&lt;&gt;"",COUNTA($B$6:B174),"")</f>
        <v/>
      </c>
      <c r="B174" t="str">
        <f>IF(Result_Database!A170="","",Result_Database!A170)</f>
        <v/>
      </c>
      <c r="C174" t="str">
        <f>_xlfn.LET(
_xlpm.result,_xlfn.XLOOKUP($B174,Result_Database!$A$2:$A$500,Result_Database!$B$2:$B$500),
_xlfn.IFNA(_xlpm.result,"")
)</f>
        <v/>
      </c>
      <c r="D174" t="str">
        <f>_xlfn.LET(
  _xlpm.result, _xlfn.XLOOKUP($B174, Result_Database!$A$2:$A$500, Result_Database!C$2:C$500),
  _xlfn.IFNA(_xlpm.result, "")
)</f>
        <v/>
      </c>
      <c r="E174" t="str">
        <f>_xlfn.LET(
  _xlpm.result, _xlfn.XLOOKUP($B174, Result_Database!$A$2:$A$500, Result_Database!D$2:D$500),
  _xlfn.IFNA(_xlpm.result, "")
)</f>
        <v/>
      </c>
      <c r="F174" t="str">
        <f>_xlfn.LET(
  _xlpm.result, _xlfn.XLOOKUP($B174, Result_Database!$A$2:$A$500, Result_Database!E$2:E$500),
  _xlfn.IFNA(_xlpm.result, "")
)</f>
        <v/>
      </c>
      <c r="G174" t="str">
        <f>_xlfn.LET(
  _xlpm.result, _xlfn.XLOOKUP($B174, Result_Database!$A$2:$A$500, Result_Database!F$2:F$500),
  _xlfn.IFNA(_xlpm.result, "")
)</f>
        <v/>
      </c>
      <c r="H174" t="str">
        <f>_xlfn.LET(
  _xlpm.result, _xlfn.XLOOKUP($B174, Result_Database!$A$2:$A$500, Result_Database!G$2:G$500),
  _xlfn.IFNA(_xlpm.result, "")
)</f>
        <v/>
      </c>
      <c r="I174" t="str">
        <f>_xlfn.LET(
  _xlpm.result, _xlfn.XLOOKUP($B174, Result_Database!$A$2:$A$500, Result_Database!H$2:H$500),
  _xlfn.IFNA(_xlpm.result, "")
)</f>
        <v/>
      </c>
      <c r="J174" t="str">
        <f>_xlfn.LET(
  _xlpm.result, _xlfn.XLOOKUP($B174, Result_Database!$A$2:$A$500, Result_Database!I$2:I$500),
  _xlfn.IFNA(_xlpm.result, "")
)</f>
        <v/>
      </c>
      <c r="K174" t="str">
        <f>_xlfn.LET(
  _xlpm.result, _xlfn.XLOOKUP($B174, Result_Database!$A$2:$A$500, Result_Database!J$2:J$500),
  _xlfn.IFNA(_xlpm.result, "")
)</f>
        <v/>
      </c>
      <c r="L174" t="str">
        <f>_xlfn.LET(
  _xlpm.result, _xlfn.XLOOKUP($B174, Result_Database!$A$2:$A$500, Result_Database!K$2:K$500),
  _xlfn.IFNA(_xlpm.result, "")
)</f>
        <v/>
      </c>
      <c r="M174" t="str">
        <f>_xlfn.LET(
  _xlpm.result, _xlfn.XLOOKUP($B174, Result_Database!$A$2:$A$500, Result_Database!L$2:L$500),
  _xlfn.IFNA(_xlpm.result, "")
)</f>
        <v/>
      </c>
      <c r="N174" t="str">
        <f>_xlfn.LET(
  _xlpm.result, _xlfn.XLOOKUP($B174, Result_Database!$A$2:$A$500, Result_Database!M$2:M$500),
  _xlfn.IFNA(_xlpm.result, "")
)</f>
        <v/>
      </c>
      <c r="O174" t="str">
        <f>_xlfn.LET(
  _xlpm.result, _xlfn.XLOOKUP($B174, Result_Database!$A$2:$A$500, Result_Database!N$2:N$500),
  _xlfn.IFNA(_xlpm.result, "")
)</f>
        <v/>
      </c>
      <c r="P174" t="str">
        <f>_xlfn.LET(
  _xlpm.result, _xlfn.XLOOKUP($B174, Result_Database!$A$2:$A$500, Result_Database!O$2:O$500),
  _xlfn.IFNA(_xlpm.result, "")
)</f>
        <v/>
      </c>
      <c r="Q174" t="str">
        <f>_xlfn.LET(
  _xlpm.result, _xlfn.XLOOKUP($B174, Result_Database!$A$2:$A$500, Result_Database!P$2:P$500),
  _xlfn.IFNA(_xlpm.result, "")
)</f>
        <v/>
      </c>
      <c r="R174" t="str">
        <f>_xlfn.LET(
  _xlpm.result, _xlfn.XLOOKUP($B174, Result_Database!$A$2:$A$500, Result_Database!Q$2:Q$500),
  _xlfn.IFNA(_xlpm.result, "")
)</f>
        <v/>
      </c>
      <c r="S174" t="str">
        <f>_xlfn.LET(
  _xlpm.result, _xlfn.XLOOKUP($B174, Result_Database!$A$2:$A$500, Result_Database!R$2:R$500),
  _xlfn.IFNA(_xlpm.result, "")
)</f>
        <v/>
      </c>
      <c r="T174" t="str">
        <f>_xlfn.LET(
  _xlpm.result, _xlfn.XLOOKUP($B174, Result_Database!$A$2:$A$500, Result_Database!S$2:S$500),
  _xlfn.IFNA(_xlpm.result, "")
)</f>
        <v/>
      </c>
      <c r="U174" t="str">
        <f>_xlfn.LET(
  _xlpm.result, _xlfn.XLOOKUP($B174, Result_Database!$A$2:$A$500, Result_Database!T$2:T$500),
  _xlfn.IFNA(_xlpm.result, "")
)</f>
        <v/>
      </c>
      <c r="V174" t="str">
        <f>_xlfn.LET(
  _xlpm.result, _xlfn.XLOOKUP($B174, Result_Database!$A$2:$A$500, Result_Database!U$2:U$500),
  _xlfn.IFNA(_xlpm.result, "")
)</f>
        <v/>
      </c>
      <c r="W174" t="str">
        <f>_xlfn.LET(
  _xlpm.result, _xlfn.XLOOKUP($B174, Result_Database!$A$2:$A$500, Result_Database!V$2:V$500),
  _xlfn.IFNA(_xlpm.result, "")
)</f>
        <v/>
      </c>
      <c r="X174" t="str">
        <f>_xlfn.LET(
  _xlpm.result, _xlfn.XLOOKUP($B174, Result_Database!$A$2:$A$500, Result_Database!W$2:W$500),
  _xlfn.IFNA(_xlpm.result, "")
)</f>
        <v/>
      </c>
      <c r="Y174" t="str">
        <f>_xlfn.LET(
  _xlpm.result, _xlfn.XLOOKUP($B174, Result_Database!$A$2:$A$500, Result_Database!X$2:X$500),
  _xlfn.IFNA(_xlpm.result, "")
)</f>
        <v/>
      </c>
      <c r="Z174" t="str">
        <f>_xlfn.LET(
  _xlpm.result, _xlfn.XLOOKUP($B174, Result_Database!$A$2:$A$500, Result_Database!Y$2:Y$500),
  _xlfn.IFNA(_xlpm.result, "")
)</f>
        <v/>
      </c>
      <c r="AA174" t="str">
        <f>_xlfn.LET(
  _xlpm.result, _xlfn.XLOOKUP($B174, Result_Database!$A$2:$A$500, Result_Database!Z$2:Z$500),
  _xlfn.IFNA(_xlpm.result, "")
)</f>
        <v/>
      </c>
      <c r="AB174" t="str">
        <f>_xlfn.LET(
  _xlpm.result, _xlfn.XLOOKUP($B174, Result_Database!$A$2:$A$500, Result_Database!AA$2:AA$500),
  _xlfn.IFNA(_xlpm.result, "")
)</f>
        <v/>
      </c>
      <c r="AC174" t="str">
        <f>_xlfn.LET(
  _xlpm.result, _xlfn.XLOOKUP($B174, Result_Database!$A$2:$A$500, Result_Database!AB$2:AB$500),
  _xlfn.IFNA(_xlpm.result, "")
)</f>
        <v/>
      </c>
      <c r="AD174" t="str">
        <f>_xlfn.LET(
  _xlpm.result, _xlfn.XLOOKUP($B174, Result_Database!$A$2:$A$500, Result_Database!AC$2:AC$500),
  _xlfn.IFNA(_xlpm.result, "")
)</f>
        <v/>
      </c>
      <c r="AE174" t="str">
        <f>_xlfn.LET(
  _xlpm.result, _xlfn.XLOOKUP($B174, Result_Database!$A$2:$A$500, Result_Database!AD$2:AD$500),
  _xlfn.IFNA(_xlpm.result, "")
)</f>
        <v/>
      </c>
      <c r="AF174" t="str">
        <f>_xlfn.LET(
  _xlpm.result, _xlfn.XLOOKUP($B174, Result_Database!$A$2:$A$500, Result_Database!AE$2:AE$500),
  _xlfn.IFNA(_xlpm.result, "")
)</f>
        <v/>
      </c>
      <c r="AG174" t="str">
        <f>_xlfn.LET(
  _xlpm.result, _xlfn.XLOOKUP($B174, Result_Database!$A$2:$A$500, Result_Database!AF$2:AF$500),
  _xlfn.IFNA(_xlpm.result, "")
)</f>
        <v/>
      </c>
      <c r="AH174" t="str">
        <f>_xlfn.LET(
  _xlpm.result, _xlfn.XLOOKUP($B174, Result_Database!$A$2:$A$500, Result_Database!AG$2:AG$500),
  _xlfn.IFNA(_xlpm.result, "")
)</f>
        <v/>
      </c>
      <c r="AI174" t="str">
        <f>_xlfn.LET(
  _xlpm.result, _xlfn.XLOOKUP($B174, Result_Database!$A$2:$A$500, Result_Database!AH$2:AH$500),
  _xlfn.IFNA(_xlpm.result, "")
)</f>
        <v/>
      </c>
      <c r="AJ174" t="str">
        <f>_xlfn.LET(
  _xlpm.result, _xlfn.XLOOKUP($B174, Result_Database!$A$2:$A$500, Result_Database!AI$2:AI$500),
  _xlfn.IFNA(_xlpm.result, "")
)</f>
        <v/>
      </c>
      <c r="AK174" t="str">
        <f>_xlfn.LET(
  _xlpm.result, _xlfn.XLOOKUP($B174, Result_Database!$A$2:$A$500, Result_Database!AJ$2:AJ$500),
  _xlfn.IFNA(_xlpm.result, "")
)</f>
        <v/>
      </c>
      <c r="AL174" t="str">
        <f>_xlfn.LET(
  _xlpm.result, _xlfn.XLOOKUP($B174, Result_Database!$A$2:$A$500, Result_Database!AK$2:AK$500),
  _xlfn.IFNA(_xlpm.result, "")
)</f>
        <v/>
      </c>
      <c r="AM17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7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7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7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7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7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7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7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7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74" t="str">
        <f>IF(SUM(Table5[[#This Row],[A1]:[C6]])&lt;&gt;0,SUM(Table5[[#This Row],[A1]:[C6]]),"")</f>
        <v/>
      </c>
      <c r="AW174" t="str">
        <f>IF(SUM(Table5[[#This Row],[D7]:[F9]])=0,"",SUM(Table5[[#This Row],[D7]:[F9]]))</f>
        <v/>
      </c>
      <c r="AX17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7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7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7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7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7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74" t="str">
        <f>IF(COUNTIF(Table5[[#This Row],[English Language]:[Electrical/ Electronics]],"WITHHELD")=0,"",COUNTIF(Table5[[#This Row],[English Language]:[Electrical/ Electronics]],"WITHHELD"))</f>
        <v/>
      </c>
      <c r="BE174" t="str">
        <f>IF(SUM(Table5[[#This Row],[NO OF CREDITS]:[BELOW CREDITS]])=0,"",SUM(Table5[[#This Row],[NO OF CREDITS]:[BELOW CREDITS]]))</f>
        <v/>
      </c>
    </row>
    <row r="175" spans="1:57" x14ac:dyDescent="0.3">
      <c r="A175" t="str">
        <f>IF(B175&lt;&gt;"",COUNTA($B$6:B175),"")</f>
        <v/>
      </c>
      <c r="B175" t="str">
        <f>IF(Result_Database!A171="","",Result_Database!A171)</f>
        <v/>
      </c>
      <c r="C175" t="str">
        <f>_xlfn.LET(
_xlpm.result,_xlfn.XLOOKUP($B175,Result_Database!$A$2:$A$500,Result_Database!$B$2:$B$500),
_xlfn.IFNA(_xlpm.result,"")
)</f>
        <v/>
      </c>
      <c r="D175" t="str">
        <f>_xlfn.LET(
  _xlpm.result, _xlfn.XLOOKUP($B175, Result_Database!$A$2:$A$500, Result_Database!C$2:C$500),
  _xlfn.IFNA(_xlpm.result, "")
)</f>
        <v/>
      </c>
      <c r="E175" t="str">
        <f>_xlfn.LET(
  _xlpm.result, _xlfn.XLOOKUP($B175, Result_Database!$A$2:$A$500, Result_Database!D$2:D$500),
  _xlfn.IFNA(_xlpm.result, "")
)</f>
        <v/>
      </c>
      <c r="F175" t="str">
        <f>_xlfn.LET(
  _xlpm.result, _xlfn.XLOOKUP($B175, Result_Database!$A$2:$A$500, Result_Database!E$2:E$500),
  _xlfn.IFNA(_xlpm.result, "")
)</f>
        <v/>
      </c>
      <c r="G175" t="str">
        <f>_xlfn.LET(
  _xlpm.result, _xlfn.XLOOKUP($B175, Result_Database!$A$2:$A$500, Result_Database!F$2:F$500),
  _xlfn.IFNA(_xlpm.result, "")
)</f>
        <v/>
      </c>
      <c r="H175" t="str">
        <f>_xlfn.LET(
  _xlpm.result, _xlfn.XLOOKUP($B175, Result_Database!$A$2:$A$500, Result_Database!G$2:G$500),
  _xlfn.IFNA(_xlpm.result, "")
)</f>
        <v/>
      </c>
      <c r="I175" t="str">
        <f>_xlfn.LET(
  _xlpm.result, _xlfn.XLOOKUP($B175, Result_Database!$A$2:$A$500, Result_Database!H$2:H$500),
  _xlfn.IFNA(_xlpm.result, "")
)</f>
        <v/>
      </c>
      <c r="J175" t="str">
        <f>_xlfn.LET(
  _xlpm.result, _xlfn.XLOOKUP($B175, Result_Database!$A$2:$A$500, Result_Database!I$2:I$500),
  _xlfn.IFNA(_xlpm.result, "")
)</f>
        <v/>
      </c>
      <c r="K175" t="str">
        <f>_xlfn.LET(
  _xlpm.result, _xlfn.XLOOKUP($B175, Result_Database!$A$2:$A$500, Result_Database!J$2:J$500),
  _xlfn.IFNA(_xlpm.result, "")
)</f>
        <v/>
      </c>
      <c r="L175" t="str">
        <f>_xlfn.LET(
  _xlpm.result, _xlfn.XLOOKUP($B175, Result_Database!$A$2:$A$500, Result_Database!K$2:K$500),
  _xlfn.IFNA(_xlpm.result, "")
)</f>
        <v/>
      </c>
      <c r="M175" t="str">
        <f>_xlfn.LET(
  _xlpm.result, _xlfn.XLOOKUP($B175, Result_Database!$A$2:$A$500, Result_Database!L$2:L$500),
  _xlfn.IFNA(_xlpm.result, "")
)</f>
        <v/>
      </c>
      <c r="N175" t="str">
        <f>_xlfn.LET(
  _xlpm.result, _xlfn.XLOOKUP($B175, Result_Database!$A$2:$A$500, Result_Database!M$2:M$500),
  _xlfn.IFNA(_xlpm.result, "")
)</f>
        <v/>
      </c>
      <c r="O175" t="str">
        <f>_xlfn.LET(
  _xlpm.result, _xlfn.XLOOKUP($B175, Result_Database!$A$2:$A$500, Result_Database!N$2:N$500),
  _xlfn.IFNA(_xlpm.result, "")
)</f>
        <v/>
      </c>
      <c r="P175" t="str">
        <f>_xlfn.LET(
  _xlpm.result, _xlfn.XLOOKUP($B175, Result_Database!$A$2:$A$500, Result_Database!O$2:O$500),
  _xlfn.IFNA(_xlpm.result, "")
)</f>
        <v/>
      </c>
      <c r="Q175" t="str">
        <f>_xlfn.LET(
  _xlpm.result, _xlfn.XLOOKUP($B175, Result_Database!$A$2:$A$500, Result_Database!P$2:P$500),
  _xlfn.IFNA(_xlpm.result, "")
)</f>
        <v/>
      </c>
      <c r="R175" t="str">
        <f>_xlfn.LET(
  _xlpm.result, _xlfn.XLOOKUP($B175, Result_Database!$A$2:$A$500, Result_Database!Q$2:Q$500),
  _xlfn.IFNA(_xlpm.result, "")
)</f>
        <v/>
      </c>
      <c r="S175" t="str">
        <f>_xlfn.LET(
  _xlpm.result, _xlfn.XLOOKUP($B175, Result_Database!$A$2:$A$500, Result_Database!R$2:R$500),
  _xlfn.IFNA(_xlpm.result, "")
)</f>
        <v/>
      </c>
      <c r="T175" t="str">
        <f>_xlfn.LET(
  _xlpm.result, _xlfn.XLOOKUP($B175, Result_Database!$A$2:$A$500, Result_Database!S$2:S$500),
  _xlfn.IFNA(_xlpm.result, "")
)</f>
        <v/>
      </c>
      <c r="U175" t="str">
        <f>_xlfn.LET(
  _xlpm.result, _xlfn.XLOOKUP($B175, Result_Database!$A$2:$A$500, Result_Database!T$2:T$500),
  _xlfn.IFNA(_xlpm.result, "")
)</f>
        <v/>
      </c>
      <c r="V175" t="str">
        <f>_xlfn.LET(
  _xlpm.result, _xlfn.XLOOKUP($B175, Result_Database!$A$2:$A$500, Result_Database!U$2:U$500),
  _xlfn.IFNA(_xlpm.result, "")
)</f>
        <v/>
      </c>
      <c r="W175" t="str">
        <f>_xlfn.LET(
  _xlpm.result, _xlfn.XLOOKUP($B175, Result_Database!$A$2:$A$500, Result_Database!V$2:V$500),
  _xlfn.IFNA(_xlpm.result, "")
)</f>
        <v/>
      </c>
      <c r="X175" t="str">
        <f>_xlfn.LET(
  _xlpm.result, _xlfn.XLOOKUP($B175, Result_Database!$A$2:$A$500, Result_Database!W$2:W$500),
  _xlfn.IFNA(_xlpm.result, "")
)</f>
        <v/>
      </c>
      <c r="Y175" t="str">
        <f>_xlfn.LET(
  _xlpm.result, _xlfn.XLOOKUP($B175, Result_Database!$A$2:$A$500, Result_Database!X$2:X$500),
  _xlfn.IFNA(_xlpm.result, "")
)</f>
        <v/>
      </c>
      <c r="Z175" t="str">
        <f>_xlfn.LET(
  _xlpm.result, _xlfn.XLOOKUP($B175, Result_Database!$A$2:$A$500, Result_Database!Y$2:Y$500),
  _xlfn.IFNA(_xlpm.result, "")
)</f>
        <v/>
      </c>
      <c r="AA175" t="str">
        <f>_xlfn.LET(
  _xlpm.result, _xlfn.XLOOKUP($B175, Result_Database!$A$2:$A$500, Result_Database!Z$2:Z$500),
  _xlfn.IFNA(_xlpm.result, "")
)</f>
        <v/>
      </c>
      <c r="AB175" t="str">
        <f>_xlfn.LET(
  _xlpm.result, _xlfn.XLOOKUP($B175, Result_Database!$A$2:$A$500, Result_Database!AA$2:AA$500),
  _xlfn.IFNA(_xlpm.result, "")
)</f>
        <v/>
      </c>
      <c r="AC175" t="str">
        <f>_xlfn.LET(
  _xlpm.result, _xlfn.XLOOKUP($B175, Result_Database!$A$2:$A$500, Result_Database!AB$2:AB$500),
  _xlfn.IFNA(_xlpm.result, "")
)</f>
        <v/>
      </c>
      <c r="AD175" t="str">
        <f>_xlfn.LET(
  _xlpm.result, _xlfn.XLOOKUP($B175, Result_Database!$A$2:$A$500, Result_Database!AC$2:AC$500),
  _xlfn.IFNA(_xlpm.result, "")
)</f>
        <v/>
      </c>
      <c r="AE175" t="str">
        <f>_xlfn.LET(
  _xlpm.result, _xlfn.XLOOKUP($B175, Result_Database!$A$2:$A$500, Result_Database!AD$2:AD$500),
  _xlfn.IFNA(_xlpm.result, "")
)</f>
        <v/>
      </c>
      <c r="AF175" t="str">
        <f>_xlfn.LET(
  _xlpm.result, _xlfn.XLOOKUP($B175, Result_Database!$A$2:$A$500, Result_Database!AE$2:AE$500),
  _xlfn.IFNA(_xlpm.result, "")
)</f>
        <v/>
      </c>
      <c r="AG175" t="str">
        <f>_xlfn.LET(
  _xlpm.result, _xlfn.XLOOKUP($B175, Result_Database!$A$2:$A$500, Result_Database!AF$2:AF$500),
  _xlfn.IFNA(_xlpm.result, "")
)</f>
        <v/>
      </c>
      <c r="AH175" t="str">
        <f>_xlfn.LET(
  _xlpm.result, _xlfn.XLOOKUP($B175, Result_Database!$A$2:$A$500, Result_Database!AG$2:AG$500),
  _xlfn.IFNA(_xlpm.result, "")
)</f>
        <v/>
      </c>
      <c r="AI175" t="str">
        <f>_xlfn.LET(
  _xlpm.result, _xlfn.XLOOKUP($B175, Result_Database!$A$2:$A$500, Result_Database!AH$2:AH$500),
  _xlfn.IFNA(_xlpm.result, "")
)</f>
        <v/>
      </c>
      <c r="AJ175" t="str">
        <f>_xlfn.LET(
  _xlpm.result, _xlfn.XLOOKUP($B175, Result_Database!$A$2:$A$500, Result_Database!AI$2:AI$500),
  _xlfn.IFNA(_xlpm.result, "")
)</f>
        <v/>
      </c>
      <c r="AK175" t="str">
        <f>_xlfn.LET(
  _xlpm.result, _xlfn.XLOOKUP($B175, Result_Database!$A$2:$A$500, Result_Database!AJ$2:AJ$500),
  _xlfn.IFNA(_xlpm.result, "")
)</f>
        <v/>
      </c>
      <c r="AL175" t="str">
        <f>_xlfn.LET(
  _xlpm.result, _xlfn.XLOOKUP($B175, Result_Database!$A$2:$A$500, Result_Database!AK$2:AK$500),
  _xlfn.IFNA(_xlpm.result, "")
)</f>
        <v/>
      </c>
      <c r="AM17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7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7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7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7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7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7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7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7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75" t="str">
        <f>IF(SUM(Table5[[#This Row],[A1]:[C6]])&lt;&gt;0,SUM(Table5[[#This Row],[A1]:[C6]]),"")</f>
        <v/>
      </c>
      <c r="AW175" t="str">
        <f>IF(SUM(Table5[[#This Row],[D7]:[F9]])=0,"",SUM(Table5[[#This Row],[D7]:[F9]]))</f>
        <v/>
      </c>
      <c r="AX17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7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7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7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7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7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75" t="str">
        <f>IF(COUNTIF(Table5[[#This Row],[English Language]:[Electrical/ Electronics]],"WITHHELD")=0,"",COUNTIF(Table5[[#This Row],[English Language]:[Electrical/ Electronics]],"WITHHELD"))</f>
        <v/>
      </c>
      <c r="BE175" t="str">
        <f>IF(SUM(Table5[[#This Row],[NO OF CREDITS]:[BELOW CREDITS]])=0,"",SUM(Table5[[#This Row],[NO OF CREDITS]:[BELOW CREDITS]]))</f>
        <v/>
      </c>
    </row>
    <row r="176" spans="1:57" x14ac:dyDescent="0.3">
      <c r="A176" t="str">
        <f>IF(B176&lt;&gt;"",COUNTA($B$6:B176),"")</f>
        <v/>
      </c>
      <c r="B176" t="str">
        <f>IF(Result_Database!A172="","",Result_Database!A172)</f>
        <v/>
      </c>
      <c r="C176" t="str">
        <f>_xlfn.LET(
_xlpm.result,_xlfn.XLOOKUP($B176,Result_Database!$A$2:$A$500,Result_Database!$B$2:$B$500),
_xlfn.IFNA(_xlpm.result,"")
)</f>
        <v/>
      </c>
      <c r="D176" t="str">
        <f>_xlfn.LET(
  _xlpm.result, _xlfn.XLOOKUP($B176, Result_Database!$A$2:$A$500, Result_Database!C$2:C$500),
  _xlfn.IFNA(_xlpm.result, "")
)</f>
        <v/>
      </c>
      <c r="E176" t="str">
        <f>_xlfn.LET(
  _xlpm.result, _xlfn.XLOOKUP($B176, Result_Database!$A$2:$A$500, Result_Database!D$2:D$500),
  _xlfn.IFNA(_xlpm.result, "")
)</f>
        <v/>
      </c>
      <c r="F176" t="str">
        <f>_xlfn.LET(
  _xlpm.result, _xlfn.XLOOKUP($B176, Result_Database!$A$2:$A$500, Result_Database!E$2:E$500),
  _xlfn.IFNA(_xlpm.result, "")
)</f>
        <v/>
      </c>
      <c r="G176" t="str">
        <f>_xlfn.LET(
  _xlpm.result, _xlfn.XLOOKUP($B176, Result_Database!$A$2:$A$500, Result_Database!F$2:F$500),
  _xlfn.IFNA(_xlpm.result, "")
)</f>
        <v/>
      </c>
      <c r="H176" t="str">
        <f>_xlfn.LET(
  _xlpm.result, _xlfn.XLOOKUP($B176, Result_Database!$A$2:$A$500, Result_Database!G$2:G$500),
  _xlfn.IFNA(_xlpm.result, "")
)</f>
        <v/>
      </c>
      <c r="I176" t="str">
        <f>_xlfn.LET(
  _xlpm.result, _xlfn.XLOOKUP($B176, Result_Database!$A$2:$A$500, Result_Database!H$2:H$500),
  _xlfn.IFNA(_xlpm.result, "")
)</f>
        <v/>
      </c>
      <c r="J176" t="str">
        <f>_xlfn.LET(
  _xlpm.result, _xlfn.XLOOKUP($B176, Result_Database!$A$2:$A$500, Result_Database!I$2:I$500),
  _xlfn.IFNA(_xlpm.result, "")
)</f>
        <v/>
      </c>
      <c r="K176" t="str">
        <f>_xlfn.LET(
  _xlpm.result, _xlfn.XLOOKUP($B176, Result_Database!$A$2:$A$500, Result_Database!J$2:J$500),
  _xlfn.IFNA(_xlpm.result, "")
)</f>
        <v/>
      </c>
      <c r="L176" t="str">
        <f>_xlfn.LET(
  _xlpm.result, _xlfn.XLOOKUP($B176, Result_Database!$A$2:$A$500, Result_Database!K$2:K$500),
  _xlfn.IFNA(_xlpm.result, "")
)</f>
        <v/>
      </c>
      <c r="M176" t="str">
        <f>_xlfn.LET(
  _xlpm.result, _xlfn.XLOOKUP($B176, Result_Database!$A$2:$A$500, Result_Database!L$2:L$500),
  _xlfn.IFNA(_xlpm.result, "")
)</f>
        <v/>
      </c>
      <c r="N176" t="str">
        <f>_xlfn.LET(
  _xlpm.result, _xlfn.XLOOKUP($B176, Result_Database!$A$2:$A$500, Result_Database!M$2:M$500),
  _xlfn.IFNA(_xlpm.result, "")
)</f>
        <v/>
      </c>
      <c r="O176" t="str">
        <f>_xlfn.LET(
  _xlpm.result, _xlfn.XLOOKUP($B176, Result_Database!$A$2:$A$500, Result_Database!N$2:N$500),
  _xlfn.IFNA(_xlpm.result, "")
)</f>
        <v/>
      </c>
      <c r="P176" t="str">
        <f>_xlfn.LET(
  _xlpm.result, _xlfn.XLOOKUP($B176, Result_Database!$A$2:$A$500, Result_Database!O$2:O$500),
  _xlfn.IFNA(_xlpm.result, "")
)</f>
        <v/>
      </c>
      <c r="Q176" t="str">
        <f>_xlfn.LET(
  _xlpm.result, _xlfn.XLOOKUP($B176, Result_Database!$A$2:$A$500, Result_Database!P$2:P$500),
  _xlfn.IFNA(_xlpm.result, "")
)</f>
        <v/>
      </c>
      <c r="R176" t="str">
        <f>_xlfn.LET(
  _xlpm.result, _xlfn.XLOOKUP($B176, Result_Database!$A$2:$A$500, Result_Database!Q$2:Q$500),
  _xlfn.IFNA(_xlpm.result, "")
)</f>
        <v/>
      </c>
      <c r="S176" t="str">
        <f>_xlfn.LET(
  _xlpm.result, _xlfn.XLOOKUP($B176, Result_Database!$A$2:$A$500, Result_Database!R$2:R$500),
  _xlfn.IFNA(_xlpm.result, "")
)</f>
        <v/>
      </c>
      <c r="T176" t="str">
        <f>_xlfn.LET(
  _xlpm.result, _xlfn.XLOOKUP($B176, Result_Database!$A$2:$A$500, Result_Database!S$2:S$500),
  _xlfn.IFNA(_xlpm.result, "")
)</f>
        <v/>
      </c>
      <c r="U176" t="str">
        <f>_xlfn.LET(
  _xlpm.result, _xlfn.XLOOKUP($B176, Result_Database!$A$2:$A$500, Result_Database!T$2:T$500),
  _xlfn.IFNA(_xlpm.result, "")
)</f>
        <v/>
      </c>
      <c r="V176" t="str">
        <f>_xlfn.LET(
  _xlpm.result, _xlfn.XLOOKUP($B176, Result_Database!$A$2:$A$500, Result_Database!U$2:U$500),
  _xlfn.IFNA(_xlpm.result, "")
)</f>
        <v/>
      </c>
      <c r="W176" t="str">
        <f>_xlfn.LET(
  _xlpm.result, _xlfn.XLOOKUP($B176, Result_Database!$A$2:$A$500, Result_Database!V$2:V$500),
  _xlfn.IFNA(_xlpm.result, "")
)</f>
        <v/>
      </c>
      <c r="X176" t="str">
        <f>_xlfn.LET(
  _xlpm.result, _xlfn.XLOOKUP($B176, Result_Database!$A$2:$A$500, Result_Database!W$2:W$500),
  _xlfn.IFNA(_xlpm.result, "")
)</f>
        <v/>
      </c>
      <c r="Y176" t="str">
        <f>_xlfn.LET(
  _xlpm.result, _xlfn.XLOOKUP($B176, Result_Database!$A$2:$A$500, Result_Database!X$2:X$500),
  _xlfn.IFNA(_xlpm.result, "")
)</f>
        <v/>
      </c>
      <c r="Z176" t="str">
        <f>_xlfn.LET(
  _xlpm.result, _xlfn.XLOOKUP($B176, Result_Database!$A$2:$A$500, Result_Database!Y$2:Y$500),
  _xlfn.IFNA(_xlpm.result, "")
)</f>
        <v/>
      </c>
      <c r="AA176" t="str">
        <f>_xlfn.LET(
  _xlpm.result, _xlfn.XLOOKUP($B176, Result_Database!$A$2:$A$500, Result_Database!Z$2:Z$500),
  _xlfn.IFNA(_xlpm.result, "")
)</f>
        <v/>
      </c>
      <c r="AB176" t="str">
        <f>_xlfn.LET(
  _xlpm.result, _xlfn.XLOOKUP($B176, Result_Database!$A$2:$A$500, Result_Database!AA$2:AA$500),
  _xlfn.IFNA(_xlpm.result, "")
)</f>
        <v/>
      </c>
      <c r="AC176" t="str">
        <f>_xlfn.LET(
  _xlpm.result, _xlfn.XLOOKUP($B176, Result_Database!$A$2:$A$500, Result_Database!AB$2:AB$500),
  _xlfn.IFNA(_xlpm.result, "")
)</f>
        <v/>
      </c>
      <c r="AD176" t="str">
        <f>_xlfn.LET(
  _xlpm.result, _xlfn.XLOOKUP($B176, Result_Database!$A$2:$A$500, Result_Database!AC$2:AC$500),
  _xlfn.IFNA(_xlpm.result, "")
)</f>
        <v/>
      </c>
      <c r="AE176" t="str">
        <f>_xlfn.LET(
  _xlpm.result, _xlfn.XLOOKUP($B176, Result_Database!$A$2:$A$500, Result_Database!AD$2:AD$500),
  _xlfn.IFNA(_xlpm.result, "")
)</f>
        <v/>
      </c>
      <c r="AF176" t="str">
        <f>_xlfn.LET(
  _xlpm.result, _xlfn.XLOOKUP($B176, Result_Database!$A$2:$A$500, Result_Database!AE$2:AE$500),
  _xlfn.IFNA(_xlpm.result, "")
)</f>
        <v/>
      </c>
      <c r="AG176" t="str">
        <f>_xlfn.LET(
  _xlpm.result, _xlfn.XLOOKUP($B176, Result_Database!$A$2:$A$500, Result_Database!AF$2:AF$500),
  _xlfn.IFNA(_xlpm.result, "")
)</f>
        <v/>
      </c>
      <c r="AH176" t="str">
        <f>_xlfn.LET(
  _xlpm.result, _xlfn.XLOOKUP($B176, Result_Database!$A$2:$A$500, Result_Database!AG$2:AG$500),
  _xlfn.IFNA(_xlpm.result, "")
)</f>
        <v/>
      </c>
      <c r="AI176" t="str">
        <f>_xlfn.LET(
  _xlpm.result, _xlfn.XLOOKUP($B176, Result_Database!$A$2:$A$500, Result_Database!AH$2:AH$500),
  _xlfn.IFNA(_xlpm.result, "")
)</f>
        <v/>
      </c>
      <c r="AJ176" t="str">
        <f>_xlfn.LET(
  _xlpm.result, _xlfn.XLOOKUP($B176, Result_Database!$A$2:$A$500, Result_Database!AI$2:AI$500),
  _xlfn.IFNA(_xlpm.result, "")
)</f>
        <v/>
      </c>
      <c r="AK176" t="str">
        <f>_xlfn.LET(
  _xlpm.result, _xlfn.XLOOKUP($B176, Result_Database!$A$2:$A$500, Result_Database!AJ$2:AJ$500),
  _xlfn.IFNA(_xlpm.result, "")
)</f>
        <v/>
      </c>
      <c r="AL176" t="str">
        <f>_xlfn.LET(
  _xlpm.result, _xlfn.XLOOKUP($B176, Result_Database!$A$2:$A$500, Result_Database!AK$2:AK$500),
  _xlfn.IFNA(_xlpm.result, "")
)</f>
        <v/>
      </c>
      <c r="AM17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7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7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7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7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7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7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7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7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76" t="str">
        <f>IF(SUM(Table5[[#This Row],[A1]:[C6]])&lt;&gt;0,SUM(Table5[[#This Row],[A1]:[C6]]),"")</f>
        <v/>
      </c>
      <c r="AW176" t="str">
        <f>IF(SUM(Table5[[#This Row],[D7]:[F9]])=0,"",SUM(Table5[[#This Row],[D7]:[F9]]))</f>
        <v/>
      </c>
      <c r="AX17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7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7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7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7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7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76" t="str">
        <f>IF(COUNTIF(Table5[[#This Row],[English Language]:[Electrical/ Electronics]],"WITHHELD")=0,"",COUNTIF(Table5[[#This Row],[English Language]:[Electrical/ Electronics]],"WITHHELD"))</f>
        <v/>
      </c>
      <c r="BE176" t="str">
        <f>IF(SUM(Table5[[#This Row],[NO OF CREDITS]:[BELOW CREDITS]])=0,"",SUM(Table5[[#This Row],[NO OF CREDITS]:[BELOW CREDITS]]))</f>
        <v/>
      </c>
    </row>
    <row r="177" spans="1:57" x14ac:dyDescent="0.3">
      <c r="A177" t="str">
        <f>IF(B177&lt;&gt;"",COUNTA($B$6:B177),"")</f>
        <v/>
      </c>
      <c r="B177" t="str">
        <f>IF(Result_Database!A173="","",Result_Database!A173)</f>
        <v/>
      </c>
      <c r="C177" t="str">
        <f>_xlfn.LET(
_xlpm.result,_xlfn.XLOOKUP($B177,Result_Database!$A$2:$A$500,Result_Database!$B$2:$B$500),
_xlfn.IFNA(_xlpm.result,"")
)</f>
        <v/>
      </c>
      <c r="D177" t="str">
        <f>_xlfn.LET(
  _xlpm.result, _xlfn.XLOOKUP($B177, Result_Database!$A$2:$A$500, Result_Database!C$2:C$500),
  _xlfn.IFNA(_xlpm.result, "")
)</f>
        <v/>
      </c>
      <c r="E177" t="str">
        <f>_xlfn.LET(
  _xlpm.result, _xlfn.XLOOKUP($B177, Result_Database!$A$2:$A$500, Result_Database!D$2:D$500),
  _xlfn.IFNA(_xlpm.result, "")
)</f>
        <v/>
      </c>
      <c r="F177" t="str">
        <f>_xlfn.LET(
  _xlpm.result, _xlfn.XLOOKUP($B177, Result_Database!$A$2:$A$500, Result_Database!E$2:E$500),
  _xlfn.IFNA(_xlpm.result, "")
)</f>
        <v/>
      </c>
      <c r="G177" t="str">
        <f>_xlfn.LET(
  _xlpm.result, _xlfn.XLOOKUP($B177, Result_Database!$A$2:$A$500, Result_Database!F$2:F$500),
  _xlfn.IFNA(_xlpm.result, "")
)</f>
        <v/>
      </c>
      <c r="H177" t="str">
        <f>_xlfn.LET(
  _xlpm.result, _xlfn.XLOOKUP($B177, Result_Database!$A$2:$A$500, Result_Database!G$2:G$500),
  _xlfn.IFNA(_xlpm.result, "")
)</f>
        <v/>
      </c>
      <c r="I177" t="str">
        <f>_xlfn.LET(
  _xlpm.result, _xlfn.XLOOKUP($B177, Result_Database!$A$2:$A$500, Result_Database!H$2:H$500),
  _xlfn.IFNA(_xlpm.result, "")
)</f>
        <v/>
      </c>
      <c r="J177" t="str">
        <f>_xlfn.LET(
  _xlpm.result, _xlfn.XLOOKUP($B177, Result_Database!$A$2:$A$500, Result_Database!I$2:I$500),
  _xlfn.IFNA(_xlpm.result, "")
)</f>
        <v/>
      </c>
      <c r="K177" t="str">
        <f>_xlfn.LET(
  _xlpm.result, _xlfn.XLOOKUP($B177, Result_Database!$A$2:$A$500, Result_Database!J$2:J$500),
  _xlfn.IFNA(_xlpm.result, "")
)</f>
        <v/>
      </c>
      <c r="L177" t="str">
        <f>_xlfn.LET(
  _xlpm.result, _xlfn.XLOOKUP($B177, Result_Database!$A$2:$A$500, Result_Database!K$2:K$500),
  _xlfn.IFNA(_xlpm.result, "")
)</f>
        <v/>
      </c>
      <c r="M177" t="str">
        <f>_xlfn.LET(
  _xlpm.result, _xlfn.XLOOKUP($B177, Result_Database!$A$2:$A$500, Result_Database!L$2:L$500),
  _xlfn.IFNA(_xlpm.result, "")
)</f>
        <v/>
      </c>
      <c r="N177" t="str">
        <f>_xlfn.LET(
  _xlpm.result, _xlfn.XLOOKUP($B177, Result_Database!$A$2:$A$500, Result_Database!M$2:M$500),
  _xlfn.IFNA(_xlpm.result, "")
)</f>
        <v/>
      </c>
      <c r="O177" t="str">
        <f>_xlfn.LET(
  _xlpm.result, _xlfn.XLOOKUP($B177, Result_Database!$A$2:$A$500, Result_Database!N$2:N$500),
  _xlfn.IFNA(_xlpm.result, "")
)</f>
        <v/>
      </c>
      <c r="P177" t="str">
        <f>_xlfn.LET(
  _xlpm.result, _xlfn.XLOOKUP($B177, Result_Database!$A$2:$A$500, Result_Database!O$2:O$500),
  _xlfn.IFNA(_xlpm.result, "")
)</f>
        <v/>
      </c>
      <c r="Q177" t="str">
        <f>_xlfn.LET(
  _xlpm.result, _xlfn.XLOOKUP($B177, Result_Database!$A$2:$A$500, Result_Database!P$2:P$500),
  _xlfn.IFNA(_xlpm.result, "")
)</f>
        <v/>
      </c>
      <c r="R177" t="str">
        <f>_xlfn.LET(
  _xlpm.result, _xlfn.XLOOKUP($B177, Result_Database!$A$2:$A$500, Result_Database!Q$2:Q$500),
  _xlfn.IFNA(_xlpm.result, "")
)</f>
        <v/>
      </c>
      <c r="S177" t="str">
        <f>_xlfn.LET(
  _xlpm.result, _xlfn.XLOOKUP($B177, Result_Database!$A$2:$A$500, Result_Database!R$2:R$500),
  _xlfn.IFNA(_xlpm.result, "")
)</f>
        <v/>
      </c>
      <c r="T177" t="str">
        <f>_xlfn.LET(
  _xlpm.result, _xlfn.XLOOKUP($B177, Result_Database!$A$2:$A$500, Result_Database!S$2:S$500),
  _xlfn.IFNA(_xlpm.result, "")
)</f>
        <v/>
      </c>
      <c r="U177" t="str">
        <f>_xlfn.LET(
  _xlpm.result, _xlfn.XLOOKUP($B177, Result_Database!$A$2:$A$500, Result_Database!T$2:T$500),
  _xlfn.IFNA(_xlpm.result, "")
)</f>
        <v/>
      </c>
      <c r="V177" t="str">
        <f>_xlfn.LET(
  _xlpm.result, _xlfn.XLOOKUP($B177, Result_Database!$A$2:$A$500, Result_Database!U$2:U$500),
  _xlfn.IFNA(_xlpm.result, "")
)</f>
        <v/>
      </c>
      <c r="W177" t="str">
        <f>_xlfn.LET(
  _xlpm.result, _xlfn.XLOOKUP($B177, Result_Database!$A$2:$A$500, Result_Database!V$2:V$500),
  _xlfn.IFNA(_xlpm.result, "")
)</f>
        <v/>
      </c>
      <c r="X177" t="str">
        <f>_xlfn.LET(
  _xlpm.result, _xlfn.XLOOKUP($B177, Result_Database!$A$2:$A$500, Result_Database!W$2:W$500),
  _xlfn.IFNA(_xlpm.result, "")
)</f>
        <v/>
      </c>
      <c r="Y177" t="str">
        <f>_xlfn.LET(
  _xlpm.result, _xlfn.XLOOKUP($B177, Result_Database!$A$2:$A$500, Result_Database!X$2:X$500),
  _xlfn.IFNA(_xlpm.result, "")
)</f>
        <v/>
      </c>
      <c r="Z177" t="str">
        <f>_xlfn.LET(
  _xlpm.result, _xlfn.XLOOKUP($B177, Result_Database!$A$2:$A$500, Result_Database!Y$2:Y$500),
  _xlfn.IFNA(_xlpm.result, "")
)</f>
        <v/>
      </c>
      <c r="AA177" t="str">
        <f>_xlfn.LET(
  _xlpm.result, _xlfn.XLOOKUP($B177, Result_Database!$A$2:$A$500, Result_Database!Z$2:Z$500),
  _xlfn.IFNA(_xlpm.result, "")
)</f>
        <v/>
      </c>
      <c r="AB177" t="str">
        <f>_xlfn.LET(
  _xlpm.result, _xlfn.XLOOKUP($B177, Result_Database!$A$2:$A$500, Result_Database!AA$2:AA$500),
  _xlfn.IFNA(_xlpm.result, "")
)</f>
        <v/>
      </c>
      <c r="AC177" t="str">
        <f>_xlfn.LET(
  _xlpm.result, _xlfn.XLOOKUP($B177, Result_Database!$A$2:$A$500, Result_Database!AB$2:AB$500),
  _xlfn.IFNA(_xlpm.result, "")
)</f>
        <v/>
      </c>
      <c r="AD177" t="str">
        <f>_xlfn.LET(
  _xlpm.result, _xlfn.XLOOKUP($B177, Result_Database!$A$2:$A$500, Result_Database!AC$2:AC$500),
  _xlfn.IFNA(_xlpm.result, "")
)</f>
        <v/>
      </c>
      <c r="AE177" t="str">
        <f>_xlfn.LET(
  _xlpm.result, _xlfn.XLOOKUP($B177, Result_Database!$A$2:$A$500, Result_Database!AD$2:AD$500),
  _xlfn.IFNA(_xlpm.result, "")
)</f>
        <v/>
      </c>
      <c r="AF177" t="str">
        <f>_xlfn.LET(
  _xlpm.result, _xlfn.XLOOKUP($B177, Result_Database!$A$2:$A$500, Result_Database!AE$2:AE$500),
  _xlfn.IFNA(_xlpm.result, "")
)</f>
        <v/>
      </c>
      <c r="AG177" t="str">
        <f>_xlfn.LET(
  _xlpm.result, _xlfn.XLOOKUP($B177, Result_Database!$A$2:$A$500, Result_Database!AF$2:AF$500),
  _xlfn.IFNA(_xlpm.result, "")
)</f>
        <v/>
      </c>
      <c r="AH177" t="str">
        <f>_xlfn.LET(
  _xlpm.result, _xlfn.XLOOKUP($B177, Result_Database!$A$2:$A$500, Result_Database!AG$2:AG$500),
  _xlfn.IFNA(_xlpm.result, "")
)</f>
        <v/>
      </c>
      <c r="AI177" t="str">
        <f>_xlfn.LET(
  _xlpm.result, _xlfn.XLOOKUP($B177, Result_Database!$A$2:$A$500, Result_Database!AH$2:AH$500),
  _xlfn.IFNA(_xlpm.result, "")
)</f>
        <v/>
      </c>
      <c r="AJ177" t="str">
        <f>_xlfn.LET(
  _xlpm.result, _xlfn.XLOOKUP($B177, Result_Database!$A$2:$A$500, Result_Database!AI$2:AI$500),
  _xlfn.IFNA(_xlpm.result, "")
)</f>
        <v/>
      </c>
      <c r="AK177" t="str">
        <f>_xlfn.LET(
  _xlpm.result, _xlfn.XLOOKUP($B177, Result_Database!$A$2:$A$500, Result_Database!AJ$2:AJ$500),
  _xlfn.IFNA(_xlpm.result, "")
)</f>
        <v/>
      </c>
      <c r="AL177" t="str">
        <f>_xlfn.LET(
  _xlpm.result, _xlfn.XLOOKUP($B177, Result_Database!$A$2:$A$500, Result_Database!AK$2:AK$500),
  _xlfn.IFNA(_xlpm.result, "")
)</f>
        <v/>
      </c>
      <c r="AM17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7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7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7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7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7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7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7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7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77" t="str">
        <f>IF(SUM(Table5[[#This Row],[A1]:[C6]])&lt;&gt;0,SUM(Table5[[#This Row],[A1]:[C6]]),"")</f>
        <v/>
      </c>
      <c r="AW177" t="str">
        <f>IF(SUM(Table5[[#This Row],[D7]:[F9]])=0,"",SUM(Table5[[#This Row],[D7]:[F9]]))</f>
        <v/>
      </c>
      <c r="AX17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7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7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7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7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7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77" t="str">
        <f>IF(COUNTIF(Table5[[#This Row],[English Language]:[Electrical/ Electronics]],"WITHHELD")=0,"",COUNTIF(Table5[[#This Row],[English Language]:[Electrical/ Electronics]],"WITHHELD"))</f>
        <v/>
      </c>
      <c r="BE177" t="str">
        <f>IF(SUM(Table5[[#This Row],[NO OF CREDITS]:[BELOW CREDITS]])=0,"",SUM(Table5[[#This Row],[NO OF CREDITS]:[BELOW CREDITS]]))</f>
        <v/>
      </c>
    </row>
    <row r="178" spans="1:57" x14ac:dyDescent="0.3">
      <c r="A178" t="str">
        <f>IF(B178&lt;&gt;"",COUNTA($B$6:B178),"")</f>
        <v/>
      </c>
      <c r="B178" t="str">
        <f>IF(Result_Database!A174="","",Result_Database!A174)</f>
        <v/>
      </c>
      <c r="C178" t="str">
        <f>_xlfn.LET(
_xlpm.result,_xlfn.XLOOKUP($B178,Result_Database!$A$2:$A$500,Result_Database!$B$2:$B$500),
_xlfn.IFNA(_xlpm.result,"")
)</f>
        <v/>
      </c>
      <c r="D178" t="str">
        <f>_xlfn.LET(
  _xlpm.result, _xlfn.XLOOKUP($B178, Result_Database!$A$2:$A$500, Result_Database!C$2:C$500),
  _xlfn.IFNA(_xlpm.result, "")
)</f>
        <v/>
      </c>
      <c r="E178" t="str">
        <f>_xlfn.LET(
  _xlpm.result, _xlfn.XLOOKUP($B178, Result_Database!$A$2:$A$500, Result_Database!D$2:D$500),
  _xlfn.IFNA(_xlpm.result, "")
)</f>
        <v/>
      </c>
      <c r="F178" t="str">
        <f>_xlfn.LET(
  _xlpm.result, _xlfn.XLOOKUP($B178, Result_Database!$A$2:$A$500, Result_Database!E$2:E$500),
  _xlfn.IFNA(_xlpm.result, "")
)</f>
        <v/>
      </c>
      <c r="G178" t="str">
        <f>_xlfn.LET(
  _xlpm.result, _xlfn.XLOOKUP($B178, Result_Database!$A$2:$A$500, Result_Database!F$2:F$500),
  _xlfn.IFNA(_xlpm.result, "")
)</f>
        <v/>
      </c>
      <c r="H178" t="str">
        <f>_xlfn.LET(
  _xlpm.result, _xlfn.XLOOKUP($B178, Result_Database!$A$2:$A$500, Result_Database!G$2:G$500),
  _xlfn.IFNA(_xlpm.result, "")
)</f>
        <v/>
      </c>
      <c r="I178" t="str">
        <f>_xlfn.LET(
  _xlpm.result, _xlfn.XLOOKUP($B178, Result_Database!$A$2:$A$500, Result_Database!H$2:H$500),
  _xlfn.IFNA(_xlpm.result, "")
)</f>
        <v/>
      </c>
      <c r="J178" t="str">
        <f>_xlfn.LET(
  _xlpm.result, _xlfn.XLOOKUP($B178, Result_Database!$A$2:$A$500, Result_Database!I$2:I$500),
  _xlfn.IFNA(_xlpm.result, "")
)</f>
        <v/>
      </c>
      <c r="K178" t="str">
        <f>_xlfn.LET(
  _xlpm.result, _xlfn.XLOOKUP($B178, Result_Database!$A$2:$A$500, Result_Database!J$2:J$500),
  _xlfn.IFNA(_xlpm.result, "")
)</f>
        <v/>
      </c>
      <c r="L178" t="str">
        <f>_xlfn.LET(
  _xlpm.result, _xlfn.XLOOKUP($B178, Result_Database!$A$2:$A$500, Result_Database!K$2:K$500),
  _xlfn.IFNA(_xlpm.result, "")
)</f>
        <v/>
      </c>
      <c r="M178" t="str">
        <f>_xlfn.LET(
  _xlpm.result, _xlfn.XLOOKUP($B178, Result_Database!$A$2:$A$500, Result_Database!L$2:L$500),
  _xlfn.IFNA(_xlpm.result, "")
)</f>
        <v/>
      </c>
      <c r="N178" t="str">
        <f>_xlfn.LET(
  _xlpm.result, _xlfn.XLOOKUP($B178, Result_Database!$A$2:$A$500, Result_Database!M$2:M$500),
  _xlfn.IFNA(_xlpm.result, "")
)</f>
        <v/>
      </c>
      <c r="O178" t="str">
        <f>_xlfn.LET(
  _xlpm.result, _xlfn.XLOOKUP($B178, Result_Database!$A$2:$A$500, Result_Database!N$2:N$500),
  _xlfn.IFNA(_xlpm.result, "")
)</f>
        <v/>
      </c>
      <c r="P178" t="str">
        <f>_xlfn.LET(
  _xlpm.result, _xlfn.XLOOKUP($B178, Result_Database!$A$2:$A$500, Result_Database!O$2:O$500),
  _xlfn.IFNA(_xlpm.result, "")
)</f>
        <v/>
      </c>
      <c r="Q178" t="str">
        <f>_xlfn.LET(
  _xlpm.result, _xlfn.XLOOKUP($B178, Result_Database!$A$2:$A$500, Result_Database!P$2:P$500),
  _xlfn.IFNA(_xlpm.result, "")
)</f>
        <v/>
      </c>
      <c r="R178" t="str">
        <f>_xlfn.LET(
  _xlpm.result, _xlfn.XLOOKUP($B178, Result_Database!$A$2:$A$500, Result_Database!Q$2:Q$500),
  _xlfn.IFNA(_xlpm.result, "")
)</f>
        <v/>
      </c>
      <c r="S178" t="str">
        <f>_xlfn.LET(
  _xlpm.result, _xlfn.XLOOKUP($B178, Result_Database!$A$2:$A$500, Result_Database!R$2:R$500),
  _xlfn.IFNA(_xlpm.result, "")
)</f>
        <v/>
      </c>
      <c r="T178" t="str">
        <f>_xlfn.LET(
  _xlpm.result, _xlfn.XLOOKUP($B178, Result_Database!$A$2:$A$500, Result_Database!S$2:S$500),
  _xlfn.IFNA(_xlpm.result, "")
)</f>
        <v/>
      </c>
      <c r="U178" t="str">
        <f>_xlfn.LET(
  _xlpm.result, _xlfn.XLOOKUP($B178, Result_Database!$A$2:$A$500, Result_Database!T$2:T$500),
  _xlfn.IFNA(_xlpm.result, "")
)</f>
        <v/>
      </c>
      <c r="V178" t="str">
        <f>_xlfn.LET(
  _xlpm.result, _xlfn.XLOOKUP($B178, Result_Database!$A$2:$A$500, Result_Database!U$2:U$500),
  _xlfn.IFNA(_xlpm.result, "")
)</f>
        <v/>
      </c>
      <c r="W178" t="str">
        <f>_xlfn.LET(
  _xlpm.result, _xlfn.XLOOKUP($B178, Result_Database!$A$2:$A$500, Result_Database!V$2:V$500),
  _xlfn.IFNA(_xlpm.result, "")
)</f>
        <v/>
      </c>
      <c r="X178" t="str">
        <f>_xlfn.LET(
  _xlpm.result, _xlfn.XLOOKUP($B178, Result_Database!$A$2:$A$500, Result_Database!W$2:W$500),
  _xlfn.IFNA(_xlpm.result, "")
)</f>
        <v/>
      </c>
      <c r="Y178" t="str">
        <f>_xlfn.LET(
  _xlpm.result, _xlfn.XLOOKUP($B178, Result_Database!$A$2:$A$500, Result_Database!X$2:X$500),
  _xlfn.IFNA(_xlpm.result, "")
)</f>
        <v/>
      </c>
      <c r="Z178" t="str">
        <f>_xlfn.LET(
  _xlpm.result, _xlfn.XLOOKUP($B178, Result_Database!$A$2:$A$500, Result_Database!Y$2:Y$500),
  _xlfn.IFNA(_xlpm.result, "")
)</f>
        <v/>
      </c>
      <c r="AA178" t="str">
        <f>_xlfn.LET(
  _xlpm.result, _xlfn.XLOOKUP($B178, Result_Database!$A$2:$A$500, Result_Database!Z$2:Z$500),
  _xlfn.IFNA(_xlpm.result, "")
)</f>
        <v/>
      </c>
      <c r="AB178" t="str">
        <f>_xlfn.LET(
  _xlpm.result, _xlfn.XLOOKUP($B178, Result_Database!$A$2:$A$500, Result_Database!AA$2:AA$500),
  _xlfn.IFNA(_xlpm.result, "")
)</f>
        <v/>
      </c>
      <c r="AC178" t="str">
        <f>_xlfn.LET(
  _xlpm.result, _xlfn.XLOOKUP($B178, Result_Database!$A$2:$A$500, Result_Database!AB$2:AB$500),
  _xlfn.IFNA(_xlpm.result, "")
)</f>
        <v/>
      </c>
      <c r="AD178" t="str">
        <f>_xlfn.LET(
  _xlpm.result, _xlfn.XLOOKUP($B178, Result_Database!$A$2:$A$500, Result_Database!AC$2:AC$500),
  _xlfn.IFNA(_xlpm.result, "")
)</f>
        <v/>
      </c>
      <c r="AE178" t="str">
        <f>_xlfn.LET(
  _xlpm.result, _xlfn.XLOOKUP($B178, Result_Database!$A$2:$A$500, Result_Database!AD$2:AD$500),
  _xlfn.IFNA(_xlpm.result, "")
)</f>
        <v/>
      </c>
      <c r="AF178" t="str">
        <f>_xlfn.LET(
  _xlpm.result, _xlfn.XLOOKUP($B178, Result_Database!$A$2:$A$500, Result_Database!AE$2:AE$500),
  _xlfn.IFNA(_xlpm.result, "")
)</f>
        <v/>
      </c>
      <c r="AG178" t="str">
        <f>_xlfn.LET(
  _xlpm.result, _xlfn.XLOOKUP($B178, Result_Database!$A$2:$A$500, Result_Database!AF$2:AF$500),
  _xlfn.IFNA(_xlpm.result, "")
)</f>
        <v/>
      </c>
      <c r="AH178" t="str">
        <f>_xlfn.LET(
  _xlpm.result, _xlfn.XLOOKUP($B178, Result_Database!$A$2:$A$500, Result_Database!AG$2:AG$500),
  _xlfn.IFNA(_xlpm.result, "")
)</f>
        <v/>
      </c>
      <c r="AI178" t="str">
        <f>_xlfn.LET(
  _xlpm.result, _xlfn.XLOOKUP($B178, Result_Database!$A$2:$A$500, Result_Database!AH$2:AH$500),
  _xlfn.IFNA(_xlpm.result, "")
)</f>
        <v/>
      </c>
      <c r="AJ178" t="str">
        <f>_xlfn.LET(
  _xlpm.result, _xlfn.XLOOKUP($B178, Result_Database!$A$2:$A$500, Result_Database!AI$2:AI$500),
  _xlfn.IFNA(_xlpm.result, "")
)</f>
        <v/>
      </c>
      <c r="AK178" t="str">
        <f>_xlfn.LET(
  _xlpm.result, _xlfn.XLOOKUP($B178, Result_Database!$A$2:$A$500, Result_Database!AJ$2:AJ$500),
  _xlfn.IFNA(_xlpm.result, "")
)</f>
        <v/>
      </c>
      <c r="AL178" t="str">
        <f>_xlfn.LET(
  _xlpm.result, _xlfn.XLOOKUP($B178, Result_Database!$A$2:$A$500, Result_Database!AK$2:AK$500),
  _xlfn.IFNA(_xlpm.result, "")
)</f>
        <v/>
      </c>
      <c r="AM17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7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7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7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7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7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7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7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7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78" t="str">
        <f>IF(SUM(Table5[[#This Row],[A1]:[C6]])&lt;&gt;0,SUM(Table5[[#This Row],[A1]:[C6]]),"")</f>
        <v/>
      </c>
      <c r="AW178" t="str">
        <f>IF(SUM(Table5[[#This Row],[D7]:[F9]])=0,"",SUM(Table5[[#This Row],[D7]:[F9]]))</f>
        <v/>
      </c>
      <c r="AX17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7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7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7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7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7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78" t="str">
        <f>IF(COUNTIF(Table5[[#This Row],[English Language]:[Electrical/ Electronics]],"WITHHELD")=0,"",COUNTIF(Table5[[#This Row],[English Language]:[Electrical/ Electronics]],"WITHHELD"))</f>
        <v/>
      </c>
      <c r="BE178" t="str">
        <f>IF(SUM(Table5[[#This Row],[NO OF CREDITS]:[BELOW CREDITS]])=0,"",SUM(Table5[[#This Row],[NO OF CREDITS]:[BELOW CREDITS]]))</f>
        <v/>
      </c>
    </row>
    <row r="179" spans="1:57" x14ac:dyDescent="0.3">
      <c r="A179" t="str">
        <f>IF(B179&lt;&gt;"",COUNTA($B$6:B179),"")</f>
        <v/>
      </c>
      <c r="B179" t="str">
        <f>IF(Result_Database!A175="","",Result_Database!A175)</f>
        <v/>
      </c>
      <c r="C179" t="str">
        <f>_xlfn.LET(
_xlpm.result,_xlfn.XLOOKUP($B179,Result_Database!$A$2:$A$500,Result_Database!$B$2:$B$500),
_xlfn.IFNA(_xlpm.result,"")
)</f>
        <v/>
      </c>
      <c r="D179" t="str">
        <f>_xlfn.LET(
  _xlpm.result, _xlfn.XLOOKUP($B179, Result_Database!$A$2:$A$500, Result_Database!C$2:C$500),
  _xlfn.IFNA(_xlpm.result, "")
)</f>
        <v/>
      </c>
      <c r="E179" t="str">
        <f>_xlfn.LET(
  _xlpm.result, _xlfn.XLOOKUP($B179, Result_Database!$A$2:$A$500, Result_Database!D$2:D$500),
  _xlfn.IFNA(_xlpm.result, "")
)</f>
        <v/>
      </c>
      <c r="F179" t="str">
        <f>_xlfn.LET(
  _xlpm.result, _xlfn.XLOOKUP($B179, Result_Database!$A$2:$A$500, Result_Database!E$2:E$500),
  _xlfn.IFNA(_xlpm.result, "")
)</f>
        <v/>
      </c>
      <c r="G179" t="str">
        <f>_xlfn.LET(
  _xlpm.result, _xlfn.XLOOKUP($B179, Result_Database!$A$2:$A$500, Result_Database!F$2:F$500),
  _xlfn.IFNA(_xlpm.result, "")
)</f>
        <v/>
      </c>
      <c r="H179" t="str">
        <f>_xlfn.LET(
  _xlpm.result, _xlfn.XLOOKUP($B179, Result_Database!$A$2:$A$500, Result_Database!G$2:G$500),
  _xlfn.IFNA(_xlpm.result, "")
)</f>
        <v/>
      </c>
      <c r="I179" t="str">
        <f>_xlfn.LET(
  _xlpm.result, _xlfn.XLOOKUP($B179, Result_Database!$A$2:$A$500, Result_Database!H$2:H$500),
  _xlfn.IFNA(_xlpm.result, "")
)</f>
        <v/>
      </c>
      <c r="J179" t="str">
        <f>_xlfn.LET(
  _xlpm.result, _xlfn.XLOOKUP($B179, Result_Database!$A$2:$A$500, Result_Database!I$2:I$500),
  _xlfn.IFNA(_xlpm.result, "")
)</f>
        <v/>
      </c>
      <c r="K179" t="str">
        <f>_xlfn.LET(
  _xlpm.result, _xlfn.XLOOKUP($B179, Result_Database!$A$2:$A$500, Result_Database!J$2:J$500),
  _xlfn.IFNA(_xlpm.result, "")
)</f>
        <v/>
      </c>
      <c r="L179" t="str">
        <f>_xlfn.LET(
  _xlpm.result, _xlfn.XLOOKUP($B179, Result_Database!$A$2:$A$500, Result_Database!K$2:K$500),
  _xlfn.IFNA(_xlpm.result, "")
)</f>
        <v/>
      </c>
      <c r="M179" t="str">
        <f>_xlfn.LET(
  _xlpm.result, _xlfn.XLOOKUP($B179, Result_Database!$A$2:$A$500, Result_Database!L$2:L$500),
  _xlfn.IFNA(_xlpm.result, "")
)</f>
        <v/>
      </c>
      <c r="N179" t="str">
        <f>_xlfn.LET(
  _xlpm.result, _xlfn.XLOOKUP($B179, Result_Database!$A$2:$A$500, Result_Database!M$2:M$500),
  _xlfn.IFNA(_xlpm.result, "")
)</f>
        <v/>
      </c>
      <c r="O179" t="str">
        <f>_xlfn.LET(
  _xlpm.result, _xlfn.XLOOKUP($B179, Result_Database!$A$2:$A$500, Result_Database!N$2:N$500),
  _xlfn.IFNA(_xlpm.result, "")
)</f>
        <v/>
      </c>
      <c r="P179" t="str">
        <f>_xlfn.LET(
  _xlpm.result, _xlfn.XLOOKUP($B179, Result_Database!$A$2:$A$500, Result_Database!O$2:O$500),
  _xlfn.IFNA(_xlpm.result, "")
)</f>
        <v/>
      </c>
      <c r="Q179" t="str">
        <f>_xlfn.LET(
  _xlpm.result, _xlfn.XLOOKUP($B179, Result_Database!$A$2:$A$500, Result_Database!P$2:P$500),
  _xlfn.IFNA(_xlpm.result, "")
)</f>
        <v/>
      </c>
      <c r="R179" t="str">
        <f>_xlfn.LET(
  _xlpm.result, _xlfn.XLOOKUP($B179, Result_Database!$A$2:$A$500, Result_Database!Q$2:Q$500),
  _xlfn.IFNA(_xlpm.result, "")
)</f>
        <v/>
      </c>
      <c r="S179" t="str">
        <f>_xlfn.LET(
  _xlpm.result, _xlfn.XLOOKUP($B179, Result_Database!$A$2:$A$500, Result_Database!R$2:R$500),
  _xlfn.IFNA(_xlpm.result, "")
)</f>
        <v/>
      </c>
      <c r="T179" t="str">
        <f>_xlfn.LET(
  _xlpm.result, _xlfn.XLOOKUP($B179, Result_Database!$A$2:$A$500, Result_Database!S$2:S$500),
  _xlfn.IFNA(_xlpm.result, "")
)</f>
        <v/>
      </c>
      <c r="U179" t="str">
        <f>_xlfn.LET(
  _xlpm.result, _xlfn.XLOOKUP($B179, Result_Database!$A$2:$A$500, Result_Database!T$2:T$500),
  _xlfn.IFNA(_xlpm.result, "")
)</f>
        <v/>
      </c>
      <c r="V179" t="str">
        <f>_xlfn.LET(
  _xlpm.result, _xlfn.XLOOKUP($B179, Result_Database!$A$2:$A$500, Result_Database!U$2:U$500),
  _xlfn.IFNA(_xlpm.result, "")
)</f>
        <v/>
      </c>
      <c r="W179" t="str">
        <f>_xlfn.LET(
  _xlpm.result, _xlfn.XLOOKUP($B179, Result_Database!$A$2:$A$500, Result_Database!V$2:V$500),
  _xlfn.IFNA(_xlpm.result, "")
)</f>
        <v/>
      </c>
      <c r="X179" t="str">
        <f>_xlfn.LET(
  _xlpm.result, _xlfn.XLOOKUP($B179, Result_Database!$A$2:$A$500, Result_Database!W$2:W$500),
  _xlfn.IFNA(_xlpm.result, "")
)</f>
        <v/>
      </c>
      <c r="Y179" t="str">
        <f>_xlfn.LET(
  _xlpm.result, _xlfn.XLOOKUP($B179, Result_Database!$A$2:$A$500, Result_Database!X$2:X$500),
  _xlfn.IFNA(_xlpm.result, "")
)</f>
        <v/>
      </c>
      <c r="Z179" t="str">
        <f>_xlfn.LET(
  _xlpm.result, _xlfn.XLOOKUP($B179, Result_Database!$A$2:$A$500, Result_Database!Y$2:Y$500),
  _xlfn.IFNA(_xlpm.result, "")
)</f>
        <v/>
      </c>
      <c r="AA179" t="str">
        <f>_xlfn.LET(
  _xlpm.result, _xlfn.XLOOKUP($B179, Result_Database!$A$2:$A$500, Result_Database!Z$2:Z$500),
  _xlfn.IFNA(_xlpm.result, "")
)</f>
        <v/>
      </c>
      <c r="AB179" t="str">
        <f>_xlfn.LET(
  _xlpm.result, _xlfn.XLOOKUP($B179, Result_Database!$A$2:$A$500, Result_Database!AA$2:AA$500),
  _xlfn.IFNA(_xlpm.result, "")
)</f>
        <v/>
      </c>
      <c r="AC179" t="str">
        <f>_xlfn.LET(
  _xlpm.result, _xlfn.XLOOKUP($B179, Result_Database!$A$2:$A$500, Result_Database!AB$2:AB$500),
  _xlfn.IFNA(_xlpm.result, "")
)</f>
        <v/>
      </c>
      <c r="AD179" t="str">
        <f>_xlfn.LET(
  _xlpm.result, _xlfn.XLOOKUP($B179, Result_Database!$A$2:$A$500, Result_Database!AC$2:AC$500),
  _xlfn.IFNA(_xlpm.result, "")
)</f>
        <v/>
      </c>
      <c r="AE179" t="str">
        <f>_xlfn.LET(
  _xlpm.result, _xlfn.XLOOKUP($B179, Result_Database!$A$2:$A$500, Result_Database!AD$2:AD$500),
  _xlfn.IFNA(_xlpm.result, "")
)</f>
        <v/>
      </c>
      <c r="AF179" t="str">
        <f>_xlfn.LET(
  _xlpm.result, _xlfn.XLOOKUP($B179, Result_Database!$A$2:$A$500, Result_Database!AE$2:AE$500),
  _xlfn.IFNA(_xlpm.result, "")
)</f>
        <v/>
      </c>
      <c r="AG179" t="str">
        <f>_xlfn.LET(
  _xlpm.result, _xlfn.XLOOKUP($B179, Result_Database!$A$2:$A$500, Result_Database!AF$2:AF$500),
  _xlfn.IFNA(_xlpm.result, "")
)</f>
        <v/>
      </c>
      <c r="AH179" t="str">
        <f>_xlfn.LET(
  _xlpm.result, _xlfn.XLOOKUP($B179, Result_Database!$A$2:$A$500, Result_Database!AG$2:AG$500),
  _xlfn.IFNA(_xlpm.result, "")
)</f>
        <v/>
      </c>
      <c r="AI179" t="str">
        <f>_xlfn.LET(
  _xlpm.result, _xlfn.XLOOKUP($B179, Result_Database!$A$2:$A$500, Result_Database!AH$2:AH$500),
  _xlfn.IFNA(_xlpm.result, "")
)</f>
        <v/>
      </c>
      <c r="AJ179" t="str">
        <f>_xlfn.LET(
  _xlpm.result, _xlfn.XLOOKUP($B179, Result_Database!$A$2:$A$500, Result_Database!AI$2:AI$500),
  _xlfn.IFNA(_xlpm.result, "")
)</f>
        <v/>
      </c>
      <c r="AK179" t="str">
        <f>_xlfn.LET(
  _xlpm.result, _xlfn.XLOOKUP($B179, Result_Database!$A$2:$A$500, Result_Database!AJ$2:AJ$500),
  _xlfn.IFNA(_xlpm.result, "")
)</f>
        <v/>
      </c>
      <c r="AL179" t="str">
        <f>_xlfn.LET(
  _xlpm.result, _xlfn.XLOOKUP($B179, Result_Database!$A$2:$A$500, Result_Database!AK$2:AK$500),
  _xlfn.IFNA(_xlpm.result, "")
)</f>
        <v/>
      </c>
      <c r="AM17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7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7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7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7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7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7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7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7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79" t="str">
        <f>IF(SUM(Table5[[#This Row],[A1]:[C6]])&lt;&gt;0,SUM(Table5[[#This Row],[A1]:[C6]]),"")</f>
        <v/>
      </c>
      <c r="AW179" t="str">
        <f>IF(SUM(Table5[[#This Row],[D7]:[F9]])=0,"",SUM(Table5[[#This Row],[D7]:[F9]]))</f>
        <v/>
      </c>
      <c r="AX17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7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7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7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7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7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79" t="str">
        <f>IF(COUNTIF(Table5[[#This Row],[English Language]:[Electrical/ Electronics]],"WITHHELD")=0,"",COUNTIF(Table5[[#This Row],[English Language]:[Electrical/ Electronics]],"WITHHELD"))</f>
        <v/>
      </c>
      <c r="BE179" t="str">
        <f>IF(SUM(Table5[[#This Row],[NO OF CREDITS]:[BELOW CREDITS]])=0,"",SUM(Table5[[#This Row],[NO OF CREDITS]:[BELOW CREDITS]]))</f>
        <v/>
      </c>
    </row>
    <row r="180" spans="1:57" x14ac:dyDescent="0.3">
      <c r="A180" t="str">
        <f>IF(B180&lt;&gt;"",COUNTA($B$6:B180),"")</f>
        <v/>
      </c>
      <c r="B180" t="str">
        <f>IF(Result_Database!A176="","",Result_Database!A176)</f>
        <v/>
      </c>
      <c r="C180" t="str">
        <f>_xlfn.LET(
_xlpm.result,_xlfn.XLOOKUP($B180,Result_Database!$A$2:$A$500,Result_Database!$B$2:$B$500),
_xlfn.IFNA(_xlpm.result,"")
)</f>
        <v/>
      </c>
      <c r="D180" t="str">
        <f>_xlfn.LET(
  _xlpm.result, _xlfn.XLOOKUP($B180, Result_Database!$A$2:$A$500, Result_Database!C$2:C$500),
  _xlfn.IFNA(_xlpm.result, "")
)</f>
        <v/>
      </c>
      <c r="E180" t="str">
        <f>_xlfn.LET(
  _xlpm.result, _xlfn.XLOOKUP($B180, Result_Database!$A$2:$A$500, Result_Database!D$2:D$500),
  _xlfn.IFNA(_xlpm.result, "")
)</f>
        <v/>
      </c>
      <c r="F180" t="str">
        <f>_xlfn.LET(
  _xlpm.result, _xlfn.XLOOKUP($B180, Result_Database!$A$2:$A$500, Result_Database!E$2:E$500),
  _xlfn.IFNA(_xlpm.result, "")
)</f>
        <v/>
      </c>
      <c r="G180" t="str">
        <f>_xlfn.LET(
  _xlpm.result, _xlfn.XLOOKUP($B180, Result_Database!$A$2:$A$500, Result_Database!F$2:F$500),
  _xlfn.IFNA(_xlpm.result, "")
)</f>
        <v/>
      </c>
      <c r="H180" t="str">
        <f>_xlfn.LET(
  _xlpm.result, _xlfn.XLOOKUP($B180, Result_Database!$A$2:$A$500, Result_Database!G$2:G$500),
  _xlfn.IFNA(_xlpm.result, "")
)</f>
        <v/>
      </c>
      <c r="I180" t="str">
        <f>_xlfn.LET(
  _xlpm.result, _xlfn.XLOOKUP($B180, Result_Database!$A$2:$A$500, Result_Database!H$2:H$500),
  _xlfn.IFNA(_xlpm.result, "")
)</f>
        <v/>
      </c>
      <c r="J180" t="str">
        <f>_xlfn.LET(
  _xlpm.result, _xlfn.XLOOKUP($B180, Result_Database!$A$2:$A$500, Result_Database!I$2:I$500),
  _xlfn.IFNA(_xlpm.result, "")
)</f>
        <v/>
      </c>
      <c r="K180" t="str">
        <f>_xlfn.LET(
  _xlpm.result, _xlfn.XLOOKUP($B180, Result_Database!$A$2:$A$500, Result_Database!J$2:J$500),
  _xlfn.IFNA(_xlpm.result, "")
)</f>
        <v/>
      </c>
      <c r="L180" t="str">
        <f>_xlfn.LET(
  _xlpm.result, _xlfn.XLOOKUP($B180, Result_Database!$A$2:$A$500, Result_Database!K$2:K$500),
  _xlfn.IFNA(_xlpm.result, "")
)</f>
        <v/>
      </c>
      <c r="M180" t="str">
        <f>_xlfn.LET(
  _xlpm.result, _xlfn.XLOOKUP($B180, Result_Database!$A$2:$A$500, Result_Database!L$2:L$500),
  _xlfn.IFNA(_xlpm.result, "")
)</f>
        <v/>
      </c>
      <c r="N180" t="str">
        <f>_xlfn.LET(
  _xlpm.result, _xlfn.XLOOKUP($B180, Result_Database!$A$2:$A$500, Result_Database!M$2:M$500),
  _xlfn.IFNA(_xlpm.result, "")
)</f>
        <v/>
      </c>
      <c r="O180" t="str">
        <f>_xlfn.LET(
  _xlpm.result, _xlfn.XLOOKUP($B180, Result_Database!$A$2:$A$500, Result_Database!N$2:N$500),
  _xlfn.IFNA(_xlpm.result, "")
)</f>
        <v/>
      </c>
      <c r="P180" t="str">
        <f>_xlfn.LET(
  _xlpm.result, _xlfn.XLOOKUP($B180, Result_Database!$A$2:$A$500, Result_Database!O$2:O$500),
  _xlfn.IFNA(_xlpm.result, "")
)</f>
        <v/>
      </c>
      <c r="Q180" t="str">
        <f>_xlfn.LET(
  _xlpm.result, _xlfn.XLOOKUP($B180, Result_Database!$A$2:$A$500, Result_Database!P$2:P$500),
  _xlfn.IFNA(_xlpm.result, "")
)</f>
        <v/>
      </c>
      <c r="R180" t="str">
        <f>_xlfn.LET(
  _xlpm.result, _xlfn.XLOOKUP($B180, Result_Database!$A$2:$A$500, Result_Database!Q$2:Q$500),
  _xlfn.IFNA(_xlpm.result, "")
)</f>
        <v/>
      </c>
      <c r="S180" t="str">
        <f>_xlfn.LET(
  _xlpm.result, _xlfn.XLOOKUP($B180, Result_Database!$A$2:$A$500, Result_Database!R$2:R$500),
  _xlfn.IFNA(_xlpm.result, "")
)</f>
        <v/>
      </c>
      <c r="T180" t="str">
        <f>_xlfn.LET(
  _xlpm.result, _xlfn.XLOOKUP($B180, Result_Database!$A$2:$A$500, Result_Database!S$2:S$500),
  _xlfn.IFNA(_xlpm.result, "")
)</f>
        <v/>
      </c>
      <c r="U180" t="str">
        <f>_xlfn.LET(
  _xlpm.result, _xlfn.XLOOKUP($B180, Result_Database!$A$2:$A$500, Result_Database!T$2:T$500),
  _xlfn.IFNA(_xlpm.result, "")
)</f>
        <v/>
      </c>
      <c r="V180" t="str">
        <f>_xlfn.LET(
  _xlpm.result, _xlfn.XLOOKUP($B180, Result_Database!$A$2:$A$500, Result_Database!U$2:U$500),
  _xlfn.IFNA(_xlpm.result, "")
)</f>
        <v/>
      </c>
      <c r="W180" t="str">
        <f>_xlfn.LET(
  _xlpm.result, _xlfn.XLOOKUP($B180, Result_Database!$A$2:$A$500, Result_Database!V$2:V$500),
  _xlfn.IFNA(_xlpm.result, "")
)</f>
        <v/>
      </c>
      <c r="X180" t="str">
        <f>_xlfn.LET(
  _xlpm.result, _xlfn.XLOOKUP($B180, Result_Database!$A$2:$A$500, Result_Database!W$2:W$500),
  _xlfn.IFNA(_xlpm.result, "")
)</f>
        <v/>
      </c>
      <c r="Y180" t="str">
        <f>_xlfn.LET(
  _xlpm.result, _xlfn.XLOOKUP($B180, Result_Database!$A$2:$A$500, Result_Database!X$2:X$500),
  _xlfn.IFNA(_xlpm.result, "")
)</f>
        <v/>
      </c>
      <c r="Z180" t="str">
        <f>_xlfn.LET(
  _xlpm.result, _xlfn.XLOOKUP($B180, Result_Database!$A$2:$A$500, Result_Database!Y$2:Y$500),
  _xlfn.IFNA(_xlpm.result, "")
)</f>
        <v/>
      </c>
      <c r="AA180" t="str">
        <f>_xlfn.LET(
  _xlpm.result, _xlfn.XLOOKUP($B180, Result_Database!$A$2:$A$500, Result_Database!Z$2:Z$500),
  _xlfn.IFNA(_xlpm.result, "")
)</f>
        <v/>
      </c>
      <c r="AB180" t="str">
        <f>_xlfn.LET(
  _xlpm.result, _xlfn.XLOOKUP($B180, Result_Database!$A$2:$A$500, Result_Database!AA$2:AA$500),
  _xlfn.IFNA(_xlpm.result, "")
)</f>
        <v/>
      </c>
      <c r="AC180" t="str">
        <f>_xlfn.LET(
  _xlpm.result, _xlfn.XLOOKUP($B180, Result_Database!$A$2:$A$500, Result_Database!AB$2:AB$500),
  _xlfn.IFNA(_xlpm.result, "")
)</f>
        <v/>
      </c>
      <c r="AD180" t="str">
        <f>_xlfn.LET(
  _xlpm.result, _xlfn.XLOOKUP($B180, Result_Database!$A$2:$A$500, Result_Database!AC$2:AC$500),
  _xlfn.IFNA(_xlpm.result, "")
)</f>
        <v/>
      </c>
      <c r="AE180" t="str">
        <f>_xlfn.LET(
  _xlpm.result, _xlfn.XLOOKUP($B180, Result_Database!$A$2:$A$500, Result_Database!AD$2:AD$500),
  _xlfn.IFNA(_xlpm.result, "")
)</f>
        <v/>
      </c>
      <c r="AF180" t="str">
        <f>_xlfn.LET(
  _xlpm.result, _xlfn.XLOOKUP($B180, Result_Database!$A$2:$A$500, Result_Database!AE$2:AE$500),
  _xlfn.IFNA(_xlpm.result, "")
)</f>
        <v/>
      </c>
      <c r="AG180" t="str">
        <f>_xlfn.LET(
  _xlpm.result, _xlfn.XLOOKUP($B180, Result_Database!$A$2:$A$500, Result_Database!AF$2:AF$500),
  _xlfn.IFNA(_xlpm.result, "")
)</f>
        <v/>
      </c>
      <c r="AH180" t="str">
        <f>_xlfn.LET(
  _xlpm.result, _xlfn.XLOOKUP($B180, Result_Database!$A$2:$A$500, Result_Database!AG$2:AG$500),
  _xlfn.IFNA(_xlpm.result, "")
)</f>
        <v/>
      </c>
      <c r="AI180" t="str">
        <f>_xlfn.LET(
  _xlpm.result, _xlfn.XLOOKUP($B180, Result_Database!$A$2:$A$500, Result_Database!AH$2:AH$500),
  _xlfn.IFNA(_xlpm.result, "")
)</f>
        <v/>
      </c>
      <c r="AJ180" t="str">
        <f>_xlfn.LET(
  _xlpm.result, _xlfn.XLOOKUP($B180, Result_Database!$A$2:$A$500, Result_Database!AI$2:AI$500),
  _xlfn.IFNA(_xlpm.result, "")
)</f>
        <v/>
      </c>
      <c r="AK180" t="str">
        <f>_xlfn.LET(
  _xlpm.result, _xlfn.XLOOKUP($B180, Result_Database!$A$2:$A$500, Result_Database!AJ$2:AJ$500),
  _xlfn.IFNA(_xlpm.result, "")
)</f>
        <v/>
      </c>
      <c r="AL180" t="str">
        <f>_xlfn.LET(
  _xlpm.result, _xlfn.XLOOKUP($B180, Result_Database!$A$2:$A$500, Result_Database!AK$2:AK$500),
  _xlfn.IFNA(_xlpm.result, "")
)</f>
        <v/>
      </c>
      <c r="AM18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8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8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8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8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8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8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8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8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80" t="str">
        <f>IF(SUM(Table5[[#This Row],[A1]:[C6]])&lt;&gt;0,SUM(Table5[[#This Row],[A1]:[C6]]),"")</f>
        <v/>
      </c>
      <c r="AW180" t="str">
        <f>IF(SUM(Table5[[#This Row],[D7]:[F9]])=0,"",SUM(Table5[[#This Row],[D7]:[F9]]))</f>
        <v/>
      </c>
      <c r="AX18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8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8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8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8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8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80" t="str">
        <f>IF(COUNTIF(Table5[[#This Row],[English Language]:[Electrical/ Electronics]],"WITHHELD")=0,"",COUNTIF(Table5[[#This Row],[English Language]:[Electrical/ Electronics]],"WITHHELD"))</f>
        <v/>
      </c>
      <c r="BE180" t="str">
        <f>IF(SUM(Table5[[#This Row],[NO OF CREDITS]:[BELOW CREDITS]])=0,"",SUM(Table5[[#This Row],[NO OF CREDITS]:[BELOW CREDITS]]))</f>
        <v/>
      </c>
    </row>
    <row r="181" spans="1:57" x14ac:dyDescent="0.3">
      <c r="A181" t="str">
        <f>IF(B181&lt;&gt;"",COUNTA($B$6:B181),"")</f>
        <v/>
      </c>
      <c r="B181" t="str">
        <f>IF(Result_Database!A177="","",Result_Database!A177)</f>
        <v/>
      </c>
      <c r="C181" t="str">
        <f>_xlfn.LET(
_xlpm.result,_xlfn.XLOOKUP($B181,Result_Database!$A$2:$A$500,Result_Database!$B$2:$B$500),
_xlfn.IFNA(_xlpm.result,"")
)</f>
        <v/>
      </c>
      <c r="D181" t="str">
        <f>_xlfn.LET(
  _xlpm.result, _xlfn.XLOOKUP($B181, Result_Database!$A$2:$A$500, Result_Database!C$2:C$500),
  _xlfn.IFNA(_xlpm.result, "")
)</f>
        <v/>
      </c>
      <c r="E181" t="str">
        <f>_xlfn.LET(
  _xlpm.result, _xlfn.XLOOKUP($B181, Result_Database!$A$2:$A$500, Result_Database!D$2:D$500),
  _xlfn.IFNA(_xlpm.result, "")
)</f>
        <v/>
      </c>
      <c r="F181" t="str">
        <f>_xlfn.LET(
  _xlpm.result, _xlfn.XLOOKUP($B181, Result_Database!$A$2:$A$500, Result_Database!E$2:E$500),
  _xlfn.IFNA(_xlpm.result, "")
)</f>
        <v/>
      </c>
      <c r="G181" t="str">
        <f>_xlfn.LET(
  _xlpm.result, _xlfn.XLOOKUP($B181, Result_Database!$A$2:$A$500, Result_Database!F$2:F$500),
  _xlfn.IFNA(_xlpm.result, "")
)</f>
        <v/>
      </c>
      <c r="H181" t="str">
        <f>_xlfn.LET(
  _xlpm.result, _xlfn.XLOOKUP($B181, Result_Database!$A$2:$A$500, Result_Database!G$2:G$500),
  _xlfn.IFNA(_xlpm.result, "")
)</f>
        <v/>
      </c>
      <c r="I181" t="str">
        <f>_xlfn.LET(
  _xlpm.result, _xlfn.XLOOKUP($B181, Result_Database!$A$2:$A$500, Result_Database!H$2:H$500),
  _xlfn.IFNA(_xlpm.result, "")
)</f>
        <v/>
      </c>
      <c r="J181" t="str">
        <f>_xlfn.LET(
  _xlpm.result, _xlfn.XLOOKUP($B181, Result_Database!$A$2:$A$500, Result_Database!I$2:I$500),
  _xlfn.IFNA(_xlpm.result, "")
)</f>
        <v/>
      </c>
      <c r="K181" t="str">
        <f>_xlfn.LET(
  _xlpm.result, _xlfn.XLOOKUP($B181, Result_Database!$A$2:$A$500, Result_Database!J$2:J$500),
  _xlfn.IFNA(_xlpm.result, "")
)</f>
        <v/>
      </c>
      <c r="L181" t="str">
        <f>_xlfn.LET(
  _xlpm.result, _xlfn.XLOOKUP($B181, Result_Database!$A$2:$A$500, Result_Database!K$2:K$500),
  _xlfn.IFNA(_xlpm.result, "")
)</f>
        <v/>
      </c>
      <c r="M181" t="str">
        <f>_xlfn.LET(
  _xlpm.result, _xlfn.XLOOKUP($B181, Result_Database!$A$2:$A$500, Result_Database!L$2:L$500),
  _xlfn.IFNA(_xlpm.result, "")
)</f>
        <v/>
      </c>
      <c r="N181" t="str">
        <f>_xlfn.LET(
  _xlpm.result, _xlfn.XLOOKUP($B181, Result_Database!$A$2:$A$500, Result_Database!M$2:M$500),
  _xlfn.IFNA(_xlpm.result, "")
)</f>
        <v/>
      </c>
      <c r="O181" t="str">
        <f>_xlfn.LET(
  _xlpm.result, _xlfn.XLOOKUP($B181, Result_Database!$A$2:$A$500, Result_Database!N$2:N$500),
  _xlfn.IFNA(_xlpm.result, "")
)</f>
        <v/>
      </c>
      <c r="P181" t="str">
        <f>_xlfn.LET(
  _xlpm.result, _xlfn.XLOOKUP($B181, Result_Database!$A$2:$A$500, Result_Database!O$2:O$500),
  _xlfn.IFNA(_xlpm.result, "")
)</f>
        <v/>
      </c>
      <c r="Q181" t="str">
        <f>_xlfn.LET(
  _xlpm.result, _xlfn.XLOOKUP($B181, Result_Database!$A$2:$A$500, Result_Database!P$2:P$500),
  _xlfn.IFNA(_xlpm.result, "")
)</f>
        <v/>
      </c>
      <c r="R181" t="str">
        <f>_xlfn.LET(
  _xlpm.result, _xlfn.XLOOKUP($B181, Result_Database!$A$2:$A$500, Result_Database!Q$2:Q$500),
  _xlfn.IFNA(_xlpm.result, "")
)</f>
        <v/>
      </c>
      <c r="S181" t="str">
        <f>_xlfn.LET(
  _xlpm.result, _xlfn.XLOOKUP($B181, Result_Database!$A$2:$A$500, Result_Database!R$2:R$500),
  _xlfn.IFNA(_xlpm.result, "")
)</f>
        <v/>
      </c>
      <c r="T181" t="str">
        <f>_xlfn.LET(
  _xlpm.result, _xlfn.XLOOKUP($B181, Result_Database!$A$2:$A$500, Result_Database!S$2:S$500),
  _xlfn.IFNA(_xlpm.result, "")
)</f>
        <v/>
      </c>
      <c r="U181" t="str">
        <f>_xlfn.LET(
  _xlpm.result, _xlfn.XLOOKUP($B181, Result_Database!$A$2:$A$500, Result_Database!T$2:T$500),
  _xlfn.IFNA(_xlpm.result, "")
)</f>
        <v/>
      </c>
      <c r="V181" t="str">
        <f>_xlfn.LET(
  _xlpm.result, _xlfn.XLOOKUP($B181, Result_Database!$A$2:$A$500, Result_Database!U$2:U$500),
  _xlfn.IFNA(_xlpm.result, "")
)</f>
        <v/>
      </c>
      <c r="W181" t="str">
        <f>_xlfn.LET(
  _xlpm.result, _xlfn.XLOOKUP($B181, Result_Database!$A$2:$A$500, Result_Database!V$2:V$500),
  _xlfn.IFNA(_xlpm.result, "")
)</f>
        <v/>
      </c>
      <c r="X181" t="str">
        <f>_xlfn.LET(
  _xlpm.result, _xlfn.XLOOKUP($B181, Result_Database!$A$2:$A$500, Result_Database!W$2:W$500),
  _xlfn.IFNA(_xlpm.result, "")
)</f>
        <v/>
      </c>
      <c r="Y181" t="str">
        <f>_xlfn.LET(
  _xlpm.result, _xlfn.XLOOKUP($B181, Result_Database!$A$2:$A$500, Result_Database!X$2:X$500),
  _xlfn.IFNA(_xlpm.result, "")
)</f>
        <v/>
      </c>
      <c r="Z181" t="str">
        <f>_xlfn.LET(
  _xlpm.result, _xlfn.XLOOKUP($B181, Result_Database!$A$2:$A$500, Result_Database!Y$2:Y$500),
  _xlfn.IFNA(_xlpm.result, "")
)</f>
        <v/>
      </c>
      <c r="AA181" t="str">
        <f>_xlfn.LET(
  _xlpm.result, _xlfn.XLOOKUP($B181, Result_Database!$A$2:$A$500, Result_Database!Z$2:Z$500),
  _xlfn.IFNA(_xlpm.result, "")
)</f>
        <v/>
      </c>
      <c r="AB181" t="str">
        <f>_xlfn.LET(
  _xlpm.result, _xlfn.XLOOKUP($B181, Result_Database!$A$2:$A$500, Result_Database!AA$2:AA$500),
  _xlfn.IFNA(_xlpm.result, "")
)</f>
        <v/>
      </c>
      <c r="AC181" t="str">
        <f>_xlfn.LET(
  _xlpm.result, _xlfn.XLOOKUP($B181, Result_Database!$A$2:$A$500, Result_Database!AB$2:AB$500),
  _xlfn.IFNA(_xlpm.result, "")
)</f>
        <v/>
      </c>
      <c r="AD181" t="str">
        <f>_xlfn.LET(
  _xlpm.result, _xlfn.XLOOKUP($B181, Result_Database!$A$2:$A$500, Result_Database!AC$2:AC$500),
  _xlfn.IFNA(_xlpm.result, "")
)</f>
        <v/>
      </c>
      <c r="AE181" t="str">
        <f>_xlfn.LET(
  _xlpm.result, _xlfn.XLOOKUP($B181, Result_Database!$A$2:$A$500, Result_Database!AD$2:AD$500),
  _xlfn.IFNA(_xlpm.result, "")
)</f>
        <v/>
      </c>
      <c r="AF181" t="str">
        <f>_xlfn.LET(
  _xlpm.result, _xlfn.XLOOKUP($B181, Result_Database!$A$2:$A$500, Result_Database!AE$2:AE$500),
  _xlfn.IFNA(_xlpm.result, "")
)</f>
        <v/>
      </c>
      <c r="AG181" t="str">
        <f>_xlfn.LET(
  _xlpm.result, _xlfn.XLOOKUP($B181, Result_Database!$A$2:$A$500, Result_Database!AF$2:AF$500),
  _xlfn.IFNA(_xlpm.result, "")
)</f>
        <v/>
      </c>
      <c r="AH181" t="str">
        <f>_xlfn.LET(
  _xlpm.result, _xlfn.XLOOKUP($B181, Result_Database!$A$2:$A$500, Result_Database!AG$2:AG$500),
  _xlfn.IFNA(_xlpm.result, "")
)</f>
        <v/>
      </c>
      <c r="AI181" t="str">
        <f>_xlfn.LET(
  _xlpm.result, _xlfn.XLOOKUP($B181, Result_Database!$A$2:$A$500, Result_Database!AH$2:AH$500),
  _xlfn.IFNA(_xlpm.result, "")
)</f>
        <v/>
      </c>
      <c r="AJ181" t="str">
        <f>_xlfn.LET(
  _xlpm.result, _xlfn.XLOOKUP($B181, Result_Database!$A$2:$A$500, Result_Database!AI$2:AI$500),
  _xlfn.IFNA(_xlpm.result, "")
)</f>
        <v/>
      </c>
      <c r="AK181" t="str">
        <f>_xlfn.LET(
  _xlpm.result, _xlfn.XLOOKUP($B181, Result_Database!$A$2:$A$500, Result_Database!AJ$2:AJ$500),
  _xlfn.IFNA(_xlpm.result, "")
)</f>
        <v/>
      </c>
      <c r="AL181" t="str">
        <f>_xlfn.LET(
  _xlpm.result, _xlfn.XLOOKUP($B181, Result_Database!$A$2:$A$500, Result_Database!AK$2:AK$500),
  _xlfn.IFNA(_xlpm.result, "")
)</f>
        <v/>
      </c>
      <c r="AM18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8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8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8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8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8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8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8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8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81" t="str">
        <f>IF(SUM(Table5[[#This Row],[A1]:[C6]])&lt;&gt;0,SUM(Table5[[#This Row],[A1]:[C6]]),"")</f>
        <v/>
      </c>
      <c r="AW181" t="str">
        <f>IF(SUM(Table5[[#This Row],[D7]:[F9]])=0,"",SUM(Table5[[#This Row],[D7]:[F9]]))</f>
        <v/>
      </c>
      <c r="AX18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8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8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8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8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8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81" t="str">
        <f>IF(COUNTIF(Table5[[#This Row],[English Language]:[Electrical/ Electronics]],"WITHHELD")=0,"",COUNTIF(Table5[[#This Row],[English Language]:[Electrical/ Electronics]],"WITHHELD"))</f>
        <v/>
      </c>
      <c r="BE181" t="str">
        <f>IF(SUM(Table5[[#This Row],[NO OF CREDITS]:[BELOW CREDITS]])=0,"",SUM(Table5[[#This Row],[NO OF CREDITS]:[BELOW CREDITS]]))</f>
        <v/>
      </c>
    </row>
    <row r="182" spans="1:57" x14ac:dyDescent="0.3">
      <c r="A182" t="str">
        <f>IF(B182&lt;&gt;"",COUNTA($B$6:B182),"")</f>
        <v/>
      </c>
      <c r="B182" t="str">
        <f>IF(Result_Database!A178="","",Result_Database!A178)</f>
        <v/>
      </c>
      <c r="C182" t="str">
        <f>_xlfn.LET(
_xlpm.result,_xlfn.XLOOKUP($B182,Result_Database!$A$2:$A$500,Result_Database!$B$2:$B$500),
_xlfn.IFNA(_xlpm.result,"")
)</f>
        <v/>
      </c>
      <c r="D182" t="str">
        <f>_xlfn.LET(
  _xlpm.result, _xlfn.XLOOKUP($B182, Result_Database!$A$2:$A$500, Result_Database!C$2:C$500),
  _xlfn.IFNA(_xlpm.result, "")
)</f>
        <v/>
      </c>
      <c r="E182" t="str">
        <f>_xlfn.LET(
  _xlpm.result, _xlfn.XLOOKUP($B182, Result_Database!$A$2:$A$500, Result_Database!D$2:D$500),
  _xlfn.IFNA(_xlpm.result, "")
)</f>
        <v/>
      </c>
      <c r="F182" t="str">
        <f>_xlfn.LET(
  _xlpm.result, _xlfn.XLOOKUP($B182, Result_Database!$A$2:$A$500, Result_Database!E$2:E$500),
  _xlfn.IFNA(_xlpm.result, "")
)</f>
        <v/>
      </c>
      <c r="G182" t="str">
        <f>_xlfn.LET(
  _xlpm.result, _xlfn.XLOOKUP($B182, Result_Database!$A$2:$A$500, Result_Database!F$2:F$500),
  _xlfn.IFNA(_xlpm.result, "")
)</f>
        <v/>
      </c>
      <c r="H182" t="str">
        <f>_xlfn.LET(
  _xlpm.result, _xlfn.XLOOKUP($B182, Result_Database!$A$2:$A$500, Result_Database!G$2:G$500),
  _xlfn.IFNA(_xlpm.result, "")
)</f>
        <v/>
      </c>
      <c r="I182" t="str">
        <f>_xlfn.LET(
  _xlpm.result, _xlfn.XLOOKUP($B182, Result_Database!$A$2:$A$500, Result_Database!H$2:H$500),
  _xlfn.IFNA(_xlpm.result, "")
)</f>
        <v/>
      </c>
      <c r="J182" t="str">
        <f>_xlfn.LET(
  _xlpm.result, _xlfn.XLOOKUP($B182, Result_Database!$A$2:$A$500, Result_Database!I$2:I$500),
  _xlfn.IFNA(_xlpm.result, "")
)</f>
        <v/>
      </c>
      <c r="K182" t="str">
        <f>_xlfn.LET(
  _xlpm.result, _xlfn.XLOOKUP($B182, Result_Database!$A$2:$A$500, Result_Database!J$2:J$500),
  _xlfn.IFNA(_xlpm.result, "")
)</f>
        <v/>
      </c>
      <c r="L182" t="str">
        <f>_xlfn.LET(
  _xlpm.result, _xlfn.XLOOKUP($B182, Result_Database!$A$2:$A$500, Result_Database!K$2:K$500),
  _xlfn.IFNA(_xlpm.result, "")
)</f>
        <v/>
      </c>
      <c r="M182" t="str">
        <f>_xlfn.LET(
  _xlpm.result, _xlfn.XLOOKUP($B182, Result_Database!$A$2:$A$500, Result_Database!L$2:L$500),
  _xlfn.IFNA(_xlpm.result, "")
)</f>
        <v/>
      </c>
      <c r="N182" t="str">
        <f>_xlfn.LET(
  _xlpm.result, _xlfn.XLOOKUP($B182, Result_Database!$A$2:$A$500, Result_Database!M$2:M$500),
  _xlfn.IFNA(_xlpm.result, "")
)</f>
        <v/>
      </c>
      <c r="O182" t="str">
        <f>_xlfn.LET(
  _xlpm.result, _xlfn.XLOOKUP($B182, Result_Database!$A$2:$A$500, Result_Database!N$2:N$500),
  _xlfn.IFNA(_xlpm.result, "")
)</f>
        <v/>
      </c>
      <c r="P182" t="str">
        <f>_xlfn.LET(
  _xlpm.result, _xlfn.XLOOKUP($B182, Result_Database!$A$2:$A$500, Result_Database!O$2:O$500),
  _xlfn.IFNA(_xlpm.result, "")
)</f>
        <v/>
      </c>
      <c r="Q182" t="str">
        <f>_xlfn.LET(
  _xlpm.result, _xlfn.XLOOKUP($B182, Result_Database!$A$2:$A$500, Result_Database!P$2:P$500),
  _xlfn.IFNA(_xlpm.result, "")
)</f>
        <v/>
      </c>
      <c r="R182" t="str">
        <f>_xlfn.LET(
  _xlpm.result, _xlfn.XLOOKUP($B182, Result_Database!$A$2:$A$500, Result_Database!Q$2:Q$500),
  _xlfn.IFNA(_xlpm.result, "")
)</f>
        <v/>
      </c>
      <c r="S182" t="str">
        <f>_xlfn.LET(
  _xlpm.result, _xlfn.XLOOKUP($B182, Result_Database!$A$2:$A$500, Result_Database!R$2:R$500),
  _xlfn.IFNA(_xlpm.result, "")
)</f>
        <v/>
      </c>
      <c r="T182" t="str">
        <f>_xlfn.LET(
  _xlpm.result, _xlfn.XLOOKUP($B182, Result_Database!$A$2:$A$500, Result_Database!S$2:S$500),
  _xlfn.IFNA(_xlpm.result, "")
)</f>
        <v/>
      </c>
      <c r="U182" t="str">
        <f>_xlfn.LET(
  _xlpm.result, _xlfn.XLOOKUP($B182, Result_Database!$A$2:$A$500, Result_Database!T$2:T$500),
  _xlfn.IFNA(_xlpm.result, "")
)</f>
        <v/>
      </c>
      <c r="V182" t="str">
        <f>_xlfn.LET(
  _xlpm.result, _xlfn.XLOOKUP($B182, Result_Database!$A$2:$A$500, Result_Database!U$2:U$500),
  _xlfn.IFNA(_xlpm.result, "")
)</f>
        <v/>
      </c>
      <c r="W182" t="str">
        <f>_xlfn.LET(
  _xlpm.result, _xlfn.XLOOKUP($B182, Result_Database!$A$2:$A$500, Result_Database!V$2:V$500),
  _xlfn.IFNA(_xlpm.result, "")
)</f>
        <v/>
      </c>
      <c r="X182" t="str">
        <f>_xlfn.LET(
  _xlpm.result, _xlfn.XLOOKUP($B182, Result_Database!$A$2:$A$500, Result_Database!W$2:W$500),
  _xlfn.IFNA(_xlpm.result, "")
)</f>
        <v/>
      </c>
      <c r="Y182" t="str">
        <f>_xlfn.LET(
  _xlpm.result, _xlfn.XLOOKUP($B182, Result_Database!$A$2:$A$500, Result_Database!X$2:X$500),
  _xlfn.IFNA(_xlpm.result, "")
)</f>
        <v/>
      </c>
      <c r="Z182" t="str">
        <f>_xlfn.LET(
  _xlpm.result, _xlfn.XLOOKUP($B182, Result_Database!$A$2:$A$500, Result_Database!Y$2:Y$500),
  _xlfn.IFNA(_xlpm.result, "")
)</f>
        <v/>
      </c>
      <c r="AA182" t="str">
        <f>_xlfn.LET(
  _xlpm.result, _xlfn.XLOOKUP($B182, Result_Database!$A$2:$A$500, Result_Database!Z$2:Z$500),
  _xlfn.IFNA(_xlpm.result, "")
)</f>
        <v/>
      </c>
      <c r="AB182" t="str">
        <f>_xlfn.LET(
  _xlpm.result, _xlfn.XLOOKUP($B182, Result_Database!$A$2:$A$500, Result_Database!AA$2:AA$500),
  _xlfn.IFNA(_xlpm.result, "")
)</f>
        <v/>
      </c>
      <c r="AC182" t="str">
        <f>_xlfn.LET(
  _xlpm.result, _xlfn.XLOOKUP($B182, Result_Database!$A$2:$A$500, Result_Database!AB$2:AB$500),
  _xlfn.IFNA(_xlpm.result, "")
)</f>
        <v/>
      </c>
      <c r="AD182" t="str">
        <f>_xlfn.LET(
  _xlpm.result, _xlfn.XLOOKUP($B182, Result_Database!$A$2:$A$500, Result_Database!AC$2:AC$500),
  _xlfn.IFNA(_xlpm.result, "")
)</f>
        <v/>
      </c>
      <c r="AE182" t="str">
        <f>_xlfn.LET(
  _xlpm.result, _xlfn.XLOOKUP($B182, Result_Database!$A$2:$A$500, Result_Database!AD$2:AD$500),
  _xlfn.IFNA(_xlpm.result, "")
)</f>
        <v/>
      </c>
      <c r="AF182" t="str">
        <f>_xlfn.LET(
  _xlpm.result, _xlfn.XLOOKUP($B182, Result_Database!$A$2:$A$500, Result_Database!AE$2:AE$500),
  _xlfn.IFNA(_xlpm.result, "")
)</f>
        <v/>
      </c>
      <c r="AG182" t="str">
        <f>_xlfn.LET(
  _xlpm.result, _xlfn.XLOOKUP($B182, Result_Database!$A$2:$A$500, Result_Database!AF$2:AF$500),
  _xlfn.IFNA(_xlpm.result, "")
)</f>
        <v/>
      </c>
      <c r="AH182" t="str">
        <f>_xlfn.LET(
  _xlpm.result, _xlfn.XLOOKUP($B182, Result_Database!$A$2:$A$500, Result_Database!AG$2:AG$500),
  _xlfn.IFNA(_xlpm.result, "")
)</f>
        <v/>
      </c>
      <c r="AI182" t="str">
        <f>_xlfn.LET(
  _xlpm.result, _xlfn.XLOOKUP($B182, Result_Database!$A$2:$A$500, Result_Database!AH$2:AH$500),
  _xlfn.IFNA(_xlpm.result, "")
)</f>
        <v/>
      </c>
      <c r="AJ182" t="str">
        <f>_xlfn.LET(
  _xlpm.result, _xlfn.XLOOKUP($B182, Result_Database!$A$2:$A$500, Result_Database!AI$2:AI$500),
  _xlfn.IFNA(_xlpm.result, "")
)</f>
        <v/>
      </c>
      <c r="AK182" t="str">
        <f>_xlfn.LET(
  _xlpm.result, _xlfn.XLOOKUP($B182, Result_Database!$A$2:$A$500, Result_Database!AJ$2:AJ$500),
  _xlfn.IFNA(_xlpm.result, "")
)</f>
        <v/>
      </c>
      <c r="AL182" t="str">
        <f>_xlfn.LET(
  _xlpm.result, _xlfn.XLOOKUP($B182, Result_Database!$A$2:$A$500, Result_Database!AK$2:AK$500),
  _xlfn.IFNA(_xlpm.result, "")
)</f>
        <v/>
      </c>
      <c r="AM18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8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8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8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8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8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8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8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8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82" t="str">
        <f>IF(SUM(Table5[[#This Row],[A1]:[C6]])&lt;&gt;0,SUM(Table5[[#This Row],[A1]:[C6]]),"")</f>
        <v/>
      </c>
      <c r="AW182" t="str">
        <f>IF(SUM(Table5[[#This Row],[D7]:[F9]])=0,"",SUM(Table5[[#This Row],[D7]:[F9]]))</f>
        <v/>
      </c>
      <c r="AX18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8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8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8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8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8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82" t="str">
        <f>IF(COUNTIF(Table5[[#This Row],[English Language]:[Electrical/ Electronics]],"WITHHELD")=0,"",COUNTIF(Table5[[#This Row],[English Language]:[Electrical/ Electronics]],"WITHHELD"))</f>
        <v/>
      </c>
      <c r="BE182" t="str">
        <f>IF(SUM(Table5[[#This Row],[NO OF CREDITS]:[BELOW CREDITS]])=0,"",SUM(Table5[[#This Row],[NO OF CREDITS]:[BELOW CREDITS]]))</f>
        <v/>
      </c>
    </row>
    <row r="183" spans="1:57" x14ac:dyDescent="0.3">
      <c r="A183" t="str">
        <f>IF(B183&lt;&gt;"",COUNTA($B$6:B183),"")</f>
        <v/>
      </c>
      <c r="B183" t="str">
        <f>IF(Result_Database!A179="","",Result_Database!A179)</f>
        <v/>
      </c>
      <c r="C183" t="str">
        <f>_xlfn.LET(
_xlpm.result,_xlfn.XLOOKUP($B183,Result_Database!$A$2:$A$500,Result_Database!$B$2:$B$500),
_xlfn.IFNA(_xlpm.result,"")
)</f>
        <v/>
      </c>
      <c r="D183" t="str">
        <f>_xlfn.LET(
  _xlpm.result, _xlfn.XLOOKUP($B183, Result_Database!$A$2:$A$500, Result_Database!C$2:C$500),
  _xlfn.IFNA(_xlpm.result, "")
)</f>
        <v/>
      </c>
      <c r="E183" t="str">
        <f>_xlfn.LET(
  _xlpm.result, _xlfn.XLOOKUP($B183, Result_Database!$A$2:$A$500, Result_Database!D$2:D$500),
  _xlfn.IFNA(_xlpm.result, "")
)</f>
        <v/>
      </c>
      <c r="F183" t="str">
        <f>_xlfn.LET(
  _xlpm.result, _xlfn.XLOOKUP($B183, Result_Database!$A$2:$A$500, Result_Database!E$2:E$500),
  _xlfn.IFNA(_xlpm.result, "")
)</f>
        <v/>
      </c>
      <c r="G183" t="str">
        <f>_xlfn.LET(
  _xlpm.result, _xlfn.XLOOKUP($B183, Result_Database!$A$2:$A$500, Result_Database!F$2:F$500),
  _xlfn.IFNA(_xlpm.result, "")
)</f>
        <v/>
      </c>
      <c r="H183" t="str">
        <f>_xlfn.LET(
  _xlpm.result, _xlfn.XLOOKUP($B183, Result_Database!$A$2:$A$500, Result_Database!G$2:G$500),
  _xlfn.IFNA(_xlpm.result, "")
)</f>
        <v/>
      </c>
      <c r="I183" t="str">
        <f>_xlfn.LET(
  _xlpm.result, _xlfn.XLOOKUP($B183, Result_Database!$A$2:$A$500, Result_Database!H$2:H$500),
  _xlfn.IFNA(_xlpm.result, "")
)</f>
        <v/>
      </c>
      <c r="J183" t="str">
        <f>_xlfn.LET(
  _xlpm.result, _xlfn.XLOOKUP($B183, Result_Database!$A$2:$A$500, Result_Database!I$2:I$500),
  _xlfn.IFNA(_xlpm.result, "")
)</f>
        <v/>
      </c>
      <c r="K183" t="str">
        <f>_xlfn.LET(
  _xlpm.result, _xlfn.XLOOKUP($B183, Result_Database!$A$2:$A$500, Result_Database!J$2:J$500),
  _xlfn.IFNA(_xlpm.result, "")
)</f>
        <v/>
      </c>
      <c r="L183" t="str">
        <f>_xlfn.LET(
  _xlpm.result, _xlfn.XLOOKUP($B183, Result_Database!$A$2:$A$500, Result_Database!K$2:K$500),
  _xlfn.IFNA(_xlpm.result, "")
)</f>
        <v/>
      </c>
      <c r="M183" t="str">
        <f>_xlfn.LET(
  _xlpm.result, _xlfn.XLOOKUP($B183, Result_Database!$A$2:$A$500, Result_Database!L$2:L$500),
  _xlfn.IFNA(_xlpm.result, "")
)</f>
        <v/>
      </c>
      <c r="N183" t="str">
        <f>_xlfn.LET(
  _xlpm.result, _xlfn.XLOOKUP($B183, Result_Database!$A$2:$A$500, Result_Database!M$2:M$500),
  _xlfn.IFNA(_xlpm.result, "")
)</f>
        <v/>
      </c>
      <c r="O183" t="str">
        <f>_xlfn.LET(
  _xlpm.result, _xlfn.XLOOKUP($B183, Result_Database!$A$2:$A$500, Result_Database!N$2:N$500),
  _xlfn.IFNA(_xlpm.result, "")
)</f>
        <v/>
      </c>
      <c r="P183" t="str">
        <f>_xlfn.LET(
  _xlpm.result, _xlfn.XLOOKUP($B183, Result_Database!$A$2:$A$500, Result_Database!O$2:O$500),
  _xlfn.IFNA(_xlpm.result, "")
)</f>
        <v/>
      </c>
      <c r="Q183" t="str">
        <f>_xlfn.LET(
  _xlpm.result, _xlfn.XLOOKUP($B183, Result_Database!$A$2:$A$500, Result_Database!P$2:P$500),
  _xlfn.IFNA(_xlpm.result, "")
)</f>
        <v/>
      </c>
      <c r="R183" t="str">
        <f>_xlfn.LET(
  _xlpm.result, _xlfn.XLOOKUP($B183, Result_Database!$A$2:$A$500, Result_Database!Q$2:Q$500),
  _xlfn.IFNA(_xlpm.result, "")
)</f>
        <v/>
      </c>
      <c r="S183" t="str">
        <f>_xlfn.LET(
  _xlpm.result, _xlfn.XLOOKUP($B183, Result_Database!$A$2:$A$500, Result_Database!R$2:R$500),
  _xlfn.IFNA(_xlpm.result, "")
)</f>
        <v/>
      </c>
      <c r="T183" t="str">
        <f>_xlfn.LET(
  _xlpm.result, _xlfn.XLOOKUP($B183, Result_Database!$A$2:$A$500, Result_Database!S$2:S$500),
  _xlfn.IFNA(_xlpm.result, "")
)</f>
        <v/>
      </c>
      <c r="U183" t="str">
        <f>_xlfn.LET(
  _xlpm.result, _xlfn.XLOOKUP($B183, Result_Database!$A$2:$A$500, Result_Database!T$2:T$500),
  _xlfn.IFNA(_xlpm.result, "")
)</f>
        <v/>
      </c>
      <c r="V183" t="str">
        <f>_xlfn.LET(
  _xlpm.result, _xlfn.XLOOKUP($B183, Result_Database!$A$2:$A$500, Result_Database!U$2:U$500),
  _xlfn.IFNA(_xlpm.result, "")
)</f>
        <v/>
      </c>
      <c r="W183" t="str">
        <f>_xlfn.LET(
  _xlpm.result, _xlfn.XLOOKUP($B183, Result_Database!$A$2:$A$500, Result_Database!V$2:V$500),
  _xlfn.IFNA(_xlpm.result, "")
)</f>
        <v/>
      </c>
      <c r="X183" t="str">
        <f>_xlfn.LET(
  _xlpm.result, _xlfn.XLOOKUP($B183, Result_Database!$A$2:$A$500, Result_Database!W$2:W$500),
  _xlfn.IFNA(_xlpm.result, "")
)</f>
        <v/>
      </c>
      <c r="Y183" t="str">
        <f>_xlfn.LET(
  _xlpm.result, _xlfn.XLOOKUP($B183, Result_Database!$A$2:$A$500, Result_Database!X$2:X$500),
  _xlfn.IFNA(_xlpm.result, "")
)</f>
        <v/>
      </c>
      <c r="Z183" t="str">
        <f>_xlfn.LET(
  _xlpm.result, _xlfn.XLOOKUP($B183, Result_Database!$A$2:$A$500, Result_Database!Y$2:Y$500),
  _xlfn.IFNA(_xlpm.result, "")
)</f>
        <v/>
      </c>
      <c r="AA183" t="str">
        <f>_xlfn.LET(
  _xlpm.result, _xlfn.XLOOKUP($B183, Result_Database!$A$2:$A$500, Result_Database!Z$2:Z$500),
  _xlfn.IFNA(_xlpm.result, "")
)</f>
        <v/>
      </c>
      <c r="AB183" t="str">
        <f>_xlfn.LET(
  _xlpm.result, _xlfn.XLOOKUP($B183, Result_Database!$A$2:$A$500, Result_Database!AA$2:AA$500),
  _xlfn.IFNA(_xlpm.result, "")
)</f>
        <v/>
      </c>
      <c r="AC183" t="str">
        <f>_xlfn.LET(
  _xlpm.result, _xlfn.XLOOKUP($B183, Result_Database!$A$2:$A$500, Result_Database!AB$2:AB$500),
  _xlfn.IFNA(_xlpm.result, "")
)</f>
        <v/>
      </c>
      <c r="AD183" t="str">
        <f>_xlfn.LET(
  _xlpm.result, _xlfn.XLOOKUP($B183, Result_Database!$A$2:$A$500, Result_Database!AC$2:AC$500),
  _xlfn.IFNA(_xlpm.result, "")
)</f>
        <v/>
      </c>
      <c r="AE183" t="str">
        <f>_xlfn.LET(
  _xlpm.result, _xlfn.XLOOKUP($B183, Result_Database!$A$2:$A$500, Result_Database!AD$2:AD$500),
  _xlfn.IFNA(_xlpm.result, "")
)</f>
        <v/>
      </c>
      <c r="AF183" t="str">
        <f>_xlfn.LET(
  _xlpm.result, _xlfn.XLOOKUP($B183, Result_Database!$A$2:$A$500, Result_Database!AE$2:AE$500),
  _xlfn.IFNA(_xlpm.result, "")
)</f>
        <v/>
      </c>
      <c r="AG183" t="str">
        <f>_xlfn.LET(
  _xlpm.result, _xlfn.XLOOKUP($B183, Result_Database!$A$2:$A$500, Result_Database!AF$2:AF$500),
  _xlfn.IFNA(_xlpm.result, "")
)</f>
        <v/>
      </c>
      <c r="AH183" t="str">
        <f>_xlfn.LET(
  _xlpm.result, _xlfn.XLOOKUP($B183, Result_Database!$A$2:$A$500, Result_Database!AG$2:AG$500),
  _xlfn.IFNA(_xlpm.result, "")
)</f>
        <v/>
      </c>
      <c r="AI183" t="str">
        <f>_xlfn.LET(
  _xlpm.result, _xlfn.XLOOKUP($B183, Result_Database!$A$2:$A$500, Result_Database!AH$2:AH$500),
  _xlfn.IFNA(_xlpm.result, "")
)</f>
        <v/>
      </c>
      <c r="AJ183" t="str">
        <f>_xlfn.LET(
  _xlpm.result, _xlfn.XLOOKUP($B183, Result_Database!$A$2:$A$500, Result_Database!AI$2:AI$500),
  _xlfn.IFNA(_xlpm.result, "")
)</f>
        <v/>
      </c>
      <c r="AK183" t="str">
        <f>_xlfn.LET(
  _xlpm.result, _xlfn.XLOOKUP($B183, Result_Database!$A$2:$A$500, Result_Database!AJ$2:AJ$500),
  _xlfn.IFNA(_xlpm.result, "")
)</f>
        <v/>
      </c>
      <c r="AL183" t="str">
        <f>_xlfn.LET(
  _xlpm.result, _xlfn.XLOOKUP($B183, Result_Database!$A$2:$A$500, Result_Database!AK$2:AK$500),
  _xlfn.IFNA(_xlpm.result, "")
)</f>
        <v/>
      </c>
      <c r="AM18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8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8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8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8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8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8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8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8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83" t="str">
        <f>IF(SUM(Table5[[#This Row],[A1]:[C6]])&lt;&gt;0,SUM(Table5[[#This Row],[A1]:[C6]]),"")</f>
        <v/>
      </c>
      <c r="AW183" t="str">
        <f>IF(SUM(Table5[[#This Row],[D7]:[F9]])=0,"",SUM(Table5[[#This Row],[D7]:[F9]]))</f>
        <v/>
      </c>
      <c r="AX18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8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8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8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8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8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83" t="str">
        <f>IF(COUNTIF(Table5[[#This Row],[English Language]:[Electrical/ Electronics]],"WITHHELD")=0,"",COUNTIF(Table5[[#This Row],[English Language]:[Electrical/ Electronics]],"WITHHELD"))</f>
        <v/>
      </c>
      <c r="BE183" t="str">
        <f>IF(SUM(Table5[[#This Row],[NO OF CREDITS]:[BELOW CREDITS]])=0,"",SUM(Table5[[#This Row],[NO OF CREDITS]:[BELOW CREDITS]]))</f>
        <v/>
      </c>
    </row>
    <row r="184" spans="1:57" x14ac:dyDescent="0.3">
      <c r="A184" t="str">
        <f>IF(B184&lt;&gt;"",COUNTA($B$6:B184),"")</f>
        <v/>
      </c>
      <c r="B184" t="str">
        <f>IF(Result_Database!A180="","",Result_Database!A180)</f>
        <v/>
      </c>
      <c r="C184" t="str">
        <f>_xlfn.LET(
_xlpm.result,_xlfn.XLOOKUP($B184,Result_Database!$A$2:$A$500,Result_Database!$B$2:$B$500),
_xlfn.IFNA(_xlpm.result,"")
)</f>
        <v/>
      </c>
      <c r="D184" t="str">
        <f>_xlfn.LET(
  _xlpm.result, _xlfn.XLOOKUP($B184, Result_Database!$A$2:$A$500, Result_Database!C$2:C$500),
  _xlfn.IFNA(_xlpm.result, "")
)</f>
        <v/>
      </c>
      <c r="E184" t="str">
        <f>_xlfn.LET(
  _xlpm.result, _xlfn.XLOOKUP($B184, Result_Database!$A$2:$A$500, Result_Database!D$2:D$500),
  _xlfn.IFNA(_xlpm.result, "")
)</f>
        <v/>
      </c>
      <c r="F184" t="str">
        <f>_xlfn.LET(
  _xlpm.result, _xlfn.XLOOKUP($B184, Result_Database!$A$2:$A$500, Result_Database!E$2:E$500),
  _xlfn.IFNA(_xlpm.result, "")
)</f>
        <v/>
      </c>
      <c r="G184" t="str">
        <f>_xlfn.LET(
  _xlpm.result, _xlfn.XLOOKUP($B184, Result_Database!$A$2:$A$500, Result_Database!F$2:F$500),
  _xlfn.IFNA(_xlpm.result, "")
)</f>
        <v/>
      </c>
      <c r="H184" t="str">
        <f>_xlfn.LET(
  _xlpm.result, _xlfn.XLOOKUP($B184, Result_Database!$A$2:$A$500, Result_Database!G$2:G$500),
  _xlfn.IFNA(_xlpm.result, "")
)</f>
        <v/>
      </c>
      <c r="I184" t="str">
        <f>_xlfn.LET(
  _xlpm.result, _xlfn.XLOOKUP($B184, Result_Database!$A$2:$A$500, Result_Database!H$2:H$500),
  _xlfn.IFNA(_xlpm.result, "")
)</f>
        <v/>
      </c>
      <c r="J184" t="str">
        <f>_xlfn.LET(
  _xlpm.result, _xlfn.XLOOKUP($B184, Result_Database!$A$2:$A$500, Result_Database!I$2:I$500),
  _xlfn.IFNA(_xlpm.result, "")
)</f>
        <v/>
      </c>
      <c r="K184" t="str">
        <f>_xlfn.LET(
  _xlpm.result, _xlfn.XLOOKUP($B184, Result_Database!$A$2:$A$500, Result_Database!J$2:J$500),
  _xlfn.IFNA(_xlpm.result, "")
)</f>
        <v/>
      </c>
      <c r="L184" t="str">
        <f>_xlfn.LET(
  _xlpm.result, _xlfn.XLOOKUP($B184, Result_Database!$A$2:$A$500, Result_Database!K$2:K$500),
  _xlfn.IFNA(_xlpm.result, "")
)</f>
        <v/>
      </c>
      <c r="M184" t="str">
        <f>_xlfn.LET(
  _xlpm.result, _xlfn.XLOOKUP($B184, Result_Database!$A$2:$A$500, Result_Database!L$2:L$500),
  _xlfn.IFNA(_xlpm.result, "")
)</f>
        <v/>
      </c>
      <c r="N184" t="str">
        <f>_xlfn.LET(
  _xlpm.result, _xlfn.XLOOKUP($B184, Result_Database!$A$2:$A$500, Result_Database!M$2:M$500),
  _xlfn.IFNA(_xlpm.result, "")
)</f>
        <v/>
      </c>
      <c r="O184" t="str">
        <f>_xlfn.LET(
  _xlpm.result, _xlfn.XLOOKUP($B184, Result_Database!$A$2:$A$500, Result_Database!N$2:N$500),
  _xlfn.IFNA(_xlpm.result, "")
)</f>
        <v/>
      </c>
      <c r="P184" t="str">
        <f>_xlfn.LET(
  _xlpm.result, _xlfn.XLOOKUP($B184, Result_Database!$A$2:$A$500, Result_Database!O$2:O$500),
  _xlfn.IFNA(_xlpm.result, "")
)</f>
        <v/>
      </c>
      <c r="Q184" t="str">
        <f>_xlfn.LET(
  _xlpm.result, _xlfn.XLOOKUP($B184, Result_Database!$A$2:$A$500, Result_Database!P$2:P$500),
  _xlfn.IFNA(_xlpm.result, "")
)</f>
        <v/>
      </c>
      <c r="R184" t="str">
        <f>_xlfn.LET(
  _xlpm.result, _xlfn.XLOOKUP($B184, Result_Database!$A$2:$A$500, Result_Database!Q$2:Q$500),
  _xlfn.IFNA(_xlpm.result, "")
)</f>
        <v/>
      </c>
      <c r="S184" t="str">
        <f>_xlfn.LET(
  _xlpm.result, _xlfn.XLOOKUP($B184, Result_Database!$A$2:$A$500, Result_Database!R$2:R$500),
  _xlfn.IFNA(_xlpm.result, "")
)</f>
        <v/>
      </c>
      <c r="T184" t="str">
        <f>_xlfn.LET(
  _xlpm.result, _xlfn.XLOOKUP($B184, Result_Database!$A$2:$A$500, Result_Database!S$2:S$500),
  _xlfn.IFNA(_xlpm.result, "")
)</f>
        <v/>
      </c>
      <c r="U184" t="str">
        <f>_xlfn.LET(
  _xlpm.result, _xlfn.XLOOKUP($B184, Result_Database!$A$2:$A$500, Result_Database!T$2:T$500),
  _xlfn.IFNA(_xlpm.result, "")
)</f>
        <v/>
      </c>
      <c r="V184" t="str">
        <f>_xlfn.LET(
  _xlpm.result, _xlfn.XLOOKUP($B184, Result_Database!$A$2:$A$500, Result_Database!U$2:U$500),
  _xlfn.IFNA(_xlpm.result, "")
)</f>
        <v/>
      </c>
      <c r="W184" t="str">
        <f>_xlfn.LET(
  _xlpm.result, _xlfn.XLOOKUP($B184, Result_Database!$A$2:$A$500, Result_Database!V$2:V$500),
  _xlfn.IFNA(_xlpm.result, "")
)</f>
        <v/>
      </c>
      <c r="X184" t="str">
        <f>_xlfn.LET(
  _xlpm.result, _xlfn.XLOOKUP($B184, Result_Database!$A$2:$A$500, Result_Database!W$2:W$500),
  _xlfn.IFNA(_xlpm.result, "")
)</f>
        <v/>
      </c>
      <c r="Y184" t="str">
        <f>_xlfn.LET(
  _xlpm.result, _xlfn.XLOOKUP($B184, Result_Database!$A$2:$A$500, Result_Database!X$2:X$500),
  _xlfn.IFNA(_xlpm.result, "")
)</f>
        <v/>
      </c>
      <c r="Z184" t="str">
        <f>_xlfn.LET(
  _xlpm.result, _xlfn.XLOOKUP($B184, Result_Database!$A$2:$A$500, Result_Database!Y$2:Y$500),
  _xlfn.IFNA(_xlpm.result, "")
)</f>
        <v/>
      </c>
      <c r="AA184" t="str">
        <f>_xlfn.LET(
  _xlpm.result, _xlfn.XLOOKUP($B184, Result_Database!$A$2:$A$500, Result_Database!Z$2:Z$500),
  _xlfn.IFNA(_xlpm.result, "")
)</f>
        <v/>
      </c>
      <c r="AB184" t="str">
        <f>_xlfn.LET(
  _xlpm.result, _xlfn.XLOOKUP($B184, Result_Database!$A$2:$A$500, Result_Database!AA$2:AA$500),
  _xlfn.IFNA(_xlpm.result, "")
)</f>
        <v/>
      </c>
      <c r="AC184" t="str">
        <f>_xlfn.LET(
  _xlpm.result, _xlfn.XLOOKUP($B184, Result_Database!$A$2:$A$500, Result_Database!AB$2:AB$500),
  _xlfn.IFNA(_xlpm.result, "")
)</f>
        <v/>
      </c>
      <c r="AD184" t="str">
        <f>_xlfn.LET(
  _xlpm.result, _xlfn.XLOOKUP($B184, Result_Database!$A$2:$A$500, Result_Database!AC$2:AC$500),
  _xlfn.IFNA(_xlpm.result, "")
)</f>
        <v/>
      </c>
      <c r="AE184" t="str">
        <f>_xlfn.LET(
  _xlpm.result, _xlfn.XLOOKUP($B184, Result_Database!$A$2:$A$500, Result_Database!AD$2:AD$500),
  _xlfn.IFNA(_xlpm.result, "")
)</f>
        <v/>
      </c>
      <c r="AF184" t="str">
        <f>_xlfn.LET(
  _xlpm.result, _xlfn.XLOOKUP($B184, Result_Database!$A$2:$A$500, Result_Database!AE$2:AE$500),
  _xlfn.IFNA(_xlpm.result, "")
)</f>
        <v/>
      </c>
      <c r="AG184" t="str">
        <f>_xlfn.LET(
  _xlpm.result, _xlfn.XLOOKUP($B184, Result_Database!$A$2:$A$500, Result_Database!AF$2:AF$500),
  _xlfn.IFNA(_xlpm.result, "")
)</f>
        <v/>
      </c>
      <c r="AH184" t="str">
        <f>_xlfn.LET(
  _xlpm.result, _xlfn.XLOOKUP($B184, Result_Database!$A$2:$A$500, Result_Database!AG$2:AG$500),
  _xlfn.IFNA(_xlpm.result, "")
)</f>
        <v/>
      </c>
      <c r="AI184" t="str">
        <f>_xlfn.LET(
  _xlpm.result, _xlfn.XLOOKUP($B184, Result_Database!$A$2:$A$500, Result_Database!AH$2:AH$500),
  _xlfn.IFNA(_xlpm.result, "")
)</f>
        <v/>
      </c>
      <c r="AJ184" t="str">
        <f>_xlfn.LET(
  _xlpm.result, _xlfn.XLOOKUP($B184, Result_Database!$A$2:$A$500, Result_Database!AI$2:AI$500),
  _xlfn.IFNA(_xlpm.result, "")
)</f>
        <v/>
      </c>
      <c r="AK184" t="str">
        <f>_xlfn.LET(
  _xlpm.result, _xlfn.XLOOKUP($B184, Result_Database!$A$2:$A$500, Result_Database!AJ$2:AJ$500),
  _xlfn.IFNA(_xlpm.result, "")
)</f>
        <v/>
      </c>
      <c r="AL184" t="str">
        <f>_xlfn.LET(
  _xlpm.result, _xlfn.XLOOKUP($B184, Result_Database!$A$2:$A$500, Result_Database!AK$2:AK$500),
  _xlfn.IFNA(_xlpm.result, "")
)</f>
        <v/>
      </c>
      <c r="AM18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8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8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8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8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8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8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8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8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84" t="str">
        <f>IF(SUM(Table5[[#This Row],[A1]:[C6]])&lt;&gt;0,SUM(Table5[[#This Row],[A1]:[C6]]),"")</f>
        <v/>
      </c>
      <c r="AW184" t="str">
        <f>IF(SUM(Table5[[#This Row],[D7]:[F9]])=0,"",SUM(Table5[[#This Row],[D7]:[F9]]))</f>
        <v/>
      </c>
      <c r="AX18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8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8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8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8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8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84" t="str">
        <f>IF(COUNTIF(Table5[[#This Row],[English Language]:[Electrical/ Electronics]],"WITHHELD")=0,"",COUNTIF(Table5[[#This Row],[English Language]:[Electrical/ Electronics]],"WITHHELD"))</f>
        <v/>
      </c>
      <c r="BE184" t="str">
        <f>IF(SUM(Table5[[#This Row],[NO OF CREDITS]:[BELOW CREDITS]])=0,"",SUM(Table5[[#This Row],[NO OF CREDITS]:[BELOW CREDITS]]))</f>
        <v/>
      </c>
    </row>
    <row r="185" spans="1:57" x14ac:dyDescent="0.3">
      <c r="A185" t="str">
        <f>IF(B185&lt;&gt;"",COUNTA($B$6:B185),"")</f>
        <v/>
      </c>
      <c r="B185" t="str">
        <f>IF(Result_Database!A181="","",Result_Database!A181)</f>
        <v/>
      </c>
      <c r="C185" t="str">
        <f>_xlfn.LET(
_xlpm.result,_xlfn.XLOOKUP($B185,Result_Database!$A$2:$A$500,Result_Database!$B$2:$B$500),
_xlfn.IFNA(_xlpm.result,"")
)</f>
        <v/>
      </c>
      <c r="D185" t="str">
        <f>_xlfn.LET(
  _xlpm.result, _xlfn.XLOOKUP($B185, Result_Database!$A$2:$A$500, Result_Database!C$2:C$500),
  _xlfn.IFNA(_xlpm.result, "")
)</f>
        <v/>
      </c>
      <c r="E185" t="str">
        <f>_xlfn.LET(
  _xlpm.result, _xlfn.XLOOKUP($B185, Result_Database!$A$2:$A$500, Result_Database!D$2:D$500),
  _xlfn.IFNA(_xlpm.result, "")
)</f>
        <v/>
      </c>
      <c r="F185" t="str">
        <f>_xlfn.LET(
  _xlpm.result, _xlfn.XLOOKUP($B185, Result_Database!$A$2:$A$500, Result_Database!E$2:E$500),
  _xlfn.IFNA(_xlpm.result, "")
)</f>
        <v/>
      </c>
      <c r="G185" t="str">
        <f>_xlfn.LET(
  _xlpm.result, _xlfn.XLOOKUP($B185, Result_Database!$A$2:$A$500, Result_Database!F$2:F$500),
  _xlfn.IFNA(_xlpm.result, "")
)</f>
        <v/>
      </c>
      <c r="H185" t="str">
        <f>_xlfn.LET(
  _xlpm.result, _xlfn.XLOOKUP($B185, Result_Database!$A$2:$A$500, Result_Database!G$2:G$500),
  _xlfn.IFNA(_xlpm.result, "")
)</f>
        <v/>
      </c>
      <c r="I185" t="str">
        <f>_xlfn.LET(
  _xlpm.result, _xlfn.XLOOKUP($B185, Result_Database!$A$2:$A$500, Result_Database!H$2:H$500),
  _xlfn.IFNA(_xlpm.result, "")
)</f>
        <v/>
      </c>
      <c r="J185" t="str">
        <f>_xlfn.LET(
  _xlpm.result, _xlfn.XLOOKUP($B185, Result_Database!$A$2:$A$500, Result_Database!I$2:I$500),
  _xlfn.IFNA(_xlpm.result, "")
)</f>
        <v/>
      </c>
      <c r="K185" t="str">
        <f>_xlfn.LET(
  _xlpm.result, _xlfn.XLOOKUP($B185, Result_Database!$A$2:$A$500, Result_Database!J$2:J$500),
  _xlfn.IFNA(_xlpm.result, "")
)</f>
        <v/>
      </c>
      <c r="L185" t="str">
        <f>_xlfn.LET(
  _xlpm.result, _xlfn.XLOOKUP($B185, Result_Database!$A$2:$A$500, Result_Database!K$2:K$500),
  _xlfn.IFNA(_xlpm.result, "")
)</f>
        <v/>
      </c>
      <c r="M185" t="str">
        <f>_xlfn.LET(
  _xlpm.result, _xlfn.XLOOKUP($B185, Result_Database!$A$2:$A$500, Result_Database!L$2:L$500),
  _xlfn.IFNA(_xlpm.result, "")
)</f>
        <v/>
      </c>
      <c r="N185" t="str">
        <f>_xlfn.LET(
  _xlpm.result, _xlfn.XLOOKUP($B185, Result_Database!$A$2:$A$500, Result_Database!M$2:M$500),
  _xlfn.IFNA(_xlpm.result, "")
)</f>
        <v/>
      </c>
      <c r="O185" t="str">
        <f>_xlfn.LET(
  _xlpm.result, _xlfn.XLOOKUP($B185, Result_Database!$A$2:$A$500, Result_Database!N$2:N$500),
  _xlfn.IFNA(_xlpm.result, "")
)</f>
        <v/>
      </c>
      <c r="P185" t="str">
        <f>_xlfn.LET(
  _xlpm.result, _xlfn.XLOOKUP($B185, Result_Database!$A$2:$A$500, Result_Database!O$2:O$500),
  _xlfn.IFNA(_xlpm.result, "")
)</f>
        <v/>
      </c>
      <c r="Q185" t="str">
        <f>_xlfn.LET(
  _xlpm.result, _xlfn.XLOOKUP($B185, Result_Database!$A$2:$A$500, Result_Database!P$2:P$500),
  _xlfn.IFNA(_xlpm.result, "")
)</f>
        <v/>
      </c>
      <c r="R185" t="str">
        <f>_xlfn.LET(
  _xlpm.result, _xlfn.XLOOKUP($B185, Result_Database!$A$2:$A$500, Result_Database!Q$2:Q$500),
  _xlfn.IFNA(_xlpm.result, "")
)</f>
        <v/>
      </c>
      <c r="S185" t="str">
        <f>_xlfn.LET(
  _xlpm.result, _xlfn.XLOOKUP($B185, Result_Database!$A$2:$A$500, Result_Database!R$2:R$500),
  _xlfn.IFNA(_xlpm.result, "")
)</f>
        <v/>
      </c>
      <c r="T185" t="str">
        <f>_xlfn.LET(
  _xlpm.result, _xlfn.XLOOKUP($B185, Result_Database!$A$2:$A$500, Result_Database!S$2:S$500),
  _xlfn.IFNA(_xlpm.result, "")
)</f>
        <v/>
      </c>
      <c r="U185" t="str">
        <f>_xlfn.LET(
  _xlpm.result, _xlfn.XLOOKUP($B185, Result_Database!$A$2:$A$500, Result_Database!T$2:T$500),
  _xlfn.IFNA(_xlpm.result, "")
)</f>
        <v/>
      </c>
      <c r="V185" t="str">
        <f>_xlfn.LET(
  _xlpm.result, _xlfn.XLOOKUP($B185, Result_Database!$A$2:$A$500, Result_Database!U$2:U$500),
  _xlfn.IFNA(_xlpm.result, "")
)</f>
        <v/>
      </c>
      <c r="W185" t="str">
        <f>_xlfn.LET(
  _xlpm.result, _xlfn.XLOOKUP($B185, Result_Database!$A$2:$A$500, Result_Database!V$2:V$500),
  _xlfn.IFNA(_xlpm.result, "")
)</f>
        <v/>
      </c>
      <c r="X185" t="str">
        <f>_xlfn.LET(
  _xlpm.result, _xlfn.XLOOKUP($B185, Result_Database!$A$2:$A$500, Result_Database!W$2:W$500),
  _xlfn.IFNA(_xlpm.result, "")
)</f>
        <v/>
      </c>
      <c r="Y185" t="str">
        <f>_xlfn.LET(
  _xlpm.result, _xlfn.XLOOKUP($B185, Result_Database!$A$2:$A$500, Result_Database!X$2:X$500),
  _xlfn.IFNA(_xlpm.result, "")
)</f>
        <v/>
      </c>
      <c r="Z185" t="str">
        <f>_xlfn.LET(
  _xlpm.result, _xlfn.XLOOKUP($B185, Result_Database!$A$2:$A$500, Result_Database!Y$2:Y$500),
  _xlfn.IFNA(_xlpm.result, "")
)</f>
        <v/>
      </c>
      <c r="AA185" t="str">
        <f>_xlfn.LET(
  _xlpm.result, _xlfn.XLOOKUP($B185, Result_Database!$A$2:$A$500, Result_Database!Z$2:Z$500),
  _xlfn.IFNA(_xlpm.result, "")
)</f>
        <v/>
      </c>
      <c r="AB185" t="str">
        <f>_xlfn.LET(
  _xlpm.result, _xlfn.XLOOKUP($B185, Result_Database!$A$2:$A$500, Result_Database!AA$2:AA$500),
  _xlfn.IFNA(_xlpm.result, "")
)</f>
        <v/>
      </c>
      <c r="AC185" t="str">
        <f>_xlfn.LET(
  _xlpm.result, _xlfn.XLOOKUP($B185, Result_Database!$A$2:$A$500, Result_Database!AB$2:AB$500),
  _xlfn.IFNA(_xlpm.result, "")
)</f>
        <v/>
      </c>
      <c r="AD185" t="str">
        <f>_xlfn.LET(
  _xlpm.result, _xlfn.XLOOKUP($B185, Result_Database!$A$2:$A$500, Result_Database!AC$2:AC$500),
  _xlfn.IFNA(_xlpm.result, "")
)</f>
        <v/>
      </c>
      <c r="AE185" t="str">
        <f>_xlfn.LET(
  _xlpm.result, _xlfn.XLOOKUP($B185, Result_Database!$A$2:$A$500, Result_Database!AD$2:AD$500),
  _xlfn.IFNA(_xlpm.result, "")
)</f>
        <v/>
      </c>
      <c r="AF185" t="str">
        <f>_xlfn.LET(
  _xlpm.result, _xlfn.XLOOKUP($B185, Result_Database!$A$2:$A$500, Result_Database!AE$2:AE$500),
  _xlfn.IFNA(_xlpm.result, "")
)</f>
        <v/>
      </c>
      <c r="AG185" t="str">
        <f>_xlfn.LET(
  _xlpm.result, _xlfn.XLOOKUP($B185, Result_Database!$A$2:$A$500, Result_Database!AF$2:AF$500),
  _xlfn.IFNA(_xlpm.result, "")
)</f>
        <v/>
      </c>
      <c r="AH185" t="str">
        <f>_xlfn.LET(
  _xlpm.result, _xlfn.XLOOKUP($B185, Result_Database!$A$2:$A$500, Result_Database!AG$2:AG$500),
  _xlfn.IFNA(_xlpm.result, "")
)</f>
        <v/>
      </c>
      <c r="AI185" t="str">
        <f>_xlfn.LET(
  _xlpm.result, _xlfn.XLOOKUP($B185, Result_Database!$A$2:$A$500, Result_Database!AH$2:AH$500),
  _xlfn.IFNA(_xlpm.result, "")
)</f>
        <v/>
      </c>
      <c r="AJ185" t="str">
        <f>_xlfn.LET(
  _xlpm.result, _xlfn.XLOOKUP($B185, Result_Database!$A$2:$A$500, Result_Database!AI$2:AI$500),
  _xlfn.IFNA(_xlpm.result, "")
)</f>
        <v/>
      </c>
      <c r="AK185" t="str">
        <f>_xlfn.LET(
  _xlpm.result, _xlfn.XLOOKUP($B185, Result_Database!$A$2:$A$500, Result_Database!AJ$2:AJ$500),
  _xlfn.IFNA(_xlpm.result, "")
)</f>
        <v/>
      </c>
      <c r="AL185" t="str">
        <f>_xlfn.LET(
  _xlpm.result, _xlfn.XLOOKUP($B185, Result_Database!$A$2:$A$500, Result_Database!AK$2:AK$500),
  _xlfn.IFNA(_xlpm.result, "")
)</f>
        <v/>
      </c>
      <c r="AM18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8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8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8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8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8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8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8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8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85" t="str">
        <f>IF(SUM(Table5[[#This Row],[A1]:[C6]])&lt;&gt;0,SUM(Table5[[#This Row],[A1]:[C6]]),"")</f>
        <v/>
      </c>
      <c r="AW185" t="str">
        <f>IF(SUM(Table5[[#This Row],[D7]:[F9]])=0,"",SUM(Table5[[#This Row],[D7]:[F9]]))</f>
        <v/>
      </c>
      <c r="AX18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8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8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8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8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8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85" t="str">
        <f>IF(COUNTIF(Table5[[#This Row],[English Language]:[Electrical/ Electronics]],"WITHHELD")=0,"",COUNTIF(Table5[[#This Row],[English Language]:[Electrical/ Electronics]],"WITHHELD"))</f>
        <v/>
      </c>
      <c r="BE185" t="str">
        <f>IF(SUM(Table5[[#This Row],[NO OF CREDITS]:[BELOW CREDITS]])=0,"",SUM(Table5[[#This Row],[NO OF CREDITS]:[BELOW CREDITS]]))</f>
        <v/>
      </c>
    </row>
    <row r="186" spans="1:57" x14ac:dyDescent="0.3">
      <c r="A186" t="str">
        <f>IF(B186&lt;&gt;"",COUNTA($B$6:B186),"")</f>
        <v/>
      </c>
      <c r="B186" t="str">
        <f>IF(Result_Database!A182="","",Result_Database!A182)</f>
        <v/>
      </c>
      <c r="C186" t="str">
        <f>_xlfn.LET(
_xlpm.result,_xlfn.XLOOKUP($B186,Result_Database!$A$2:$A$500,Result_Database!$B$2:$B$500),
_xlfn.IFNA(_xlpm.result,"")
)</f>
        <v/>
      </c>
      <c r="D186" t="str">
        <f>_xlfn.LET(
  _xlpm.result, _xlfn.XLOOKUP($B186, Result_Database!$A$2:$A$500, Result_Database!C$2:C$500),
  _xlfn.IFNA(_xlpm.result, "")
)</f>
        <v/>
      </c>
      <c r="E186" t="str">
        <f>_xlfn.LET(
  _xlpm.result, _xlfn.XLOOKUP($B186, Result_Database!$A$2:$A$500, Result_Database!D$2:D$500),
  _xlfn.IFNA(_xlpm.result, "")
)</f>
        <v/>
      </c>
      <c r="F186" t="str">
        <f>_xlfn.LET(
  _xlpm.result, _xlfn.XLOOKUP($B186, Result_Database!$A$2:$A$500, Result_Database!E$2:E$500),
  _xlfn.IFNA(_xlpm.result, "")
)</f>
        <v/>
      </c>
      <c r="G186" t="str">
        <f>_xlfn.LET(
  _xlpm.result, _xlfn.XLOOKUP($B186, Result_Database!$A$2:$A$500, Result_Database!F$2:F$500),
  _xlfn.IFNA(_xlpm.result, "")
)</f>
        <v/>
      </c>
      <c r="H186" t="str">
        <f>_xlfn.LET(
  _xlpm.result, _xlfn.XLOOKUP($B186, Result_Database!$A$2:$A$500, Result_Database!G$2:G$500),
  _xlfn.IFNA(_xlpm.result, "")
)</f>
        <v/>
      </c>
      <c r="I186" t="str">
        <f>_xlfn.LET(
  _xlpm.result, _xlfn.XLOOKUP($B186, Result_Database!$A$2:$A$500, Result_Database!H$2:H$500),
  _xlfn.IFNA(_xlpm.result, "")
)</f>
        <v/>
      </c>
      <c r="J186" t="str">
        <f>_xlfn.LET(
  _xlpm.result, _xlfn.XLOOKUP($B186, Result_Database!$A$2:$A$500, Result_Database!I$2:I$500),
  _xlfn.IFNA(_xlpm.result, "")
)</f>
        <v/>
      </c>
      <c r="K186" t="str">
        <f>_xlfn.LET(
  _xlpm.result, _xlfn.XLOOKUP($B186, Result_Database!$A$2:$A$500, Result_Database!J$2:J$500),
  _xlfn.IFNA(_xlpm.result, "")
)</f>
        <v/>
      </c>
      <c r="L186" t="str">
        <f>_xlfn.LET(
  _xlpm.result, _xlfn.XLOOKUP($B186, Result_Database!$A$2:$A$500, Result_Database!K$2:K$500),
  _xlfn.IFNA(_xlpm.result, "")
)</f>
        <v/>
      </c>
      <c r="M186" t="str">
        <f>_xlfn.LET(
  _xlpm.result, _xlfn.XLOOKUP($B186, Result_Database!$A$2:$A$500, Result_Database!L$2:L$500),
  _xlfn.IFNA(_xlpm.result, "")
)</f>
        <v/>
      </c>
      <c r="N186" t="str">
        <f>_xlfn.LET(
  _xlpm.result, _xlfn.XLOOKUP($B186, Result_Database!$A$2:$A$500, Result_Database!M$2:M$500),
  _xlfn.IFNA(_xlpm.result, "")
)</f>
        <v/>
      </c>
      <c r="O186" t="str">
        <f>_xlfn.LET(
  _xlpm.result, _xlfn.XLOOKUP($B186, Result_Database!$A$2:$A$500, Result_Database!N$2:N$500),
  _xlfn.IFNA(_xlpm.result, "")
)</f>
        <v/>
      </c>
      <c r="P186" t="str">
        <f>_xlfn.LET(
  _xlpm.result, _xlfn.XLOOKUP($B186, Result_Database!$A$2:$A$500, Result_Database!O$2:O$500),
  _xlfn.IFNA(_xlpm.result, "")
)</f>
        <v/>
      </c>
      <c r="Q186" t="str">
        <f>_xlfn.LET(
  _xlpm.result, _xlfn.XLOOKUP($B186, Result_Database!$A$2:$A$500, Result_Database!P$2:P$500),
  _xlfn.IFNA(_xlpm.result, "")
)</f>
        <v/>
      </c>
      <c r="R186" t="str">
        <f>_xlfn.LET(
  _xlpm.result, _xlfn.XLOOKUP($B186, Result_Database!$A$2:$A$500, Result_Database!Q$2:Q$500),
  _xlfn.IFNA(_xlpm.result, "")
)</f>
        <v/>
      </c>
      <c r="S186" t="str">
        <f>_xlfn.LET(
  _xlpm.result, _xlfn.XLOOKUP($B186, Result_Database!$A$2:$A$500, Result_Database!R$2:R$500),
  _xlfn.IFNA(_xlpm.result, "")
)</f>
        <v/>
      </c>
      <c r="T186" t="str">
        <f>_xlfn.LET(
  _xlpm.result, _xlfn.XLOOKUP($B186, Result_Database!$A$2:$A$500, Result_Database!S$2:S$500),
  _xlfn.IFNA(_xlpm.result, "")
)</f>
        <v/>
      </c>
      <c r="U186" t="str">
        <f>_xlfn.LET(
  _xlpm.result, _xlfn.XLOOKUP($B186, Result_Database!$A$2:$A$500, Result_Database!T$2:T$500),
  _xlfn.IFNA(_xlpm.result, "")
)</f>
        <v/>
      </c>
      <c r="V186" t="str">
        <f>_xlfn.LET(
  _xlpm.result, _xlfn.XLOOKUP($B186, Result_Database!$A$2:$A$500, Result_Database!U$2:U$500),
  _xlfn.IFNA(_xlpm.result, "")
)</f>
        <v/>
      </c>
      <c r="W186" t="str">
        <f>_xlfn.LET(
  _xlpm.result, _xlfn.XLOOKUP($B186, Result_Database!$A$2:$A$500, Result_Database!V$2:V$500),
  _xlfn.IFNA(_xlpm.result, "")
)</f>
        <v/>
      </c>
      <c r="X186" t="str">
        <f>_xlfn.LET(
  _xlpm.result, _xlfn.XLOOKUP($B186, Result_Database!$A$2:$A$500, Result_Database!W$2:W$500),
  _xlfn.IFNA(_xlpm.result, "")
)</f>
        <v/>
      </c>
      <c r="Y186" t="str">
        <f>_xlfn.LET(
  _xlpm.result, _xlfn.XLOOKUP($B186, Result_Database!$A$2:$A$500, Result_Database!X$2:X$500),
  _xlfn.IFNA(_xlpm.result, "")
)</f>
        <v/>
      </c>
      <c r="Z186" t="str">
        <f>_xlfn.LET(
  _xlpm.result, _xlfn.XLOOKUP($B186, Result_Database!$A$2:$A$500, Result_Database!Y$2:Y$500),
  _xlfn.IFNA(_xlpm.result, "")
)</f>
        <v/>
      </c>
      <c r="AA186" t="str">
        <f>_xlfn.LET(
  _xlpm.result, _xlfn.XLOOKUP($B186, Result_Database!$A$2:$A$500, Result_Database!Z$2:Z$500),
  _xlfn.IFNA(_xlpm.result, "")
)</f>
        <v/>
      </c>
      <c r="AB186" t="str">
        <f>_xlfn.LET(
  _xlpm.result, _xlfn.XLOOKUP($B186, Result_Database!$A$2:$A$500, Result_Database!AA$2:AA$500),
  _xlfn.IFNA(_xlpm.result, "")
)</f>
        <v/>
      </c>
      <c r="AC186" t="str">
        <f>_xlfn.LET(
  _xlpm.result, _xlfn.XLOOKUP($B186, Result_Database!$A$2:$A$500, Result_Database!AB$2:AB$500),
  _xlfn.IFNA(_xlpm.result, "")
)</f>
        <v/>
      </c>
      <c r="AD186" t="str">
        <f>_xlfn.LET(
  _xlpm.result, _xlfn.XLOOKUP($B186, Result_Database!$A$2:$A$500, Result_Database!AC$2:AC$500),
  _xlfn.IFNA(_xlpm.result, "")
)</f>
        <v/>
      </c>
      <c r="AE186" t="str">
        <f>_xlfn.LET(
  _xlpm.result, _xlfn.XLOOKUP($B186, Result_Database!$A$2:$A$500, Result_Database!AD$2:AD$500),
  _xlfn.IFNA(_xlpm.result, "")
)</f>
        <v/>
      </c>
      <c r="AF186" t="str">
        <f>_xlfn.LET(
  _xlpm.result, _xlfn.XLOOKUP($B186, Result_Database!$A$2:$A$500, Result_Database!AE$2:AE$500),
  _xlfn.IFNA(_xlpm.result, "")
)</f>
        <v/>
      </c>
      <c r="AG186" t="str">
        <f>_xlfn.LET(
  _xlpm.result, _xlfn.XLOOKUP($B186, Result_Database!$A$2:$A$500, Result_Database!AF$2:AF$500),
  _xlfn.IFNA(_xlpm.result, "")
)</f>
        <v/>
      </c>
      <c r="AH186" t="str">
        <f>_xlfn.LET(
  _xlpm.result, _xlfn.XLOOKUP($B186, Result_Database!$A$2:$A$500, Result_Database!AG$2:AG$500),
  _xlfn.IFNA(_xlpm.result, "")
)</f>
        <v/>
      </c>
      <c r="AI186" t="str">
        <f>_xlfn.LET(
  _xlpm.result, _xlfn.XLOOKUP($B186, Result_Database!$A$2:$A$500, Result_Database!AH$2:AH$500),
  _xlfn.IFNA(_xlpm.result, "")
)</f>
        <v/>
      </c>
      <c r="AJ186" t="str">
        <f>_xlfn.LET(
  _xlpm.result, _xlfn.XLOOKUP($B186, Result_Database!$A$2:$A$500, Result_Database!AI$2:AI$500),
  _xlfn.IFNA(_xlpm.result, "")
)</f>
        <v/>
      </c>
      <c r="AK186" t="str">
        <f>_xlfn.LET(
  _xlpm.result, _xlfn.XLOOKUP($B186, Result_Database!$A$2:$A$500, Result_Database!AJ$2:AJ$500),
  _xlfn.IFNA(_xlpm.result, "")
)</f>
        <v/>
      </c>
      <c r="AL186" t="str">
        <f>_xlfn.LET(
  _xlpm.result, _xlfn.XLOOKUP($B186, Result_Database!$A$2:$A$500, Result_Database!AK$2:AK$500),
  _xlfn.IFNA(_xlpm.result, "")
)</f>
        <v/>
      </c>
      <c r="AM18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8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8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8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8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8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8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8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8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86" t="str">
        <f>IF(SUM(Table5[[#This Row],[A1]:[C6]])&lt;&gt;0,SUM(Table5[[#This Row],[A1]:[C6]]),"")</f>
        <v/>
      </c>
      <c r="AW186" t="str">
        <f>IF(SUM(Table5[[#This Row],[D7]:[F9]])=0,"",SUM(Table5[[#This Row],[D7]:[F9]]))</f>
        <v/>
      </c>
      <c r="AX18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8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8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8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8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8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86" t="str">
        <f>IF(COUNTIF(Table5[[#This Row],[English Language]:[Electrical/ Electronics]],"WITHHELD")=0,"",COUNTIF(Table5[[#This Row],[English Language]:[Electrical/ Electronics]],"WITHHELD"))</f>
        <v/>
      </c>
      <c r="BE186" t="str">
        <f>IF(SUM(Table5[[#This Row],[NO OF CREDITS]:[BELOW CREDITS]])=0,"",SUM(Table5[[#This Row],[NO OF CREDITS]:[BELOW CREDITS]]))</f>
        <v/>
      </c>
    </row>
    <row r="187" spans="1:57" x14ac:dyDescent="0.3">
      <c r="A187" t="str">
        <f>IF(B187&lt;&gt;"",COUNTA($B$6:B187),"")</f>
        <v/>
      </c>
      <c r="B187" t="str">
        <f>IF(Result_Database!A183="","",Result_Database!A183)</f>
        <v/>
      </c>
      <c r="C187" t="str">
        <f>_xlfn.LET(
_xlpm.result,_xlfn.XLOOKUP($B187,Result_Database!$A$2:$A$500,Result_Database!$B$2:$B$500),
_xlfn.IFNA(_xlpm.result,"")
)</f>
        <v/>
      </c>
      <c r="D187" t="str">
        <f>_xlfn.LET(
  _xlpm.result, _xlfn.XLOOKUP($B187, Result_Database!$A$2:$A$500, Result_Database!C$2:C$500),
  _xlfn.IFNA(_xlpm.result, "")
)</f>
        <v/>
      </c>
      <c r="E187" t="str">
        <f>_xlfn.LET(
  _xlpm.result, _xlfn.XLOOKUP($B187, Result_Database!$A$2:$A$500, Result_Database!D$2:D$500),
  _xlfn.IFNA(_xlpm.result, "")
)</f>
        <v/>
      </c>
      <c r="F187" t="str">
        <f>_xlfn.LET(
  _xlpm.result, _xlfn.XLOOKUP($B187, Result_Database!$A$2:$A$500, Result_Database!E$2:E$500),
  _xlfn.IFNA(_xlpm.result, "")
)</f>
        <v/>
      </c>
      <c r="G187" t="str">
        <f>_xlfn.LET(
  _xlpm.result, _xlfn.XLOOKUP($B187, Result_Database!$A$2:$A$500, Result_Database!F$2:F$500),
  _xlfn.IFNA(_xlpm.result, "")
)</f>
        <v/>
      </c>
      <c r="H187" t="str">
        <f>_xlfn.LET(
  _xlpm.result, _xlfn.XLOOKUP($B187, Result_Database!$A$2:$A$500, Result_Database!G$2:G$500),
  _xlfn.IFNA(_xlpm.result, "")
)</f>
        <v/>
      </c>
      <c r="I187" t="str">
        <f>_xlfn.LET(
  _xlpm.result, _xlfn.XLOOKUP($B187, Result_Database!$A$2:$A$500, Result_Database!H$2:H$500),
  _xlfn.IFNA(_xlpm.result, "")
)</f>
        <v/>
      </c>
      <c r="J187" t="str">
        <f>_xlfn.LET(
  _xlpm.result, _xlfn.XLOOKUP($B187, Result_Database!$A$2:$A$500, Result_Database!I$2:I$500),
  _xlfn.IFNA(_xlpm.result, "")
)</f>
        <v/>
      </c>
      <c r="K187" t="str">
        <f>_xlfn.LET(
  _xlpm.result, _xlfn.XLOOKUP($B187, Result_Database!$A$2:$A$500, Result_Database!J$2:J$500),
  _xlfn.IFNA(_xlpm.result, "")
)</f>
        <v/>
      </c>
      <c r="L187" t="str">
        <f>_xlfn.LET(
  _xlpm.result, _xlfn.XLOOKUP($B187, Result_Database!$A$2:$A$500, Result_Database!K$2:K$500),
  _xlfn.IFNA(_xlpm.result, "")
)</f>
        <v/>
      </c>
      <c r="M187" t="str">
        <f>_xlfn.LET(
  _xlpm.result, _xlfn.XLOOKUP($B187, Result_Database!$A$2:$A$500, Result_Database!L$2:L$500),
  _xlfn.IFNA(_xlpm.result, "")
)</f>
        <v/>
      </c>
      <c r="N187" t="str">
        <f>_xlfn.LET(
  _xlpm.result, _xlfn.XLOOKUP($B187, Result_Database!$A$2:$A$500, Result_Database!M$2:M$500),
  _xlfn.IFNA(_xlpm.result, "")
)</f>
        <v/>
      </c>
      <c r="O187" t="str">
        <f>_xlfn.LET(
  _xlpm.result, _xlfn.XLOOKUP($B187, Result_Database!$A$2:$A$500, Result_Database!N$2:N$500),
  _xlfn.IFNA(_xlpm.result, "")
)</f>
        <v/>
      </c>
      <c r="P187" t="str">
        <f>_xlfn.LET(
  _xlpm.result, _xlfn.XLOOKUP($B187, Result_Database!$A$2:$A$500, Result_Database!O$2:O$500),
  _xlfn.IFNA(_xlpm.result, "")
)</f>
        <v/>
      </c>
      <c r="Q187" t="str">
        <f>_xlfn.LET(
  _xlpm.result, _xlfn.XLOOKUP($B187, Result_Database!$A$2:$A$500, Result_Database!P$2:P$500),
  _xlfn.IFNA(_xlpm.result, "")
)</f>
        <v/>
      </c>
      <c r="R187" t="str">
        <f>_xlfn.LET(
  _xlpm.result, _xlfn.XLOOKUP($B187, Result_Database!$A$2:$A$500, Result_Database!Q$2:Q$500),
  _xlfn.IFNA(_xlpm.result, "")
)</f>
        <v/>
      </c>
      <c r="S187" t="str">
        <f>_xlfn.LET(
  _xlpm.result, _xlfn.XLOOKUP($B187, Result_Database!$A$2:$A$500, Result_Database!R$2:R$500),
  _xlfn.IFNA(_xlpm.result, "")
)</f>
        <v/>
      </c>
      <c r="T187" t="str">
        <f>_xlfn.LET(
  _xlpm.result, _xlfn.XLOOKUP($B187, Result_Database!$A$2:$A$500, Result_Database!S$2:S$500),
  _xlfn.IFNA(_xlpm.result, "")
)</f>
        <v/>
      </c>
      <c r="U187" t="str">
        <f>_xlfn.LET(
  _xlpm.result, _xlfn.XLOOKUP($B187, Result_Database!$A$2:$A$500, Result_Database!T$2:T$500),
  _xlfn.IFNA(_xlpm.result, "")
)</f>
        <v/>
      </c>
      <c r="V187" t="str">
        <f>_xlfn.LET(
  _xlpm.result, _xlfn.XLOOKUP($B187, Result_Database!$A$2:$A$500, Result_Database!U$2:U$500),
  _xlfn.IFNA(_xlpm.result, "")
)</f>
        <v/>
      </c>
      <c r="W187" t="str">
        <f>_xlfn.LET(
  _xlpm.result, _xlfn.XLOOKUP($B187, Result_Database!$A$2:$A$500, Result_Database!V$2:V$500),
  _xlfn.IFNA(_xlpm.result, "")
)</f>
        <v/>
      </c>
      <c r="X187" t="str">
        <f>_xlfn.LET(
  _xlpm.result, _xlfn.XLOOKUP($B187, Result_Database!$A$2:$A$500, Result_Database!W$2:W$500),
  _xlfn.IFNA(_xlpm.result, "")
)</f>
        <v/>
      </c>
      <c r="Y187" t="str">
        <f>_xlfn.LET(
  _xlpm.result, _xlfn.XLOOKUP($B187, Result_Database!$A$2:$A$500, Result_Database!X$2:X$500),
  _xlfn.IFNA(_xlpm.result, "")
)</f>
        <v/>
      </c>
      <c r="Z187" t="str">
        <f>_xlfn.LET(
  _xlpm.result, _xlfn.XLOOKUP($B187, Result_Database!$A$2:$A$500, Result_Database!Y$2:Y$500),
  _xlfn.IFNA(_xlpm.result, "")
)</f>
        <v/>
      </c>
      <c r="AA187" t="str">
        <f>_xlfn.LET(
  _xlpm.result, _xlfn.XLOOKUP($B187, Result_Database!$A$2:$A$500, Result_Database!Z$2:Z$500),
  _xlfn.IFNA(_xlpm.result, "")
)</f>
        <v/>
      </c>
      <c r="AB187" t="str">
        <f>_xlfn.LET(
  _xlpm.result, _xlfn.XLOOKUP($B187, Result_Database!$A$2:$A$500, Result_Database!AA$2:AA$500),
  _xlfn.IFNA(_xlpm.result, "")
)</f>
        <v/>
      </c>
      <c r="AC187" t="str">
        <f>_xlfn.LET(
  _xlpm.result, _xlfn.XLOOKUP($B187, Result_Database!$A$2:$A$500, Result_Database!AB$2:AB$500),
  _xlfn.IFNA(_xlpm.result, "")
)</f>
        <v/>
      </c>
      <c r="AD187" t="str">
        <f>_xlfn.LET(
  _xlpm.result, _xlfn.XLOOKUP($B187, Result_Database!$A$2:$A$500, Result_Database!AC$2:AC$500),
  _xlfn.IFNA(_xlpm.result, "")
)</f>
        <v/>
      </c>
      <c r="AE187" t="str">
        <f>_xlfn.LET(
  _xlpm.result, _xlfn.XLOOKUP($B187, Result_Database!$A$2:$A$500, Result_Database!AD$2:AD$500),
  _xlfn.IFNA(_xlpm.result, "")
)</f>
        <v/>
      </c>
      <c r="AF187" t="str">
        <f>_xlfn.LET(
  _xlpm.result, _xlfn.XLOOKUP($B187, Result_Database!$A$2:$A$500, Result_Database!AE$2:AE$500),
  _xlfn.IFNA(_xlpm.result, "")
)</f>
        <v/>
      </c>
      <c r="AG187" t="str">
        <f>_xlfn.LET(
  _xlpm.result, _xlfn.XLOOKUP($B187, Result_Database!$A$2:$A$500, Result_Database!AF$2:AF$500),
  _xlfn.IFNA(_xlpm.result, "")
)</f>
        <v/>
      </c>
      <c r="AH187" t="str">
        <f>_xlfn.LET(
  _xlpm.result, _xlfn.XLOOKUP($B187, Result_Database!$A$2:$A$500, Result_Database!AG$2:AG$500),
  _xlfn.IFNA(_xlpm.result, "")
)</f>
        <v/>
      </c>
      <c r="AI187" t="str">
        <f>_xlfn.LET(
  _xlpm.result, _xlfn.XLOOKUP($B187, Result_Database!$A$2:$A$500, Result_Database!AH$2:AH$500),
  _xlfn.IFNA(_xlpm.result, "")
)</f>
        <v/>
      </c>
      <c r="AJ187" t="str">
        <f>_xlfn.LET(
  _xlpm.result, _xlfn.XLOOKUP($B187, Result_Database!$A$2:$A$500, Result_Database!AI$2:AI$500),
  _xlfn.IFNA(_xlpm.result, "")
)</f>
        <v/>
      </c>
      <c r="AK187" t="str">
        <f>_xlfn.LET(
  _xlpm.result, _xlfn.XLOOKUP($B187, Result_Database!$A$2:$A$500, Result_Database!AJ$2:AJ$500),
  _xlfn.IFNA(_xlpm.result, "")
)</f>
        <v/>
      </c>
      <c r="AL187" t="str">
        <f>_xlfn.LET(
  _xlpm.result, _xlfn.XLOOKUP($B187, Result_Database!$A$2:$A$500, Result_Database!AK$2:AK$500),
  _xlfn.IFNA(_xlpm.result, "")
)</f>
        <v/>
      </c>
      <c r="AM18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8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8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8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8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8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8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8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8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87" t="str">
        <f>IF(SUM(Table5[[#This Row],[A1]:[C6]])&lt;&gt;0,SUM(Table5[[#This Row],[A1]:[C6]]),"")</f>
        <v/>
      </c>
      <c r="AW187" t="str">
        <f>IF(SUM(Table5[[#This Row],[D7]:[F9]])=0,"",SUM(Table5[[#This Row],[D7]:[F9]]))</f>
        <v/>
      </c>
      <c r="AX18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8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8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8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8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8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87" t="str">
        <f>IF(COUNTIF(Table5[[#This Row],[English Language]:[Electrical/ Electronics]],"WITHHELD")=0,"",COUNTIF(Table5[[#This Row],[English Language]:[Electrical/ Electronics]],"WITHHELD"))</f>
        <v/>
      </c>
      <c r="BE187" t="str">
        <f>IF(SUM(Table5[[#This Row],[NO OF CREDITS]:[BELOW CREDITS]])=0,"",SUM(Table5[[#This Row],[NO OF CREDITS]:[BELOW CREDITS]]))</f>
        <v/>
      </c>
    </row>
    <row r="188" spans="1:57" x14ac:dyDescent="0.3">
      <c r="A188" t="str">
        <f>IF(B188&lt;&gt;"",COUNTA($B$6:B188),"")</f>
        <v/>
      </c>
      <c r="B188" t="str">
        <f>IF(Result_Database!A184="","",Result_Database!A184)</f>
        <v/>
      </c>
      <c r="C188" t="str">
        <f>_xlfn.LET(
_xlpm.result,_xlfn.XLOOKUP($B188,Result_Database!$A$2:$A$500,Result_Database!$B$2:$B$500),
_xlfn.IFNA(_xlpm.result,"")
)</f>
        <v/>
      </c>
      <c r="D188" t="str">
        <f>_xlfn.LET(
  _xlpm.result, _xlfn.XLOOKUP($B188, Result_Database!$A$2:$A$500, Result_Database!C$2:C$500),
  _xlfn.IFNA(_xlpm.result, "")
)</f>
        <v/>
      </c>
      <c r="E188" t="str">
        <f>_xlfn.LET(
  _xlpm.result, _xlfn.XLOOKUP($B188, Result_Database!$A$2:$A$500, Result_Database!D$2:D$500),
  _xlfn.IFNA(_xlpm.result, "")
)</f>
        <v/>
      </c>
      <c r="F188" t="str">
        <f>_xlfn.LET(
  _xlpm.result, _xlfn.XLOOKUP($B188, Result_Database!$A$2:$A$500, Result_Database!E$2:E$500),
  _xlfn.IFNA(_xlpm.result, "")
)</f>
        <v/>
      </c>
      <c r="G188" t="str">
        <f>_xlfn.LET(
  _xlpm.result, _xlfn.XLOOKUP($B188, Result_Database!$A$2:$A$500, Result_Database!F$2:F$500),
  _xlfn.IFNA(_xlpm.result, "")
)</f>
        <v/>
      </c>
      <c r="H188" t="str">
        <f>_xlfn.LET(
  _xlpm.result, _xlfn.XLOOKUP($B188, Result_Database!$A$2:$A$500, Result_Database!G$2:G$500),
  _xlfn.IFNA(_xlpm.result, "")
)</f>
        <v/>
      </c>
      <c r="I188" t="str">
        <f>_xlfn.LET(
  _xlpm.result, _xlfn.XLOOKUP($B188, Result_Database!$A$2:$A$500, Result_Database!H$2:H$500),
  _xlfn.IFNA(_xlpm.result, "")
)</f>
        <v/>
      </c>
      <c r="J188" t="str">
        <f>_xlfn.LET(
  _xlpm.result, _xlfn.XLOOKUP($B188, Result_Database!$A$2:$A$500, Result_Database!I$2:I$500),
  _xlfn.IFNA(_xlpm.result, "")
)</f>
        <v/>
      </c>
      <c r="K188" t="str">
        <f>_xlfn.LET(
  _xlpm.result, _xlfn.XLOOKUP($B188, Result_Database!$A$2:$A$500, Result_Database!J$2:J$500),
  _xlfn.IFNA(_xlpm.result, "")
)</f>
        <v/>
      </c>
      <c r="L188" t="str">
        <f>_xlfn.LET(
  _xlpm.result, _xlfn.XLOOKUP($B188, Result_Database!$A$2:$A$500, Result_Database!K$2:K$500),
  _xlfn.IFNA(_xlpm.result, "")
)</f>
        <v/>
      </c>
      <c r="M188" t="str">
        <f>_xlfn.LET(
  _xlpm.result, _xlfn.XLOOKUP($B188, Result_Database!$A$2:$A$500, Result_Database!L$2:L$500),
  _xlfn.IFNA(_xlpm.result, "")
)</f>
        <v/>
      </c>
      <c r="N188" t="str">
        <f>_xlfn.LET(
  _xlpm.result, _xlfn.XLOOKUP($B188, Result_Database!$A$2:$A$500, Result_Database!M$2:M$500),
  _xlfn.IFNA(_xlpm.result, "")
)</f>
        <v/>
      </c>
      <c r="O188" t="str">
        <f>_xlfn.LET(
  _xlpm.result, _xlfn.XLOOKUP($B188, Result_Database!$A$2:$A$500, Result_Database!N$2:N$500),
  _xlfn.IFNA(_xlpm.result, "")
)</f>
        <v/>
      </c>
      <c r="P188" t="str">
        <f>_xlfn.LET(
  _xlpm.result, _xlfn.XLOOKUP($B188, Result_Database!$A$2:$A$500, Result_Database!O$2:O$500),
  _xlfn.IFNA(_xlpm.result, "")
)</f>
        <v/>
      </c>
      <c r="Q188" t="str">
        <f>_xlfn.LET(
  _xlpm.result, _xlfn.XLOOKUP($B188, Result_Database!$A$2:$A$500, Result_Database!P$2:P$500),
  _xlfn.IFNA(_xlpm.result, "")
)</f>
        <v/>
      </c>
      <c r="R188" t="str">
        <f>_xlfn.LET(
  _xlpm.result, _xlfn.XLOOKUP($B188, Result_Database!$A$2:$A$500, Result_Database!Q$2:Q$500),
  _xlfn.IFNA(_xlpm.result, "")
)</f>
        <v/>
      </c>
      <c r="S188" t="str">
        <f>_xlfn.LET(
  _xlpm.result, _xlfn.XLOOKUP($B188, Result_Database!$A$2:$A$500, Result_Database!R$2:R$500),
  _xlfn.IFNA(_xlpm.result, "")
)</f>
        <v/>
      </c>
      <c r="T188" t="str">
        <f>_xlfn.LET(
  _xlpm.result, _xlfn.XLOOKUP($B188, Result_Database!$A$2:$A$500, Result_Database!S$2:S$500),
  _xlfn.IFNA(_xlpm.result, "")
)</f>
        <v/>
      </c>
      <c r="U188" t="str">
        <f>_xlfn.LET(
  _xlpm.result, _xlfn.XLOOKUP($B188, Result_Database!$A$2:$A$500, Result_Database!T$2:T$500),
  _xlfn.IFNA(_xlpm.result, "")
)</f>
        <v/>
      </c>
      <c r="V188" t="str">
        <f>_xlfn.LET(
  _xlpm.result, _xlfn.XLOOKUP($B188, Result_Database!$A$2:$A$500, Result_Database!U$2:U$500),
  _xlfn.IFNA(_xlpm.result, "")
)</f>
        <v/>
      </c>
      <c r="W188" t="str">
        <f>_xlfn.LET(
  _xlpm.result, _xlfn.XLOOKUP($B188, Result_Database!$A$2:$A$500, Result_Database!V$2:V$500),
  _xlfn.IFNA(_xlpm.result, "")
)</f>
        <v/>
      </c>
      <c r="X188" t="str">
        <f>_xlfn.LET(
  _xlpm.result, _xlfn.XLOOKUP($B188, Result_Database!$A$2:$A$500, Result_Database!W$2:W$500),
  _xlfn.IFNA(_xlpm.result, "")
)</f>
        <v/>
      </c>
      <c r="Y188" t="str">
        <f>_xlfn.LET(
  _xlpm.result, _xlfn.XLOOKUP($B188, Result_Database!$A$2:$A$500, Result_Database!X$2:X$500),
  _xlfn.IFNA(_xlpm.result, "")
)</f>
        <v/>
      </c>
      <c r="Z188" t="str">
        <f>_xlfn.LET(
  _xlpm.result, _xlfn.XLOOKUP($B188, Result_Database!$A$2:$A$500, Result_Database!Y$2:Y$500),
  _xlfn.IFNA(_xlpm.result, "")
)</f>
        <v/>
      </c>
      <c r="AA188" t="str">
        <f>_xlfn.LET(
  _xlpm.result, _xlfn.XLOOKUP($B188, Result_Database!$A$2:$A$500, Result_Database!Z$2:Z$500),
  _xlfn.IFNA(_xlpm.result, "")
)</f>
        <v/>
      </c>
      <c r="AB188" t="str">
        <f>_xlfn.LET(
  _xlpm.result, _xlfn.XLOOKUP($B188, Result_Database!$A$2:$A$500, Result_Database!AA$2:AA$500),
  _xlfn.IFNA(_xlpm.result, "")
)</f>
        <v/>
      </c>
      <c r="AC188" t="str">
        <f>_xlfn.LET(
  _xlpm.result, _xlfn.XLOOKUP($B188, Result_Database!$A$2:$A$500, Result_Database!AB$2:AB$500),
  _xlfn.IFNA(_xlpm.result, "")
)</f>
        <v/>
      </c>
      <c r="AD188" t="str">
        <f>_xlfn.LET(
  _xlpm.result, _xlfn.XLOOKUP($B188, Result_Database!$A$2:$A$500, Result_Database!AC$2:AC$500),
  _xlfn.IFNA(_xlpm.result, "")
)</f>
        <v/>
      </c>
      <c r="AE188" t="str">
        <f>_xlfn.LET(
  _xlpm.result, _xlfn.XLOOKUP($B188, Result_Database!$A$2:$A$500, Result_Database!AD$2:AD$500),
  _xlfn.IFNA(_xlpm.result, "")
)</f>
        <v/>
      </c>
      <c r="AF188" t="str">
        <f>_xlfn.LET(
  _xlpm.result, _xlfn.XLOOKUP($B188, Result_Database!$A$2:$A$500, Result_Database!AE$2:AE$500),
  _xlfn.IFNA(_xlpm.result, "")
)</f>
        <v/>
      </c>
      <c r="AG188" t="str">
        <f>_xlfn.LET(
  _xlpm.result, _xlfn.XLOOKUP($B188, Result_Database!$A$2:$A$500, Result_Database!AF$2:AF$500),
  _xlfn.IFNA(_xlpm.result, "")
)</f>
        <v/>
      </c>
      <c r="AH188" t="str">
        <f>_xlfn.LET(
  _xlpm.result, _xlfn.XLOOKUP($B188, Result_Database!$A$2:$A$500, Result_Database!AG$2:AG$500),
  _xlfn.IFNA(_xlpm.result, "")
)</f>
        <v/>
      </c>
      <c r="AI188" t="str">
        <f>_xlfn.LET(
  _xlpm.result, _xlfn.XLOOKUP($B188, Result_Database!$A$2:$A$500, Result_Database!AH$2:AH$500),
  _xlfn.IFNA(_xlpm.result, "")
)</f>
        <v/>
      </c>
      <c r="AJ188" t="str">
        <f>_xlfn.LET(
  _xlpm.result, _xlfn.XLOOKUP($B188, Result_Database!$A$2:$A$500, Result_Database!AI$2:AI$500),
  _xlfn.IFNA(_xlpm.result, "")
)</f>
        <v/>
      </c>
      <c r="AK188" t="str">
        <f>_xlfn.LET(
  _xlpm.result, _xlfn.XLOOKUP($B188, Result_Database!$A$2:$A$500, Result_Database!AJ$2:AJ$500),
  _xlfn.IFNA(_xlpm.result, "")
)</f>
        <v/>
      </c>
      <c r="AL188" t="str">
        <f>_xlfn.LET(
  _xlpm.result, _xlfn.XLOOKUP($B188, Result_Database!$A$2:$A$500, Result_Database!AK$2:AK$500),
  _xlfn.IFNA(_xlpm.result, "")
)</f>
        <v/>
      </c>
      <c r="AM18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8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8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8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8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8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8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8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8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88" t="str">
        <f>IF(SUM(Table5[[#This Row],[A1]:[C6]])&lt;&gt;0,SUM(Table5[[#This Row],[A1]:[C6]]),"")</f>
        <v/>
      </c>
      <c r="AW188" t="str">
        <f>IF(SUM(Table5[[#This Row],[D7]:[F9]])=0,"",SUM(Table5[[#This Row],[D7]:[F9]]))</f>
        <v/>
      </c>
      <c r="AX18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8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8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8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8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8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88" t="str">
        <f>IF(COUNTIF(Table5[[#This Row],[English Language]:[Electrical/ Electronics]],"WITHHELD")=0,"",COUNTIF(Table5[[#This Row],[English Language]:[Electrical/ Electronics]],"WITHHELD"))</f>
        <v/>
      </c>
      <c r="BE188" t="str">
        <f>IF(SUM(Table5[[#This Row],[NO OF CREDITS]:[BELOW CREDITS]])=0,"",SUM(Table5[[#This Row],[NO OF CREDITS]:[BELOW CREDITS]]))</f>
        <v/>
      </c>
    </row>
    <row r="189" spans="1:57" x14ac:dyDescent="0.3">
      <c r="A189" t="str">
        <f>IF(B189&lt;&gt;"",COUNTA($B$6:B189),"")</f>
        <v/>
      </c>
      <c r="B189" t="str">
        <f>IF(Result_Database!A185="","",Result_Database!A185)</f>
        <v/>
      </c>
      <c r="C189" t="str">
        <f>_xlfn.LET(
_xlpm.result,_xlfn.XLOOKUP($B189,Result_Database!$A$2:$A$500,Result_Database!$B$2:$B$500),
_xlfn.IFNA(_xlpm.result,"")
)</f>
        <v/>
      </c>
      <c r="D189" t="str">
        <f>_xlfn.LET(
  _xlpm.result, _xlfn.XLOOKUP($B189, Result_Database!$A$2:$A$500, Result_Database!C$2:C$500),
  _xlfn.IFNA(_xlpm.result, "")
)</f>
        <v/>
      </c>
      <c r="E189" t="str">
        <f>_xlfn.LET(
  _xlpm.result, _xlfn.XLOOKUP($B189, Result_Database!$A$2:$A$500, Result_Database!D$2:D$500),
  _xlfn.IFNA(_xlpm.result, "")
)</f>
        <v/>
      </c>
      <c r="F189" t="str">
        <f>_xlfn.LET(
  _xlpm.result, _xlfn.XLOOKUP($B189, Result_Database!$A$2:$A$500, Result_Database!E$2:E$500),
  _xlfn.IFNA(_xlpm.result, "")
)</f>
        <v/>
      </c>
      <c r="G189" t="str">
        <f>_xlfn.LET(
  _xlpm.result, _xlfn.XLOOKUP($B189, Result_Database!$A$2:$A$500, Result_Database!F$2:F$500),
  _xlfn.IFNA(_xlpm.result, "")
)</f>
        <v/>
      </c>
      <c r="H189" t="str">
        <f>_xlfn.LET(
  _xlpm.result, _xlfn.XLOOKUP($B189, Result_Database!$A$2:$A$500, Result_Database!G$2:G$500),
  _xlfn.IFNA(_xlpm.result, "")
)</f>
        <v/>
      </c>
      <c r="I189" t="str">
        <f>_xlfn.LET(
  _xlpm.result, _xlfn.XLOOKUP($B189, Result_Database!$A$2:$A$500, Result_Database!H$2:H$500),
  _xlfn.IFNA(_xlpm.result, "")
)</f>
        <v/>
      </c>
      <c r="J189" t="str">
        <f>_xlfn.LET(
  _xlpm.result, _xlfn.XLOOKUP($B189, Result_Database!$A$2:$A$500, Result_Database!I$2:I$500),
  _xlfn.IFNA(_xlpm.result, "")
)</f>
        <v/>
      </c>
      <c r="K189" t="str">
        <f>_xlfn.LET(
  _xlpm.result, _xlfn.XLOOKUP($B189, Result_Database!$A$2:$A$500, Result_Database!J$2:J$500),
  _xlfn.IFNA(_xlpm.result, "")
)</f>
        <v/>
      </c>
      <c r="L189" t="str">
        <f>_xlfn.LET(
  _xlpm.result, _xlfn.XLOOKUP($B189, Result_Database!$A$2:$A$500, Result_Database!K$2:K$500),
  _xlfn.IFNA(_xlpm.result, "")
)</f>
        <v/>
      </c>
      <c r="M189" t="str">
        <f>_xlfn.LET(
  _xlpm.result, _xlfn.XLOOKUP($B189, Result_Database!$A$2:$A$500, Result_Database!L$2:L$500),
  _xlfn.IFNA(_xlpm.result, "")
)</f>
        <v/>
      </c>
      <c r="N189" t="str">
        <f>_xlfn.LET(
  _xlpm.result, _xlfn.XLOOKUP($B189, Result_Database!$A$2:$A$500, Result_Database!M$2:M$500),
  _xlfn.IFNA(_xlpm.result, "")
)</f>
        <v/>
      </c>
      <c r="O189" t="str">
        <f>_xlfn.LET(
  _xlpm.result, _xlfn.XLOOKUP($B189, Result_Database!$A$2:$A$500, Result_Database!N$2:N$500),
  _xlfn.IFNA(_xlpm.result, "")
)</f>
        <v/>
      </c>
      <c r="P189" t="str">
        <f>_xlfn.LET(
  _xlpm.result, _xlfn.XLOOKUP($B189, Result_Database!$A$2:$A$500, Result_Database!O$2:O$500),
  _xlfn.IFNA(_xlpm.result, "")
)</f>
        <v/>
      </c>
      <c r="Q189" t="str">
        <f>_xlfn.LET(
  _xlpm.result, _xlfn.XLOOKUP($B189, Result_Database!$A$2:$A$500, Result_Database!P$2:P$500),
  _xlfn.IFNA(_xlpm.result, "")
)</f>
        <v/>
      </c>
      <c r="R189" t="str">
        <f>_xlfn.LET(
  _xlpm.result, _xlfn.XLOOKUP($B189, Result_Database!$A$2:$A$500, Result_Database!Q$2:Q$500),
  _xlfn.IFNA(_xlpm.result, "")
)</f>
        <v/>
      </c>
      <c r="S189" t="str">
        <f>_xlfn.LET(
  _xlpm.result, _xlfn.XLOOKUP($B189, Result_Database!$A$2:$A$500, Result_Database!R$2:R$500),
  _xlfn.IFNA(_xlpm.result, "")
)</f>
        <v/>
      </c>
      <c r="T189" t="str">
        <f>_xlfn.LET(
  _xlpm.result, _xlfn.XLOOKUP($B189, Result_Database!$A$2:$A$500, Result_Database!S$2:S$500),
  _xlfn.IFNA(_xlpm.result, "")
)</f>
        <v/>
      </c>
      <c r="U189" t="str">
        <f>_xlfn.LET(
  _xlpm.result, _xlfn.XLOOKUP($B189, Result_Database!$A$2:$A$500, Result_Database!T$2:T$500),
  _xlfn.IFNA(_xlpm.result, "")
)</f>
        <v/>
      </c>
      <c r="V189" t="str">
        <f>_xlfn.LET(
  _xlpm.result, _xlfn.XLOOKUP($B189, Result_Database!$A$2:$A$500, Result_Database!U$2:U$500),
  _xlfn.IFNA(_xlpm.result, "")
)</f>
        <v/>
      </c>
      <c r="W189" t="str">
        <f>_xlfn.LET(
  _xlpm.result, _xlfn.XLOOKUP($B189, Result_Database!$A$2:$A$500, Result_Database!V$2:V$500),
  _xlfn.IFNA(_xlpm.result, "")
)</f>
        <v/>
      </c>
      <c r="X189" t="str">
        <f>_xlfn.LET(
  _xlpm.result, _xlfn.XLOOKUP($B189, Result_Database!$A$2:$A$500, Result_Database!W$2:W$500),
  _xlfn.IFNA(_xlpm.result, "")
)</f>
        <v/>
      </c>
      <c r="Y189" t="str">
        <f>_xlfn.LET(
  _xlpm.result, _xlfn.XLOOKUP($B189, Result_Database!$A$2:$A$500, Result_Database!X$2:X$500),
  _xlfn.IFNA(_xlpm.result, "")
)</f>
        <v/>
      </c>
      <c r="Z189" t="str">
        <f>_xlfn.LET(
  _xlpm.result, _xlfn.XLOOKUP($B189, Result_Database!$A$2:$A$500, Result_Database!Y$2:Y$500),
  _xlfn.IFNA(_xlpm.result, "")
)</f>
        <v/>
      </c>
      <c r="AA189" t="str">
        <f>_xlfn.LET(
  _xlpm.result, _xlfn.XLOOKUP($B189, Result_Database!$A$2:$A$500, Result_Database!Z$2:Z$500),
  _xlfn.IFNA(_xlpm.result, "")
)</f>
        <v/>
      </c>
      <c r="AB189" t="str">
        <f>_xlfn.LET(
  _xlpm.result, _xlfn.XLOOKUP($B189, Result_Database!$A$2:$A$500, Result_Database!AA$2:AA$500),
  _xlfn.IFNA(_xlpm.result, "")
)</f>
        <v/>
      </c>
      <c r="AC189" t="str">
        <f>_xlfn.LET(
  _xlpm.result, _xlfn.XLOOKUP($B189, Result_Database!$A$2:$A$500, Result_Database!AB$2:AB$500),
  _xlfn.IFNA(_xlpm.result, "")
)</f>
        <v/>
      </c>
      <c r="AD189" t="str">
        <f>_xlfn.LET(
  _xlpm.result, _xlfn.XLOOKUP($B189, Result_Database!$A$2:$A$500, Result_Database!AC$2:AC$500),
  _xlfn.IFNA(_xlpm.result, "")
)</f>
        <v/>
      </c>
      <c r="AE189" t="str">
        <f>_xlfn.LET(
  _xlpm.result, _xlfn.XLOOKUP($B189, Result_Database!$A$2:$A$500, Result_Database!AD$2:AD$500),
  _xlfn.IFNA(_xlpm.result, "")
)</f>
        <v/>
      </c>
      <c r="AF189" t="str">
        <f>_xlfn.LET(
  _xlpm.result, _xlfn.XLOOKUP($B189, Result_Database!$A$2:$A$500, Result_Database!AE$2:AE$500),
  _xlfn.IFNA(_xlpm.result, "")
)</f>
        <v/>
      </c>
      <c r="AG189" t="str">
        <f>_xlfn.LET(
  _xlpm.result, _xlfn.XLOOKUP($B189, Result_Database!$A$2:$A$500, Result_Database!AF$2:AF$500),
  _xlfn.IFNA(_xlpm.result, "")
)</f>
        <v/>
      </c>
      <c r="AH189" t="str">
        <f>_xlfn.LET(
  _xlpm.result, _xlfn.XLOOKUP($B189, Result_Database!$A$2:$A$500, Result_Database!AG$2:AG$500),
  _xlfn.IFNA(_xlpm.result, "")
)</f>
        <v/>
      </c>
      <c r="AI189" t="str">
        <f>_xlfn.LET(
  _xlpm.result, _xlfn.XLOOKUP($B189, Result_Database!$A$2:$A$500, Result_Database!AH$2:AH$500),
  _xlfn.IFNA(_xlpm.result, "")
)</f>
        <v/>
      </c>
      <c r="AJ189" t="str">
        <f>_xlfn.LET(
  _xlpm.result, _xlfn.XLOOKUP($B189, Result_Database!$A$2:$A$500, Result_Database!AI$2:AI$500),
  _xlfn.IFNA(_xlpm.result, "")
)</f>
        <v/>
      </c>
      <c r="AK189" t="str">
        <f>_xlfn.LET(
  _xlpm.result, _xlfn.XLOOKUP($B189, Result_Database!$A$2:$A$500, Result_Database!AJ$2:AJ$500),
  _xlfn.IFNA(_xlpm.result, "")
)</f>
        <v/>
      </c>
      <c r="AL189" t="str">
        <f>_xlfn.LET(
  _xlpm.result, _xlfn.XLOOKUP($B189, Result_Database!$A$2:$A$500, Result_Database!AK$2:AK$500),
  _xlfn.IFNA(_xlpm.result, "")
)</f>
        <v/>
      </c>
      <c r="AM18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8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8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8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8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8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8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8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8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89" t="str">
        <f>IF(SUM(Table5[[#This Row],[A1]:[C6]])&lt;&gt;0,SUM(Table5[[#This Row],[A1]:[C6]]),"")</f>
        <v/>
      </c>
      <c r="AW189" t="str">
        <f>IF(SUM(Table5[[#This Row],[D7]:[F9]])=0,"",SUM(Table5[[#This Row],[D7]:[F9]]))</f>
        <v/>
      </c>
      <c r="AX18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8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8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8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8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8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89" t="str">
        <f>IF(COUNTIF(Table5[[#This Row],[English Language]:[Electrical/ Electronics]],"WITHHELD")=0,"",COUNTIF(Table5[[#This Row],[English Language]:[Electrical/ Electronics]],"WITHHELD"))</f>
        <v/>
      </c>
      <c r="BE189" t="str">
        <f>IF(SUM(Table5[[#This Row],[NO OF CREDITS]:[BELOW CREDITS]])=0,"",SUM(Table5[[#This Row],[NO OF CREDITS]:[BELOW CREDITS]]))</f>
        <v/>
      </c>
    </row>
    <row r="190" spans="1:57" x14ac:dyDescent="0.3">
      <c r="A190" t="str">
        <f>IF(B190&lt;&gt;"",COUNTA($B$6:B190),"")</f>
        <v/>
      </c>
      <c r="B190" t="str">
        <f>IF(Result_Database!A186="","",Result_Database!A186)</f>
        <v/>
      </c>
      <c r="C190" t="str">
        <f>_xlfn.LET(
_xlpm.result,_xlfn.XLOOKUP($B190,Result_Database!$A$2:$A$500,Result_Database!$B$2:$B$500),
_xlfn.IFNA(_xlpm.result,"")
)</f>
        <v/>
      </c>
      <c r="D190" t="str">
        <f>_xlfn.LET(
  _xlpm.result, _xlfn.XLOOKUP($B190, Result_Database!$A$2:$A$500, Result_Database!C$2:C$500),
  _xlfn.IFNA(_xlpm.result, "")
)</f>
        <v/>
      </c>
      <c r="E190" t="str">
        <f>_xlfn.LET(
  _xlpm.result, _xlfn.XLOOKUP($B190, Result_Database!$A$2:$A$500, Result_Database!D$2:D$500),
  _xlfn.IFNA(_xlpm.result, "")
)</f>
        <v/>
      </c>
      <c r="F190" t="str">
        <f>_xlfn.LET(
  _xlpm.result, _xlfn.XLOOKUP($B190, Result_Database!$A$2:$A$500, Result_Database!E$2:E$500),
  _xlfn.IFNA(_xlpm.result, "")
)</f>
        <v/>
      </c>
      <c r="G190" t="str">
        <f>_xlfn.LET(
  _xlpm.result, _xlfn.XLOOKUP($B190, Result_Database!$A$2:$A$500, Result_Database!F$2:F$500),
  _xlfn.IFNA(_xlpm.result, "")
)</f>
        <v/>
      </c>
      <c r="H190" t="str">
        <f>_xlfn.LET(
  _xlpm.result, _xlfn.XLOOKUP($B190, Result_Database!$A$2:$A$500, Result_Database!G$2:G$500),
  _xlfn.IFNA(_xlpm.result, "")
)</f>
        <v/>
      </c>
      <c r="I190" t="str">
        <f>_xlfn.LET(
  _xlpm.result, _xlfn.XLOOKUP($B190, Result_Database!$A$2:$A$500, Result_Database!H$2:H$500),
  _xlfn.IFNA(_xlpm.result, "")
)</f>
        <v/>
      </c>
      <c r="J190" t="str">
        <f>_xlfn.LET(
  _xlpm.result, _xlfn.XLOOKUP($B190, Result_Database!$A$2:$A$500, Result_Database!I$2:I$500),
  _xlfn.IFNA(_xlpm.result, "")
)</f>
        <v/>
      </c>
      <c r="K190" t="str">
        <f>_xlfn.LET(
  _xlpm.result, _xlfn.XLOOKUP($B190, Result_Database!$A$2:$A$500, Result_Database!J$2:J$500),
  _xlfn.IFNA(_xlpm.result, "")
)</f>
        <v/>
      </c>
      <c r="L190" t="str">
        <f>_xlfn.LET(
  _xlpm.result, _xlfn.XLOOKUP($B190, Result_Database!$A$2:$A$500, Result_Database!K$2:K$500),
  _xlfn.IFNA(_xlpm.result, "")
)</f>
        <v/>
      </c>
      <c r="M190" t="str">
        <f>_xlfn.LET(
  _xlpm.result, _xlfn.XLOOKUP($B190, Result_Database!$A$2:$A$500, Result_Database!L$2:L$500),
  _xlfn.IFNA(_xlpm.result, "")
)</f>
        <v/>
      </c>
      <c r="N190" t="str">
        <f>_xlfn.LET(
  _xlpm.result, _xlfn.XLOOKUP($B190, Result_Database!$A$2:$A$500, Result_Database!M$2:M$500),
  _xlfn.IFNA(_xlpm.result, "")
)</f>
        <v/>
      </c>
      <c r="O190" t="str">
        <f>_xlfn.LET(
  _xlpm.result, _xlfn.XLOOKUP($B190, Result_Database!$A$2:$A$500, Result_Database!N$2:N$500),
  _xlfn.IFNA(_xlpm.result, "")
)</f>
        <v/>
      </c>
      <c r="P190" t="str">
        <f>_xlfn.LET(
  _xlpm.result, _xlfn.XLOOKUP($B190, Result_Database!$A$2:$A$500, Result_Database!O$2:O$500),
  _xlfn.IFNA(_xlpm.result, "")
)</f>
        <v/>
      </c>
      <c r="Q190" t="str">
        <f>_xlfn.LET(
  _xlpm.result, _xlfn.XLOOKUP($B190, Result_Database!$A$2:$A$500, Result_Database!P$2:P$500),
  _xlfn.IFNA(_xlpm.result, "")
)</f>
        <v/>
      </c>
      <c r="R190" t="str">
        <f>_xlfn.LET(
  _xlpm.result, _xlfn.XLOOKUP($B190, Result_Database!$A$2:$A$500, Result_Database!Q$2:Q$500),
  _xlfn.IFNA(_xlpm.result, "")
)</f>
        <v/>
      </c>
      <c r="S190" t="str">
        <f>_xlfn.LET(
  _xlpm.result, _xlfn.XLOOKUP($B190, Result_Database!$A$2:$A$500, Result_Database!R$2:R$500),
  _xlfn.IFNA(_xlpm.result, "")
)</f>
        <v/>
      </c>
      <c r="T190" t="str">
        <f>_xlfn.LET(
  _xlpm.result, _xlfn.XLOOKUP($B190, Result_Database!$A$2:$A$500, Result_Database!S$2:S$500),
  _xlfn.IFNA(_xlpm.result, "")
)</f>
        <v/>
      </c>
      <c r="U190" t="str">
        <f>_xlfn.LET(
  _xlpm.result, _xlfn.XLOOKUP($B190, Result_Database!$A$2:$A$500, Result_Database!T$2:T$500),
  _xlfn.IFNA(_xlpm.result, "")
)</f>
        <v/>
      </c>
      <c r="V190" t="str">
        <f>_xlfn.LET(
  _xlpm.result, _xlfn.XLOOKUP($B190, Result_Database!$A$2:$A$500, Result_Database!U$2:U$500),
  _xlfn.IFNA(_xlpm.result, "")
)</f>
        <v/>
      </c>
      <c r="W190" t="str">
        <f>_xlfn.LET(
  _xlpm.result, _xlfn.XLOOKUP($B190, Result_Database!$A$2:$A$500, Result_Database!V$2:V$500),
  _xlfn.IFNA(_xlpm.result, "")
)</f>
        <v/>
      </c>
      <c r="X190" t="str">
        <f>_xlfn.LET(
  _xlpm.result, _xlfn.XLOOKUP($B190, Result_Database!$A$2:$A$500, Result_Database!W$2:W$500),
  _xlfn.IFNA(_xlpm.result, "")
)</f>
        <v/>
      </c>
      <c r="Y190" t="str">
        <f>_xlfn.LET(
  _xlpm.result, _xlfn.XLOOKUP($B190, Result_Database!$A$2:$A$500, Result_Database!X$2:X$500),
  _xlfn.IFNA(_xlpm.result, "")
)</f>
        <v/>
      </c>
      <c r="Z190" t="str">
        <f>_xlfn.LET(
  _xlpm.result, _xlfn.XLOOKUP($B190, Result_Database!$A$2:$A$500, Result_Database!Y$2:Y$500),
  _xlfn.IFNA(_xlpm.result, "")
)</f>
        <v/>
      </c>
      <c r="AA190" t="str">
        <f>_xlfn.LET(
  _xlpm.result, _xlfn.XLOOKUP($B190, Result_Database!$A$2:$A$500, Result_Database!Z$2:Z$500),
  _xlfn.IFNA(_xlpm.result, "")
)</f>
        <v/>
      </c>
      <c r="AB190" t="str">
        <f>_xlfn.LET(
  _xlpm.result, _xlfn.XLOOKUP($B190, Result_Database!$A$2:$A$500, Result_Database!AA$2:AA$500),
  _xlfn.IFNA(_xlpm.result, "")
)</f>
        <v/>
      </c>
      <c r="AC190" t="str">
        <f>_xlfn.LET(
  _xlpm.result, _xlfn.XLOOKUP($B190, Result_Database!$A$2:$A$500, Result_Database!AB$2:AB$500),
  _xlfn.IFNA(_xlpm.result, "")
)</f>
        <v/>
      </c>
      <c r="AD190" t="str">
        <f>_xlfn.LET(
  _xlpm.result, _xlfn.XLOOKUP($B190, Result_Database!$A$2:$A$500, Result_Database!AC$2:AC$500),
  _xlfn.IFNA(_xlpm.result, "")
)</f>
        <v/>
      </c>
      <c r="AE190" t="str">
        <f>_xlfn.LET(
  _xlpm.result, _xlfn.XLOOKUP($B190, Result_Database!$A$2:$A$500, Result_Database!AD$2:AD$500),
  _xlfn.IFNA(_xlpm.result, "")
)</f>
        <v/>
      </c>
      <c r="AF190" t="str">
        <f>_xlfn.LET(
  _xlpm.result, _xlfn.XLOOKUP($B190, Result_Database!$A$2:$A$500, Result_Database!AE$2:AE$500),
  _xlfn.IFNA(_xlpm.result, "")
)</f>
        <v/>
      </c>
      <c r="AG190" t="str">
        <f>_xlfn.LET(
  _xlpm.result, _xlfn.XLOOKUP($B190, Result_Database!$A$2:$A$500, Result_Database!AF$2:AF$500),
  _xlfn.IFNA(_xlpm.result, "")
)</f>
        <v/>
      </c>
      <c r="AH190" t="str">
        <f>_xlfn.LET(
  _xlpm.result, _xlfn.XLOOKUP($B190, Result_Database!$A$2:$A$500, Result_Database!AG$2:AG$500),
  _xlfn.IFNA(_xlpm.result, "")
)</f>
        <v/>
      </c>
      <c r="AI190" t="str">
        <f>_xlfn.LET(
  _xlpm.result, _xlfn.XLOOKUP($B190, Result_Database!$A$2:$A$500, Result_Database!AH$2:AH$500),
  _xlfn.IFNA(_xlpm.result, "")
)</f>
        <v/>
      </c>
      <c r="AJ190" t="str">
        <f>_xlfn.LET(
  _xlpm.result, _xlfn.XLOOKUP($B190, Result_Database!$A$2:$A$500, Result_Database!AI$2:AI$500),
  _xlfn.IFNA(_xlpm.result, "")
)</f>
        <v/>
      </c>
      <c r="AK190" t="str">
        <f>_xlfn.LET(
  _xlpm.result, _xlfn.XLOOKUP($B190, Result_Database!$A$2:$A$500, Result_Database!AJ$2:AJ$500),
  _xlfn.IFNA(_xlpm.result, "")
)</f>
        <v/>
      </c>
      <c r="AL190" t="str">
        <f>_xlfn.LET(
  _xlpm.result, _xlfn.XLOOKUP($B190, Result_Database!$A$2:$A$500, Result_Database!AK$2:AK$500),
  _xlfn.IFNA(_xlpm.result, "")
)</f>
        <v/>
      </c>
      <c r="AM19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9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9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9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9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9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9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9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9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90" t="str">
        <f>IF(SUM(Table5[[#This Row],[A1]:[C6]])&lt;&gt;0,SUM(Table5[[#This Row],[A1]:[C6]]),"")</f>
        <v/>
      </c>
      <c r="AW190" t="str">
        <f>IF(SUM(Table5[[#This Row],[D7]:[F9]])=0,"",SUM(Table5[[#This Row],[D7]:[F9]]))</f>
        <v/>
      </c>
      <c r="AX19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9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9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9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9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9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90" t="str">
        <f>IF(COUNTIF(Table5[[#This Row],[English Language]:[Electrical/ Electronics]],"WITHHELD")=0,"",COUNTIF(Table5[[#This Row],[English Language]:[Electrical/ Electronics]],"WITHHELD"))</f>
        <v/>
      </c>
      <c r="BE190" t="str">
        <f>IF(SUM(Table5[[#This Row],[NO OF CREDITS]:[BELOW CREDITS]])=0,"",SUM(Table5[[#This Row],[NO OF CREDITS]:[BELOW CREDITS]]))</f>
        <v/>
      </c>
    </row>
    <row r="191" spans="1:57" x14ac:dyDescent="0.3">
      <c r="A191" t="str">
        <f>IF(B191&lt;&gt;"",COUNTA($B$6:B191),"")</f>
        <v/>
      </c>
      <c r="B191" t="str">
        <f>IF(Result_Database!A187="","",Result_Database!A187)</f>
        <v/>
      </c>
      <c r="C191" t="str">
        <f>_xlfn.LET(
_xlpm.result,_xlfn.XLOOKUP($B191,Result_Database!$A$2:$A$500,Result_Database!$B$2:$B$500),
_xlfn.IFNA(_xlpm.result,"")
)</f>
        <v/>
      </c>
      <c r="D191" t="str">
        <f>_xlfn.LET(
  _xlpm.result, _xlfn.XLOOKUP($B191, Result_Database!$A$2:$A$500, Result_Database!C$2:C$500),
  _xlfn.IFNA(_xlpm.result, "")
)</f>
        <v/>
      </c>
      <c r="E191" t="str">
        <f>_xlfn.LET(
  _xlpm.result, _xlfn.XLOOKUP($B191, Result_Database!$A$2:$A$500, Result_Database!D$2:D$500),
  _xlfn.IFNA(_xlpm.result, "")
)</f>
        <v/>
      </c>
      <c r="F191" t="str">
        <f>_xlfn.LET(
  _xlpm.result, _xlfn.XLOOKUP($B191, Result_Database!$A$2:$A$500, Result_Database!E$2:E$500),
  _xlfn.IFNA(_xlpm.result, "")
)</f>
        <v/>
      </c>
      <c r="G191" t="str">
        <f>_xlfn.LET(
  _xlpm.result, _xlfn.XLOOKUP($B191, Result_Database!$A$2:$A$500, Result_Database!F$2:F$500),
  _xlfn.IFNA(_xlpm.result, "")
)</f>
        <v/>
      </c>
      <c r="H191" t="str">
        <f>_xlfn.LET(
  _xlpm.result, _xlfn.XLOOKUP($B191, Result_Database!$A$2:$A$500, Result_Database!G$2:G$500),
  _xlfn.IFNA(_xlpm.result, "")
)</f>
        <v/>
      </c>
      <c r="I191" t="str">
        <f>_xlfn.LET(
  _xlpm.result, _xlfn.XLOOKUP($B191, Result_Database!$A$2:$A$500, Result_Database!H$2:H$500),
  _xlfn.IFNA(_xlpm.result, "")
)</f>
        <v/>
      </c>
      <c r="J191" t="str">
        <f>_xlfn.LET(
  _xlpm.result, _xlfn.XLOOKUP($B191, Result_Database!$A$2:$A$500, Result_Database!I$2:I$500),
  _xlfn.IFNA(_xlpm.result, "")
)</f>
        <v/>
      </c>
      <c r="K191" t="str">
        <f>_xlfn.LET(
  _xlpm.result, _xlfn.XLOOKUP($B191, Result_Database!$A$2:$A$500, Result_Database!J$2:J$500),
  _xlfn.IFNA(_xlpm.result, "")
)</f>
        <v/>
      </c>
      <c r="L191" t="str">
        <f>_xlfn.LET(
  _xlpm.result, _xlfn.XLOOKUP($B191, Result_Database!$A$2:$A$500, Result_Database!K$2:K$500),
  _xlfn.IFNA(_xlpm.result, "")
)</f>
        <v/>
      </c>
      <c r="M191" t="str">
        <f>_xlfn.LET(
  _xlpm.result, _xlfn.XLOOKUP($B191, Result_Database!$A$2:$A$500, Result_Database!L$2:L$500),
  _xlfn.IFNA(_xlpm.result, "")
)</f>
        <v/>
      </c>
      <c r="N191" t="str">
        <f>_xlfn.LET(
  _xlpm.result, _xlfn.XLOOKUP($B191, Result_Database!$A$2:$A$500, Result_Database!M$2:M$500),
  _xlfn.IFNA(_xlpm.result, "")
)</f>
        <v/>
      </c>
      <c r="O191" t="str">
        <f>_xlfn.LET(
  _xlpm.result, _xlfn.XLOOKUP($B191, Result_Database!$A$2:$A$500, Result_Database!N$2:N$500),
  _xlfn.IFNA(_xlpm.result, "")
)</f>
        <v/>
      </c>
      <c r="P191" t="str">
        <f>_xlfn.LET(
  _xlpm.result, _xlfn.XLOOKUP($B191, Result_Database!$A$2:$A$500, Result_Database!O$2:O$500),
  _xlfn.IFNA(_xlpm.result, "")
)</f>
        <v/>
      </c>
      <c r="Q191" t="str">
        <f>_xlfn.LET(
  _xlpm.result, _xlfn.XLOOKUP($B191, Result_Database!$A$2:$A$500, Result_Database!P$2:P$500),
  _xlfn.IFNA(_xlpm.result, "")
)</f>
        <v/>
      </c>
      <c r="R191" t="str">
        <f>_xlfn.LET(
  _xlpm.result, _xlfn.XLOOKUP($B191, Result_Database!$A$2:$A$500, Result_Database!Q$2:Q$500),
  _xlfn.IFNA(_xlpm.result, "")
)</f>
        <v/>
      </c>
      <c r="S191" t="str">
        <f>_xlfn.LET(
  _xlpm.result, _xlfn.XLOOKUP($B191, Result_Database!$A$2:$A$500, Result_Database!R$2:R$500),
  _xlfn.IFNA(_xlpm.result, "")
)</f>
        <v/>
      </c>
      <c r="T191" t="str">
        <f>_xlfn.LET(
  _xlpm.result, _xlfn.XLOOKUP($B191, Result_Database!$A$2:$A$500, Result_Database!S$2:S$500),
  _xlfn.IFNA(_xlpm.result, "")
)</f>
        <v/>
      </c>
      <c r="U191" t="str">
        <f>_xlfn.LET(
  _xlpm.result, _xlfn.XLOOKUP($B191, Result_Database!$A$2:$A$500, Result_Database!T$2:T$500),
  _xlfn.IFNA(_xlpm.result, "")
)</f>
        <v/>
      </c>
      <c r="V191" t="str">
        <f>_xlfn.LET(
  _xlpm.result, _xlfn.XLOOKUP($B191, Result_Database!$A$2:$A$500, Result_Database!U$2:U$500),
  _xlfn.IFNA(_xlpm.result, "")
)</f>
        <v/>
      </c>
      <c r="W191" t="str">
        <f>_xlfn.LET(
  _xlpm.result, _xlfn.XLOOKUP($B191, Result_Database!$A$2:$A$500, Result_Database!V$2:V$500),
  _xlfn.IFNA(_xlpm.result, "")
)</f>
        <v/>
      </c>
      <c r="X191" t="str">
        <f>_xlfn.LET(
  _xlpm.result, _xlfn.XLOOKUP($B191, Result_Database!$A$2:$A$500, Result_Database!W$2:W$500),
  _xlfn.IFNA(_xlpm.result, "")
)</f>
        <v/>
      </c>
      <c r="Y191" t="str">
        <f>_xlfn.LET(
  _xlpm.result, _xlfn.XLOOKUP($B191, Result_Database!$A$2:$A$500, Result_Database!X$2:X$500),
  _xlfn.IFNA(_xlpm.result, "")
)</f>
        <v/>
      </c>
      <c r="Z191" t="str">
        <f>_xlfn.LET(
  _xlpm.result, _xlfn.XLOOKUP($B191, Result_Database!$A$2:$A$500, Result_Database!Y$2:Y$500),
  _xlfn.IFNA(_xlpm.result, "")
)</f>
        <v/>
      </c>
      <c r="AA191" t="str">
        <f>_xlfn.LET(
  _xlpm.result, _xlfn.XLOOKUP($B191, Result_Database!$A$2:$A$500, Result_Database!Z$2:Z$500),
  _xlfn.IFNA(_xlpm.result, "")
)</f>
        <v/>
      </c>
      <c r="AB191" t="str">
        <f>_xlfn.LET(
  _xlpm.result, _xlfn.XLOOKUP($B191, Result_Database!$A$2:$A$500, Result_Database!AA$2:AA$500),
  _xlfn.IFNA(_xlpm.result, "")
)</f>
        <v/>
      </c>
      <c r="AC191" t="str">
        <f>_xlfn.LET(
  _xlpm.result, _xlfn.XLOOKUP($B191, Result_Database!$A$2:$A$500, Result_Database!AB$2:AB$500),
  _xlfn.IFNA(_xlpm.result, "")
)</f>
        <v/>
      </c>
      <c r="AD191" t="str">
        <f>_xlfn.LET(
  _xlpm.result, _xlfn.XLOOKUP($B191, Result_Database!$A$2:$A$500, Result_Database!AC$2:AC$500),
  _xlfn.IFNA(_xlpm.result, "")
)</f>
        <v/>
      </c>
      <c r="AE191" t="str">
        <f>_xlfn.LET(
  _xlpm.result, _xlfn.XLOOKUP($B191, Result_Database!$A$2:$A$500, Result_Database!AD$2:AD$500),
  _xlfn.IFNA(_xlpm.result, "")
)</f>
        <v/>
      </c>
      <c r="AF191" t="str">
        <f>_xlfn.LET(
  _xlpm.result, _xlfn.XLOOKUP($B191, Result_Database!$A$2:$A$500, Result_Database!AE$2:AE$500),
  _xlfn.IFNA(_xlpm.result, "")
)</f>
        <v/>
      </c>
      <c r="AG191" t="str">
        <f>_xlfn.LET(
  _xlpm.result, _xlfn.XLOOKUP($B191, Result_Database!$A$2:$A$500, Result_Database!AF$2:AF$500),
  _xlfn.IFNA(_xlpm.result, "")
)</f>
        <v/>
      </c>
      <c r="AH191" t="str">
        <f>_xlfn.LET(
  _xlpm.result, _xlfn.XLOOKUP($B191, Result_Database!$A$2:$A$500, Result_Database!AG$2:AG$500),
  _xlfn.IFNA(_xlpm.result, "")
)</f>
        <v/>
      </c>
      <c r="AI191" t="str">
        <f>_xlfn.LET(
  _xlpm.result, _xlfn.XLOOKUP($B191, Result_Database!$A$2:$A$500, Result_Database!AH$2:AH$500),
  _xlfn.IFNA(_xlpm.result, "")
)</f>
        <v/>
      </c>
      <c r="AJ191" t="str">
        <f>_xlfn.LET(
  _xlpm.result, _xlfn.XLOOKUP($B191, Result_Database!$A$2:$A$500, Result_Database!AI$2:AI$500),
  _xlfn.IFNA(_xlpm.result, "")
)</f>
        <v/>
      </c>
      <c r="AK191" t="str">
        <f>_xlfn.LET(
  _xlpm.result, _xlfn.XLOOKUP($B191, Result_Database!$A$2:$A$500, Result_Database!AJ$2:AJ$500),
  _xlfn.IFNA(_xlpm.result, "")
)</f>
        <v/>
      </c>
      <c r="AL191" t="str">
        <f>_xlfn.LET(
  _xlpm.result, _xlfn.XLOOKUP($B191, Result_Database!$A$2:$A$500, Result_Database!AK$2:AK$500),
  _xlfn.IFNA(_xlpm.result, "")
)</f>
        <v/>
      </c>
      <c r="AM19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9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9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9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9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9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9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9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9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91" t="str">
        <f>IF(SUM(Table5[[#This Row],[A1]:[C6]])&lt;&gt;0,SUM(Table5[[#This Row],[A1]:[C6]]),"")</f>
        <v/>
      </c>
      <c r="AW191" t="str">
        <f>IF(SUM(Table5[[#This Row],[D7]:[F9]])=0,"",SUM(Table5[[#This Row],[D7]:[F9]]))</f>
        <v/>
      </c>
      <c r="AX19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9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9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9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9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9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91" t="str">
        <f>IF(COUNTIF(Table5[[#This Row],[English Language]:[Electrical/ Electronics]],"WITHHELD")=0,"",COUNTIF(Table5[[#This Row],[English Language]:[Electrical/ Electronics]],"WITHHELD"))</f>
        <v/>
      </c>
      <c r="BE191" t="str">
        <f>IF(SUM(Table5[[#This Row],[NO OF CREDITS]:[BELOW CREDITS]])=0,"",SUM(Table5[[#This Row],[NO OF CREDITS]:[BELOW CREDITS]]))</f>
        <v/>
      </c>
    </row>
    <row r="192" spans="1:57" x14ac:dyDescent="0.3">
      <c r="A192" t="str">
        <f>IF(B192&lt;&gt;"",COUNTA($B$6:B192),"")</f>
        <v/>
      </c>
      <c r="B192" t="str">
        <f>IF(Result_Database!A188="","",Result_Database!A188)</f>
        <v/>
      </c>
      <c r="C192" t="str">
        <f>_xlfn.LET(
_xlpm.result,_xlfn.XLOOKUP($B192,Result_Database!$A$2:$A$500,Result_Database!$B$2:$B$500),
_xlfn.IFNA(_xlpm.result,"")
)</f>
        <v/>
      </c>
      <c r="D192" t="str">
        <f>_xlfn.LET(
  _xlpm.result, _xlfn.XLOOKUP($B192, Result_Database!$A$2:$A$500, Result_Database!C$2:C$500),
  _xlfn.IFNA(_xlpm.result, "")
)</f>
        <v/>
      </c>
      <c r="E192" t="str">
        <f>_xlfn.LET(
  _xlpm.result, _xlfn.XLOOKUP($B192, Result_Database!$A$2:$A$500, Result_Database!D$2:D$500),
  _xlfn.IFNA(_xlpm.result, "")
)</f>
        <v/>
      </c>
      <c r="F192" t="str">
        <f>_xlfn.LET(
  _xlpm.result, _xlfn.XLOOKUP($B192, Result_Database!$A$2:$A$500, Result_Database!E$2:E$500),
  _xlfn.IFNA(_xlpm.result, "")
)</f>
        <v/>
      </c>
      <c r="G192" t="str">
        <f>_xlfn.LET(
  _xlpm.result, _xlfn.XLOOKUP($B192, Result_Database!$A$2:$A$500, Result_Database!F$2:F$500),
  _xlfn.IFNA(_xlpm.result, "")
)</f>
        <v/>
      </c>
      <c r="H192" t="str">
        <f>_xlfn.LET(
  _xlpm.result, _xlfn.XLOOKUP($B192, Result_Database!$A$2:$A$500, Result_Database!G$2:G$500),
  _xlfn.IFNA(_xlpm.result, "")
)</f>
        <v/>
      </c>
      <c r="I192" t="str">
        <f>_xlfn.LET(
  _xlpm.result, _xlfn.XLOOKUP($B192, Result_Database!$A$2:$A$500, Result_Database!H$2:H$500),
  _xlfn.IFNA(_xlpm.result, "")
)</f>
        <v/>
      </c>
      <c r="J192" t="str">
        <f>_xlfn.LET(
  _xlpm.result, _xlfn.XLOOKUP($B192, Result_Database!$A$2:$A$500, Result_Database!I$2:I$500),
  _xlfn.IFNA(_xlpm.result, "")
)</f>
        <v/>
      </c>
      <c r="K192" t="str">
        <f>_xlfn.LET(
  _xlpm.result, _xlfn.XLOOKUP($B192, Result_Database!$A$2:$A$500, Result_Database!J$2:J$500),
  _xlfn.IFNA(_xlpm.result, "")
)</f>
        <v/>
      </c>
      <c r="L192" t="str">
        <f>_xlfn.LET(
  _xlpm.result, _xlfn.XLOOKUP($B192, Result_Database!$A$2:$A$500, Result_Database!K$2:K$500),
  _xlfn.IFNA(_xlpm.result, "")
)</f>
        <v/>
      </c>
      <c r="M192" t="str">
        <f>_xlfn.LET(
  _xlpm.result, _xlfn.XLOOKUP($B192, Result_Database!$A$2:$A$500, Result_Database!L$2:L$500),
  _xlfn.IFNA(_xlpm.result, "")
)</f>
        <v/>
      </c>
      <c r="N192" t="str">
        <f>_xlfn.LET(
  _xlpm.result, _xlfn.XLOOKUP($B192, Result_Database!$A$2:$A$500, Result_Database!M$2:M$500),
  _xlfn.IFNA(_xlpm.result, "")
)</f>
        <v/>
      </c>
      <c r="O192" t="str">
        <f>_xlfn.LET(
  _xlpm.result, _xlfn.XLOOKUP($B192, Result_Database!$A$2:$A$500, Result_Database!N$2:N$500),
  _xlfn.IFNA(_xlpm.result, "")
)</f>
        <v/>
      </c>
      <c r="P192" t="str">
        <f>_xlfn.LET(
  _xlpm.result, _xlfn.XLOOKUP($B192, Result_Database!$A$2:$A$500, Result_Database!O$2:O$500),
  _xlfn.IFNA(_xlpm.result, "")
)</f>
        <v/>
      </c>
      <c r="Q192" t="str">
        <f>_xlfn.LET(
  _xlpm.result, _xlfn.XLOOKUP($B192, Result_Database!$A$2:$A$500, Result_Database!P$2:P$500),
  _xlfn.IFNA(_xlpm.result, "")
)</f>
        <v/>
      </c>
      <c r="R192" t="str">
        <f>_xlfn.LET(
  _xlpm.result, _xlfn.XLOOKUP($B192, Result_Database!$A$2:$A$500, Result_Database!Q$2:Q$500),
  _xlfn.IFNA(_xlpm.result, "")
)</f>
        <v/>
      </c>
      <c r="S192" t="str">
        <f>_xlfn.LET(
  _xlpm.result, _xlfn.XLOOKUP($B192, Result_Database!$A$2:$A$500, Result_Database!R$2:R$500),
  _xlfn.IFNA(_xlpm.result, "")
)</f>
        <v/>
      </c>
      <c r="T192" t="str">
        <f>_xlfn.LET(
  _xlpm.result, _xlfn.XLOOKUP($B192, Result_Database!$A$2:$A$500, Result_Database!S$2:S$500),
  _xlfn.IFNA(_xlpm.result, "")
)</f>
        <v/>
      </c>
      <c r="U192" t="str">
        <f>_xlfn.LET(
  _xlpm.result, _xlfn.XLOOKUP($B192, Result_Database!$A$2:$A$500, Result_Database!T$2:T$500),
  _xlfn.IFNA(_xlpm.result, "")
)</f>
        <v/>
      </c>
      <c r="V192" t="str">
        <f>_xlfn.LET(
  _xlpm.result, _xlfn.XLOOKUP($B192, Result_Database!$A$2:$A$500, Result_Database!U$2:U$500),
  _xlfn.IFNA(_xlpm.result, "")
)</f>
        <v/>
      </c>
      <c r="W192" t="str">
        <f>_xlfn.LET(
  _xlpm.result, _xlfn.XLOOKUP($B192, Result_Database!$A$2:$A$500, Result_Database!V$2:V$500),
  _xlfn.IFNA(_xlpm.result, "")
)</f>
        <v/>
      </c>
      <c r="X192" t="str">
        <f>_xlfn.LET(
  _xlpm.result, _xlfn.XLOOKUP($B192, Result_Database!$A$2:$A$500, Result_Database!W$2:W$500),
  _xlfn.IFNA(_xlpm.result, "")
)</f>
        <v/>
      </c>
      <c r="Y192" t="str">
        <f>_xlfn.LET(
  _xlpm.result, _xlfn.XLOOKUP($B192, Result_Database!$A$2:$A$500, Result_Database!X$2:X$500),
  _xlfn.IFNA(_xlpm.result, "")
)</f>
        <v/>
      </c>
      <c r="Z192" t="str">
        <f>_xlfn.LET(
  _xlpm.result, _xlfn.XLOOKUP($B192, Result_Database!$A$2:$A$500, Result_Database!Y$2:Y$500),
  _xlfn.IFNA(_xlpm.result, "")
)</f>
        <v/>
      </c>
      <c r="AA192" t="str">
        <f>_xlfn.LET(
  _xlpm.result, _xlfn.XLOOKUP($B192, Result_Database!$A$2:$A$500, Result_Database!Z$2:Z$500),
  _xlfn.IFNA(_xlpm.result, "")
)</f>
        <v/>
      </c>
      <c r="AB192" t="str">
        <f>_xlfn.LET(
  _xlpm.result, _xlfn.XLOOKUP($B192, Result_Database!$A$2:$A$500, Result_Database!AA$2:AA$500),
  _xlfn.IFNA(_xlpm.result, "")
)</f>
        <v/>
      </c>
      <c r="AC192" t="str">
        <f>_xlfn.LET(
  _xlpm.result, _xlfn.XLOOKUP($B192, Result_Database!$A$2:$A$500, Result_Database!AB$2:AB$500),
  _xlfn.IFNA(_xlpm.result, "")
)</f>
        <v/>
      </c>
      <c r="AD192" t="str">
        <f>_xlfn.LET(
  _xlpm.result, _xlfn.XLOOKUP($B192, Result_Database!$A$2:$A$500, Result_Database!AC$2:AC$500),
  _xlfn.IFNA(_xlpm.result, "")
)</f>
        <v/>
      </c>
      <c r="AE192" t="str">
        <f>_xlfn.LET(
  _xlpm.result, _xlfn.XLOOKUP($B192, Result_Database!$A$2:$A$500, Result_Database!AD$2:AD$500),
  _xlfn.IFNA(_xlpm.result, "")
)</f>
        <v/>
      </c>
      <c r="AF192" t="str">
        <f>_xlfn.LET(
  _xlpm.result, _xlfn.XLOOKUP($B192, Result_Database!$A$2:$A$500, Result_Database!AE$2:AE$500),
  _xlfn.IFNA(_xlpm.result, "")
)</f>
        <v/>
      </c>
      <c r="AG192" t="str">
        <f>_xlfn.LET(
  _xlpm.result, _xlfn.XLOOKUP($B192, Result_Database!$A$2:$A$500, Result_Database!AF$2:AF$500),
  _xlfn.IFNA(_xlpm.result, "")
)</f>
        <v/>
      </c>
      <c r="AH192" t="str">
        <f>_xlfn.LET(
  _xlpm.result, _xlfn.XLOOKUP($B192, Result_Database!$A$2:$A$500, Result_Database!AG$2:AG$500),
  _xlfn.IFNA(_xlpm.result, "")
)</f>
        <v/>
      </c>
      <c r="AI192" t="str">
        <f>_xlfn.LET(
  _xlpm.result, _xlfn.XLOOKUP($B192, Result_Database!$A$2:$A$500, Result_Database!AH$2:AH$500),
  _xlfn.IFNA(_xlpm.result, "")
)</f>
        <v/>
      </c>
      <c r="AJ192" t="str">
        <f>_xlfn.LET(
  _xlpm.result, _xlfn.XLOOKUP($B192, Result_Database!$A$2:$A$500, Result_Database!AI$2:AI$500),
  _xlfn.IFNA(_xlpm.result, "")
)</f>
        <v/>
      </c>
      <c r="AK192" t="str">
        <f>_xlfn.LET(
  _xlpm.result, _xlfn.XLOOKUP($B192, Result_Database!$A$2:$A$500, Result_Database!AJ$2:AJ$500),
  _xlfn.IFNA(_xlpm.result, "")
)</f>
        <v/>
      </c>
      <c r="AL192" t="str">
        <f>_xlfn.LET(
  _xlpm.result, _xlfn.XLOOKUP($B192, Result_Database!$A$2:$A$500, Result_Database!AK$2:AK$500),
  _xlfn.IFNA(_xlpm.result, "")
)</f>
        <v/>
      </c>
      <c r="AM19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9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9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9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9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9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9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9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9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92" t="str">
        <f>IF(SUM(Table5[[#This Row],[A1]:[C6]])&lt;&gt;0,SUM(Table5[[#This Row],[A1]:[C6]]),"")</f>
        <v/>
      </c>
      <c r="AW192" t="str">
        <f>IF(SUM(Table5[[#This Row],[D7]:[F9]])=0,"",SUM(Table5[[#This Row],[D7]:[F9]]))</f>
        <v/>
      </c>
      <c r="AX19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9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9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9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9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9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92" t="str">
        <f>IF(COUNTIF(Table5[[#This Row],[English Language]:[Electrical/ Electronics]],"WITHHELD")=0,"",COUNTIF(Table5[[#This Row],[English Language]:[Electrical/ Electronics]],"WITHHELD"))</f>
        <v/>
      </c>
      <c r="BE192" t="str">
        <f>IF(SUM(Table5[[#This Row],[NO OF CREDITS]:[BELOW CREDITS]])=0,"",SUM(Table5[[#This Row],[NO OF CREDITS]:[BELOW CREDITS]]))</f>
        <v/>
      </c>
    </row>
    <row r="193" spans="1:57" x14ac:dyDescent="0.3">
      <c r="A193" t="str">
        <f>IF(B193&lt;&gt;"",COUNTA($B$6:B193),"")</f>
        <v/>
      </c>
      <c r="B193" t="str">
        <f>IF(Result_Database!A189="","",Result_Database!A189)</f>
        <v/>
      </c>
      <c r="C193" t="str">
        <f>_xlfn.LET(
_xlpm.result,_xlfn.XLOOKUP($B193,Result_Database!$A$2:$A$500,Result_Database!$B$2:$B$500),
_xlfn.IFNA(_xlpm.result,"")
)</f>
        <v/>
      </c>
      <c r="D193" t="str">
        <f>_xlfn.LET(
  _xlpm.result, _xlfn.XLOOKUP($B193, Result_Database!$A$2:$A$500, Result_Database!C$2:C$500),
  _xlfn.IFNA(_xlpm.result, "")
)</f>
        <v/>
      </c>
      <c r="E193" t="str">
        <f>_xlfn.LET(
  _xlpm.result, _xlfn.XLOOKUP($B193, Result_Database!$A$2:$A$500, Result_Database!D$2:D$500),
  _xlfn.IFNA(_xlpm.result, "")
)</f>
        <v/>
      </c>
      <c r="F193" t="str">
        <f>_xlfn.LET(
  _xlpm.result, _xlfn.XLOOKUP($B193, Result_Database!$A$2:$A$500, Result_Database!E$2:E$500),
  _xlfn.IFNA(_xlpm.result, "")
)</f>
        <v/>
      </c>
      <c r="G193" t="str">
        <f>_xlfn.LET(
  _xlpm.result, _xlfn.XLOOKUP($B193, Result_Database!$A$2:$A$500, Result_Database!F$2:F$500),
  _xlfn.IFNA(_xlpm.result, "")
)</f>
        <v/>
      </c>
      <c r="H193" t="str">
        <f>_xlfn.LET(
  _xlpm.result, _xlfn.XLOOKUP($B193, Result_Database!$A$2:$A$500, Result_Database!G$2:G$500),
  _xlfn.IFNA(_xlpm.result, "")
)</f>
        <v/>
      </c>
      <c r="I193" t="str">
        <f>_xlfn.LET(
  _xlpm.result, _xlfn.XLOOKUP($B193, Result_Database!$A$2:$A$500, Result_Database!H$2:H$500),
  _xlfn.IFNA(_xlpm.result, "")
)</f>
        <v/>
      </c>
      <c r="J193" t="str">
        <f>_xlfn.LET(
  _xlpm.result, _xlfn.XLOOKUP($B193, Result_Database!$A$2:$A$500, Result_Database!I$2:I$500),
  _xlfn.IFNA(_xlpm.result, "")
)</f>
        <v/>
      </c>
      <c r="K193" t="str">
        <f>_xlfn.LET(
  _xlpm.result, _xlfn.XLOOKUP($B193, Result_Database!$A$2:$A$500, Result_Database!J$2:J$500),
  _xlfn.IFNA(_xlpm.result, "")
)</f>
        <v/>
      </c>
      <c r="L193" t="str">
        <f>_xlfn.LET(
  _xlpm.result, _xlfn.XLOOKUP($B193, Result_Database!$A$2:$A$500, Result_Database!K$2:K$500),
  _xlfn.IFNA(_xlpm.result, "")
)</f>
        <v/>
      </c>
      <c r="M193" t="str">
        <f>_xlfn.LET(
  _xlpm.result, _xlfn.XLOOKUP($B193, Result_Database!$A$2:$A$500, Result_Database!L$2:L$500),
  _xlfn.IFNA(_xlpm.result, "")
)</f>
        <v/>
      </c>
      <c r="N193" t="str">
        <f>_xlfn.LET(
  _xlpm.result, _xlfn.XLOOKUP($B193, Result_Database!$A$2:$A$500, Result_Database!M$2:M$500),
  _xlfn.IFNA(_xlpm.result, "")
)</f>
        <v/>
      </c>
      <c r="O193" t="str">
        <f>_xlfn.LET(
  _xlpm.result, _xlfn.XLOOKUP($B193, Result_Database!$A$2:$A$500, Result_Database!N$2:N$500),
  _xlfn.IFNA(_xlpm.result, "")
)</f>
        <v/>
      </c>
      <c r="P193" t="str">
        <f>_xlfn.LET(
  _xlpm.result, _xlfn.XLOOKUP($B193, Result_Database!$A$2:$A$500, Result_Database!O$2:O$500),
  _xlfn.IFNA(_xlpm.result, "")
)</f>
        <v/>
      </c>
      <c r="Q193" t="str">
        <f>_xlfn.LET(
  _xlpm.result, _xlfn.XLOOKUP($B193, Result_Database!$A$2:$A$500, Result_Database!P$2:P$500),
  _xlfn.IFNA(_xlpm.result, "")
)</f>
        <v/>
      </c>
      <c r="R193" t="str">
        <f>_xlfn.LET(
  _xlpm.result, _xlfn.XLOOKUP($B193, Result_Database!$A$2:$A$500, Result_Database!Q$2:Q$500),
  _xlfn.IFNA(_xlpm.result, "")
)</f>
        <v/>
      </c>
      <c r="S193" t="str">
        <f>_xlfn.LET(
  _xlpm.result, _xlfn.XLOOKUP($B193, Result_Database!$A$2:$A$500, Result_Database!R$2:R$500),
  _xlfn.IFNA(_xlpm.result, "")
)</f>
        <v/>
      </c>
      <c r="T193" t="str">
        <f>_xlfn.LET(
  _xlpm.result, _xlfn.XLOOKUP($B193, Result_Database!$A$2:$A$500, Result_Database!S$2:S$500),
  _xlfn.IFNA(_xlpm.result, "")
)</f>
        <v/>
      </c>
      <c r="U193" t="str">
        <f>_xlfn.LET(
  _xlpm.result, _xlfn.XLOOKUP($B193, Result_Database!$A$2:$A$500, Result_Database!T$2:T$500),
  _xlfn.IFNA(_xlpm.result, "")
)</f>
        <v/>
      </c>
      <c r="V193" t="str">
        <f>_xlfn.LET(
  _xlpm.result, _xlfn.XLOOKUP($B193, Result_Database!$A$2:$A$500, Result_Database!U$2:U$500),
  _xlfn.IFNA(_xlpm.result, "")
)</f>
        <v/>
      </c>
      <c r="W193" t="str">
        <f>_xlfn.LET(
  _xlpm.result, _xlfn.XLOOKUP($B193, Result_Database!$A$2:$A$500, Result_Database!V$2:V$500),
  _xlfn.IFNA(_xlpm.result, "")
)</f>
        <v/>
      </c>
      <c r="X193" t="str">
        <f>_xlfn.LET(
  _xlpm.result, _xlfn.XLOOKUP($B193, Result_Database!$A$2:$A$500, Result_Database!W$2:W$500),
  _xlfn.IFNA(_xlpm.result, "")
)</f>
        <v/>
      </c>
      <c r="Y193" t="str">
        <f>_xlfn.LET(
  _xlpm.result, _xlfn.XLOOKUP($B193, Result_Database!$A$2:$A$500, Result_Database!X$2:X$500),
  _xlfn.IFNA(_xlpm.result, "")
)</f>
        <v/>
      </c>
      <c r="Z193" t="str">
        <f>_xlfn.LET(
  _xlpm.result, _xlfn.XLOOKUP($B193, Result_Database!$A$2:$A$500, Result_Database!Y$2:Y$500),
  _xlfn.IFNA(_xlpm.result, "")
)</f>
        <v/>
      </c>
      <c r="AA193" t="str">
        <f>_xlfn.LET(
  _xlpm.result, _xlfn.XLOOKUP($B193, Result_Database!$A$2:$A$500, Result_Database!Z$2:Z$500),
  _xlfn.IFNA(_xlpm.result, "")
)</f>
        <v/>
      </c>
      <c r="AB193" t="str">
        <f>_xlfn.LET(
  _xlpm.result, _xlfn.XLOOKUP($B193, Result_Database!$A$2:$A$500, Result_Database!AA$2:AA$500),
  _xlfn.IFNA(_xlpm.result, "")
)</f>
        <v/>
      </c>
      <c r="AC193" t="str">
        <f>_xlfn.LET(
  _xlpm.result, _xlfn.XLOOKUP($B193, Result_Database!$A$2:$A$500, Result_Database!AB$2:AB$500),
  _xlfn.IFNA(_xlpm.result, "")
)</f>
        <v/>
      </c>
      <c r="AD193" t="str">
        <f>_xlfn.LET(
  _xlpm.result, _xlfn.XLOOKUP($B193, Result_Database!$A$2:$A$500, Result_Database!AC$2:AC$500),
  _xlfn.IFNA(_xlpm.result, "")
)</f>
        <v/>
      </c>
      <c r="AE193" t="str">
        <f>_xlfn.LET(
  _xlpm.result, _xlfn.XLOOKUP($B193, Result_Database!$A$2:$A$500, Result_Database!AD$2:AD$500),
  _xlfn.IFNA(_xlpm.result, "")
)</f>
        <v/>
      </c>
      <c r="AF193" t="str">
        <f>_xlfn.LET(
  _xlpm.result, _xlfn.XLOOKUP($B193, Result_Database!$A$2:$A$500, Result_Database!AE$2:AE$500),
  _xlfn.IFNA(_xlpm.result, "")
)</f>
        <v/>
      </c>
      <c r="AG193" t="str">
        <f>_xlfn.LET(
  _xlpm.result, _xlfn.XLOOKUP($B193, Result_Database!$A$2:$A$500, Result_Database!AF$2:AF$500),
  _xlfn.IFNA(_xlpm.result, "")
)</f>
        <v/>
      </c>
      <c r="AH193" t="str">
        <f>_xlfn.LET(
  _xlpm.result, _xlfn.XLOOKUP($B193, Result_Database!$A$2:$A$500, Result_Database!AG$2:AG$500),
  _xlfn.IFNA(_xlpm.result, "")
)</f>
        <v/>
      </c>
      <c r="AI193" t="str">
        <f>_xlfn.LET(
  _xlpm.result, _xlfn.XLOOKUP($B193, Result_Database!$A$2:$A$500, Result_Database!AH$2:AH$500),
  _xlfn.IFNA(_xlpm.result, "")
)</f>
        <v/>
      </c>
      <c r="AJ193" t="str">
        <f>_xlfn.LET(
  _xlpm.result, _xlfn.XLOOKUP($B193, Result_Database!$A$2:$A$500, Result_Database!AI$2:AI$500),
  _xlfn.IFNA(_xlpm.result, "")
)</f>
        <v/>
      </c>
      <c r="AK193" t="str">
        <f>_xlfn.LET(
  _xlpm.result, _xlfn.XLOOKUP($B193, Result_Database!$A$2:$A$500, Result_Database!AJ$2:AJ$500),
  _xlfn.IFNA(_xlpm.result, "")
)</f>
        <v/>
      </c>
      <c r="AL193" t="str">
        <f>_xlfn.LET(
  _xlpm.result, _xlfn.XLOOKUP($B193, Result_Database!$A$2:$A$500, Result_Database!AK$2:AK$500),
  _xlfn.IFNA(_xlpm.result, "")
)</f>
        <v/>
      </c>
      <c r="AM19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9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9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9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9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9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9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9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9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93" t="str">
        <f>IF(SUM(Table5[[#This Row],[A1]:[C6]])&lt;&gt;0,SUM(Table5[[#This Row],[A1]:[C6]]),"")</f>
        <v/>
      </c>
      <c r="AW193" t="str">
        <f>IF(SUM(Table5[[#This Row],[D7]:[F9]])=0,"",SUM(Table5[[#This Row],[D7]:[F9]]))</f>
        <v/>
      </c>
      <c r="AX19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9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9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9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9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9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93" t="str">
        <f>IF(COUNTIF(Table5[[#This Row],[English Language]:[Electrical/ Electronics]],"WITHHELD")=0,"",COUNTIF(Table5[[#This Row],[English Language]:[Electrical/ Electronics]],"WITHHELD"))</f>
        <v/>
      </c>
      <c r="BE193" t="str">
        <f>IF(SUM(Table5[[#This Row],[NO OF CREDITS]:[BELOW CREDITS]])=0,"",SUM(Table5[[#This Row],[NO OF CREDITS]:[BELOW CREDITS]]))</f>
        <v/>
      </c>
    </row>
    <row r="194" spans="1:57" x14ac:dyDescent="0.3">
      <c r="A194" t="str">
        <f>IF(B194&lt;&gt;"",COUNTA($B$6:B194),"")</f>
        <v/>
      </c>
      <c r="B194" t="str">
        <f>IF(Result_Database!A190="","",Result_Database!A190)</f>
        <v/>
      </c>
      <c r="C194" t="str">
        <f>_xlfn.LET(
_xlpm.result,_xlfn.XLOOKUP($B194,Result_Database!$A$2:$A$500,Result_Database!$B$2:$B$500),
_xlfn.IFNA(_xlpm.result,"")
)</f>
        <v/>
      </c>
      <c r="D194" t="str">
        <f>_xlfn.LET(
  _xlpm.result, _xlfn.XLOOKUP($B194, Result_Database!$A$2:$A$500, Result_Database!C$2:C$500),
  _xlfn.IFNA(_xlpm.result, "")
)</f>
        <v/>
      </c>
      <c r="E194" t="str">
        <f>_xlfn.LET(
  _xlpm.result, _xlfn.XLOOKUP($B194, Result_Database!$A$2:$A$500, Result_Database!D$2:D$500),
  _xlfn.IFNA(_xlpm.result, "")
)</f>
        <v/>
      </c>
      <c r="F194" t="str">
        <f>_xlfn.LET(
  _xlpm.result, _xlfn.XLOOKUP($B194, Result_Database!$A$2:$A$500, Result_Database!E$2:E$500),
  _xlfn.IFNA(_xlpm.result, "")
)</f>
        <v/>
      </c>
      <c r="G194" t="str">
        <f>_xlfn.LET(
  _xlpm.result, _xlfn.XLOOKUP($B194, Result_Database!$A$2:$A$500, Result_Database!F$2:F$500),
  _xlfn.IFNA(_xlpm.result, "")
)</f>
        <v/>
      </c>
      <c r="H194" t="str">
        <f>_xlfn.LET(
  _xlpm.result, _xlfn.XLOOKUP($B194, Result_Database!$A$2:$A$500, Result_Database!G$2:G$500),
  _xlfn.IFNA(_xlpm.result, "")
)</f>
        <v/>
      </c>
      <c r="I194" t="str">
        <f>_xlfn.LET(
  _xlpm.result, _xlfn.XLOOKUP($B194, Result_Database!$A$2:$A$500, Result_Database!H$2:H$500),
  _xlfn.IFNA(_xlpm.result, "")
)</f>
        <v/>
      </c>
      <c r="J194" t="str">
        <f>_xlfn.LET(
  _xlpm.result, _xlfn.XLOOKUP($B194, Result_Database!$A$2:$A$500, Result_Database!I$2:I$500),
  _xlfn.IFNA(_xlpm.result, "")
)</f>
        <v/>
      </c>
      <c r="K194" t="str">
        <f>_xlfn.LET(
  _xlpm.result, _xlfn.XLOOKUP($B194, Result_Database!$A$2:$A$500, Result_Database!J$2:J$500),
  _xlfn.IFNA(_xlpm.result, "")
)</f>
        <v/>
      </c>
      <c r="L194" t="str">
        <f>_xlfn.LET(
  _xlpm.result, _xlfn.XLOOKUP($B194, Result_Database!$A$2:$A$500, Result_Database!K$2:K$500),
  _xlfn.IFNA(_xlpm.result, "")
)</f>
        <v/>
      </c>
      <c r="M194" t="str">
        <f>_xlfn.LET(
  _xlpm.result, _xlfn.XLOOKUP($B194, Result_Database!$A$2:$A$500, Result_Database!L$2:L$500),
  _xlfn.IFNA(_xlpm.result, "")
)</f>
        <v/>
      </c>
      <c r="N194" t="str">
        <f>_xlfn.LET(
  _xlpm.result, _xlfn.XLOOKUP($B194, Result_Database!$A$2:$A$500, Result_Database!M$2:M$500),
  _xlfn.IFNA(_xlpm.result, "")
)</f>
        <v/>
      </c>
      <c r="O194" t="str">
        <f>_xlfn.LET(
  _xlpm.result, _xlfn.XLOOKUP($B194, Result_Database!$A$2:$A$500, Result_Database!N$2:N$500),
  _xlfn.IFNA(_xlpm.result, "")
)</f>
        <v/>
      </c>
      <c r="P194" t="str">
        <f>_xlfn.LET(
  _xlpm.result, _xlfn.XLOOKUP($B194, Result_Database!$A$2:$A$500, Result_Database!O$2:O$500),
  _xlfn.IFNA(_xlpm.result, "")
)</f>
        <v/>
      </c>
      <c r="Q194" t="str">
        <f>_xlfn.LET(
  _xlpm.result, _xlfn.XLOOKUP($B194, Result_Database!$A$2:$A$500, Result_Database!P$2:P$500),
  _xlfn.IFNA(_xlpm.result, "")
)</f>
        <v/>
      </c>
      <c r="R194" t="str">
        <f>_xlfn.LET(
  _xlpm.result, _xlfn.XLOOKUP($B194, Result_Database!$A$2:$A$500, Result_Database!Q$2:Q$500),
  _xlfn.IFNA(_xlpm.result, "")
)</f>
        <v/>
      </c>
      <c r="S194" t="str">
        <f>_xlfn.LET(
  _xlpm.result, _xlfn.XLOOKUP($B194, Result_Database!$A$2:$A$500, Result_Database!R$2:R$500),
  _xlfn.IFNA(_xlpm.result, "")
)</f>
        <v/>
      </c>
      <c r="T194" t="str">
        <f>_xlfn.LET(
  _xlpm.result, _xlfn.XLOOKUP($B194, Result_Database!$A$2:$A$500, Result_Database!S$2:S$500),
  _xlfn.IFNA(_xlpm.result, "")
)</f>
        <v/>
      </c>
      <c r="U194" t="str">
        <f>_xlfn.LET(
  _xlpm.result, _xlfn.XLOOKUP($B194, Result_Database!$A$2:$A$500, Result_Database!T$2:T$500),
  _xlfn.IFNA(_xlpm.result, "")
)</f>
        <v/>
      </c>
      <c r="V194" t="str">
        <f>_xlfn.LET(
  _xlpm.result, _xlfn.XLOOKUP($B194, Result_Database!$A$2:$A$500, Result_Database!U$2:U$500),
  _xlfn.IFNA(_xlpm.result, "")
)</f>
        <v/>
      </c>
      <c r="W194" t="str">
        <f>_xlfn.LET(
  _xlpm.result, _xlfn.XLOOKUP($B194, Result_Database!$A$2:$A$500, Result_Database!V$2:V$500),
  _xlfn.IFNA(_xlpm.result, "")
)</f>
        <v/>
      </c>
      <c r="X194" t="str">
        <f>_xlfn.LET(
  _xlpm.result, _xlfn.XLOOKUP($B194, Result_Database!$A$2:$A$500, Result_Database!W$2:W$500),
  _xlfn.IFNA(_xlpm.result, "")
)</f>
        <v/>
      </c>
      <c r="Y194" t="str">
        <f>_xlfn.LET(
  _xlpm.result, _xlfn.XLOOKUP($B194, Result_Database!$A$2:$A$500, Result_Database!X$2:X$500),
  _xlfn.IFNA(_xlpm.result, "")
)</f>
        <v/>
      </c>
      <c r="Z194" t="str">
        <f>_xlfn.LET(
  _xlpm.result, _xlfn.XLOOKUP($B194, Result_Database!$A$2:$A$500, Result_Database!Y$2:Y$500),
  _xlfn.IFNA(_xlpm.result, "")
)</f>
        <v/>
      </c>
      <c r="AA194" t="str">
        <f>_xlfn.LET(
  _xlpm.result, _xlfn.XLOOKUP($B194, Result_Database!$A$2:$A$500, Result_Database!Z$2:Z$500),
  _xlfn.IFNA(_xlpm.result, "")
)</f>
        <v/>
      </c>
      <c r="AB194" t="str">
        <f>_xlfn.LET(
  _xlpm.result, _xlfn.XLOOKUP($B194, Result_Database!$A$2:$A$500, Result_Database!AA$2:AA$500),
  _xlfn.IFNA(_xlpm.result, "")
)</f>
        <v/>
      </c>
      <c r="AC194" t="str">
        <f>_xlfn.LET(
  _xlpm.result, _xlfn.XLOOKUP($B194, Result_Database!$A$2:$A$500, Result_Database!AB$2:AB$500),
  _xlfn.IFNA(_xlpm.result, "")
)</f>
        <v/>
      </c>
      <c r="AD194" t="str">
        <f>_xlfn.LET(
  _xlpm.result, _xlfn.XLOOKUP($B194, Result_Database!$A$2:$A$500, Result_Database!AC$2:AC$500),
  _xlfn.IFNA(_xlpm.result, "")
)</f>
        <v/>
      </c>
      <c r="AE194" t="str">
        <f>_xlfn.LET(
  _xlpm.result, _xlfn.XLOOKUP($B194, Result_Database!$A$2:$A$500, Result_Database!AD$2:AD$500),
  _xlfn.IFNA(_xlpm.result, "")
)</f>
        <v/>
      </c>
      <c r="AF194" t="str">
        <f>_xlfn.LET(
  _xlpm.result, _xlfn.XLOOKUP($B194, Result_Database!$A$2:$A$500, Result_Database!AE$2:AE$500),
  _xlfn.IFNA(_xlpm.result, "")
)</f>
        <v/>
      </c>
      <c r="AG194" t="str">
        <f>_xlfn.LET(
  _xlpm.result, _xlfn.XLOOKUP($B194, Result_Database!$A$2:$A$500, Result_Database!AF$2:AF$500),
  _xlfn.IFNA(_xlpm.result, "")
)</f>
        <v/>
      </c>
      <c r="AH194" t="str">
        <f>_xlfn.LET(
  _xlpm.result, _xlfn.XLOOKUP($B194, Result_Database!$A$2:$A$500, Result_Database!AG$2:AG$500),
  _xlfn.IFNA(_xlpm.result, "")
)</f>
        <v/>
      </c>
      <c r="AI194" t="str">
        <f>_xlfn.LET(
  _xlpm.result, _xlfn.XLOOKUP($B194, Result_Database!$A$2:$A$500, Result_Database!AH$2:AH$500),
  _xlfn.IFNA(_xlpm.result, "")
)</f>
        <v/>
      </c>
      <c r="AJ194" t="str">
        <f>_xlfn.LET(
  _xlpm.result, _xlfn.XLOOKUP($B194, Result_Database!$A$2:$A$500, Result_Database!AI$2:AI$500),
  _xlfn.IFNA(_xlpm.result, "")
)</f>
        <v/>
      </c>
      <c r="AK194" t="str">
        <f>_xlfn.LET(
  _xlpm.result, _xlfn.XLOOKUP($B194, Result_Database!$A$2:$A$500, Result_Database!AJ$2:AJ$500),
  _xlfn.IFNA(_xlpm.result, "")
)</f>
        <v/>
      </c>
      <c r="AL194" t="str">
        <f>_xlfn.LET(
  _xlpm.result, _xlfn.XLOOKUP($B194, Result_Database!$A$2:$A$500, Result_Database!AK$2:AK$500),
  _xlfn.IFNA(_xlpm.result, "")
)</f>
        <v/>
      </c>
      <c r="AM19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9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9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9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9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9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9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9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9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94" t="str">
        <f>IF(SUM(Table5[[#This Row],[A1]:[C6]])&lt;&gt;0,SUM(Table5[[#This Row],[A1]:[C6]]),"")</f>
        <v/>
      </c>
      <c r="AW194" t="str">
        <f>IF(SUM(Table5[[#This Row],[D7]:[F9]])=0,"",SUM(Table5[[#This Row],[D7]:[F9]]))</f>
        <v/>
      </c>
      <c r="AX19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9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9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9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9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9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94" t="str">
        <f>IF(COUNTIF(Table5[[#This Row],[English Language]:[Electrical/ Electronics]],"WITHHELD")=0,"",COUNTIF(Table5[[#This Row],[English Language]:[Electrical/ Electronics]],"WITHHELD"))</f>
        <v/>
      </c>
      <c r="BE194" t="str">
        <f>IF(SUM(Table5[[#This Row],[NO OF CREDITS]:[BELOW CREDITS]])=0,"",SUM(Table5[[#This Row],[NO OF CREDITS]:[BELOW CREDITS]]))</f>
        <v/>
      </c>
    </row>
    <row r="195" spans="1:57" x14ac:dyDescent="0.3">
      <c r="A195" t="str">
        <f>IF(B195&lt;&gt;"",COUNTA($B$6:B195),"")</f>
        <v/>
      </c>
      <c r="B195" t="str">
        <f>IF(Result_Database!A191="","",Result_Database!A191)</f>
        <v/>
      </c>
      <c r="C195" t="str">
        <f>_xlfn.LET(
_xlpm.result,_xlfn.XLOOKUP($B195,Result_Database!$A$2:$A$500,Result_Database!$B$2:$B$500),
_xlfn.IFNA(_xlpm.result,"")
)</f>
        <v/>
      </c>
      <c r="D195" t="str">
        <f>_xlfn.LET(
  _xlpm.result, _xlfn.XLOOKUP($B195, Result_Database!$A$2:$A$500, Result_Database!C$2:C$500),
  _xlfn.IFNA(_xlpm.result, "")
)</f>
        <v/>
      </c>
      <c r="E195" t="str">
        <f>_xlfn.LET(
  _xlpm.result, _xlfn.XLOOKUP($B195, Result_Database!$A$2:$A$500, Result_Database!D$2:D$500),
  _xlfn.IFNA(_xlpm.result, "")
)</f>
        <v/>
      </c>
      <c r="F195" t="str">
        <f>_xlfn.LET(
  _xlpm.result, _xlfn.XLOOKUP($B195, Result_Database!$A$2:$A$500, Result_Database!E$2:E$500),
  _xlfn.IFNA(_xlpm.result, "")
)</f>
        <v/>
      </c>
      <c r="G195" t="str">
        <f>_xlfn.LET(
  _xlpm.result, _xlfn.XLOOKUP($B195, Result_Database!$A$2:$A$500, Result_Database!F$2:F$500),
  _xlfn.IFNA(_xlpm.result, "")
)</f>
        <v/>
      </c>
      <c r="H195" t="str">
        <f>_xlfn.LET(
  _xlpm.result, _xlfn.XLOOKUP($B195, Result_Database!$A$2:$A$500, Result_Database!G$2:G$500),
  _xlfn.IFNA(_xlpm.result, "")
)</f>
        <v/>
      </c>
      <c r="I195" t="str">
        <f>_xlfn.LET(
  _xlpm.result, _xlfn.XLOOKUP($B195, Result_Database!$A$2:$A$500, Result_Database!H$2:H$500),
  _xlfn.IFNA(_xlpm.result, "")
)</f>
        <v/>
      </c>
      <c r="J195" t="str">
        <f>_xlfn.LET(
  _xlpm.result, _xlfn.XLOOKUP($B195, Result_Database!$A$2:$A$500, Result_Database!I$2:I$500),
  _xlfn.IFNA(_xlpm.result, "")
)</f>
        <v/>
      </c>
      <c r="K195" t="str">
        <f>_xlfn.LET(
  _xlpm.result, _xlfn.XLOOKUP($B195, Result_Database!$A$2:$A$500, Result_Database!J$2:J$500),
  _xlfn.IFNA(_xlpm.result, "")
)</f>
        <v/>
      </c>
      <c r="L195" t="str">
        <f>_xlfn.LET(
  _xlpm.result, _xlfn.XLOOKUP($B195, Result_Database!$A$2:$A$500, Result_Database!K$2:K$500),
  _xlfn.IFNA(_xlpm.result, "")
)</f>
        <v/>
      </c>
      <c r="M195" t="str">
        <f>_xlfn.LET(
  _xlpm.result, _xlfn.XLOOKUP($B195, Result_Database!$A$2:$A$500, Result_Database!L$2:L$500),
  _xlfn.IFNA(_xlpm.result, "")
)</f>
        <v/>
      </c>
      <c r="N195" t="str">
        <f>_xlfn.LET(
  _xlpm.result, _xlfn.XLOOKUP($B195, Result_Database!$A$2:$A$500, Result_Database!M$2:M$500),
  _xlfn.IFNA(_xlpm.result, "")
)</f>
        <v/>
      </c>
      <c r="O195" t="str">
        <f>_xlfn.LET(
  _xlpm.result, _xlfn.XLOOKUP($B195, Result_Database!$A$2:$A$500, Result_Database!N$2:N$500),
  _xlfn.IFNA(_xlpm.result, "")
)</f>
        <v/>
      </c>
      <c r="P195" t="str">
        <f>_xlfn.LET(
  _xlpm.result, _xlfn.XLOOKUP($B195, Result_Database!$A$2:$A$500, Result_Database!O$2:O$500),
  _xlfn.IFNA(_xlpm.result, "")
)</f>
        <v/>
      </c>
      <c r="Q195" t="str">
        <f>_xlfn.LET(
  _xlpm.result, _xlfn.XLOOKUP($B195, Result_Database!$A$2:$A$500, Result_Database!P$2:P$500),
  _xlfn.IFNA(_xlpm.result, "")
)</f>
        <v/>
      </c>
      <c r="R195" t="str">
        <f>_xlfn.LET(
  _xlpm.result, _xlfn.XLOOKUP($B195, Result_Database!$A$2:$A$500, Result_Database!Q$2:Q$500),
  _xlfn.IFNA(_xlpm.result, "")
)</f>
        <v/>
      </c>
      <c r="S195" t="str">
        <f>_xlfn.LET(
  _xlpm.result, _xlfn.XLOOKUP($B195, Result_Database!$A$2:$A$500, Result_Database!R$2:R$500),
  _xlfn.IFNA(_xlpm.result, "")
)</f>
        <v/>
      </c>
      <c r="T195" t="str">
        <f>_xlfn.LET(
  _xlpm.result, _xlfn.XLOOKUP($B195, Result_Database!$A$2:$A$500, Result_Database!S$2:S$500),
  _xlfn.IFNA(_xlpm.result, "")
)</f>
        <v/>
      </c>
      <c r="U195" t="str">
        <f>_xlfn.LET(
  _xlpm.result, _xlfn.XLOOKUP($B195, Result_Database!$A$2:$A$500, Result_Database!T$2:T$500),
  _xlfn.IFNA(_xlpm.result, "")
)</f>
        <v/>
      </c>
      <c r="V195" t="str">
        <f>_xlfn.LET(
  _xlpm.result, _xlfn.XLOOKUP($B195, Result_Database!$A$2:$A$500, Result_Database!U$2:U$500),
  _xlfn.IFNA(_xlpm.result, "")
)</f>
        <v/>
      </c>
      <c r="W195" t="str">
        <f>_xlfn.LET(
  _xlpm.result, _xlfn.XLOOKUP($B195, Result_Database!$A$2:$A$500, Result_Database!V$2:V$500),
  _xlfn.IFNA(_xlpm.result, "")
)</f>
        <v/>
      </c>
      <c r="X195" t="str">
        <f>_xlfn.LET(
  _xlpm.result, _xlfn.XLOOKUP($B195, Result_Database!$A$2:$A$500, Result_Database!W$2:W$500),
  _xlfn.IFNA(_xlpm.result, "")
)</f>
        <v/>
      </c>
      <c r="Y195" t="str">
        <f>_xlfn.LET(
  _xlpm.result, _xlfn.XLOOKUP($B195, Result_Database!$A$2:$A$500, Result_Database!X$2:X$500),
  _xlfn.IFNA(_xlpm.result, "")
)</f>
        <v/>
      </c>
      <c r="Z195" t="str">
        <f>_xlfn.LET(
  _xlpm.result, _xlfn.XLOOKUP($B195, Result_Database!$A$2:$A$500, Result_Database!Y$2:Y$500),
  _xlfn.IFNA(_xlpm.result, "")
)</f>
        <v/>
      </c>
      <c r="AA195" t="str">
        <f>_xlfn.LET(
  _xlpm.result, _xlfn.XLOOKUP($B195, Result_Database!$A$2:$A$500, Result_Database!Z$2:Z$500),
  _xlfn.IFNA(_xlpm.result, "")
)</f>
        <v/>
      </c>
      <c r="AB195" t="str">
        <f>_xlfn.LET(
  _xlpm.result, _xlfn.XLOOKUP($B195, Result_Database!$A$2:$A$500, Result_Database!AA$2:AA$500),
  _xlfn.IFNA(_xlpm.result, "")
)</f>
        <v/>
      </c>
      <c r="AC195" t="str">
        <f>_xlfn.LET(
  _xlpm.result, _xlfn.XLOOKUP($B195, Result_Database!$A$2:$A$500, Result_Database!AB$2:AB$500),
  _xlfn.IFNA(_xlpm.result, "")
)</f>
        <v/>
      </c>
      <c r="AD195" t="str">
        <f>_xlfn.LET(
  _xlpm.result, _xlfn.XLOOKUP($B195, Result_Database!$A$2:$A$500, Result_Database!AC$2:AC$500),
  _xlfn.IFNA(_xlpm.result, "")
)</f>
        <v/>
      </c>
      <c r="AE195" t="str">
        <f>_xlfn.LET(
  _xlpm.result, _xlfn.XLOOKUP($B195, Result_Database!$A$2:$A$500, Result_Database!AD$2:AD$500),
  _xlfn.IFNA(_xlpm.result, "")
)</f>
        <v/>
      </c>
      <c r="AF195" t="str">
        <f>_xlfn.LET(
  _xlpm.result, _xlfn.XLOOKUP($B195, Result_Database!$A$2:$A$500, Result_Database!AE$2:AE$500),
  _xlfn.IFNA(_xlpm.result, "")
)</f>
        <v/>
      </c>
      <c r="AG195" t="str">
        <f>_xlfn.LET(
  _xlpm.result, _xlfn.XLOOKUP($B195, Result_Database!$A$2:$A$500, Result_Database!AF$2:AF$500),
  _xlfn.IFNA(_xlpm.result, "")
)</f>
        <v/>
      </c>
      <c r="AH195" t="str">
        <f>_xlfn.LET(
  _xlpm.result, _xlfn.XLOOKUP($B195, Result_Database!$A$2:$A$500, Result_Database!AG$2:AG$500),
  _xlfn.IFNA(_xlpm.result, "")
)</f>
        <v/>
      </c>
      <c r="AI195" t="str">
        <f>_xlfn.LET(
  _xlpm.result, _xlfn.XLOOKUP($B195, Result_Database!$A$2:$A$500, Result_Database!AH$2:AH$500),
  _xlfn.IFNA(_xlpm.result, "")
)</f>
        <v/>
      </c>
      <c r="AJ195" t="str">
        <f>_xlfn.LET(
  _xlpm.result, _xlfn.XLOOKUP($B195, Result_Database!$A$2:$A$500, Result_Database!AI$2:AI$500),
  _xlfn.IFNA(_xlpm.result, "")
)</f>
        <v/>
      </c>
      <c r="AK195" t="str">
        <f>_xlfn.LET(
  _xlpm.result, _xlfn.XLOOKUP($B195, Result_Database!$A$2:$A$500, Result_Database!AJ$2:AJ$500),
  _xlfn.IFNA(_xlpm.result, "")
)</f>
        <v/>
      </c>
      <c r="AL195" t="str">
        <f>_xlfn.LET(
  _xlpm.result, _xlfn.XLOOKUP($B195, Result_Database!$A$2:$A$500, Result_Database!AK$2:AK$500),
  _xlfn.IFNA(_xlpm.result, "")
)</f>
        <v/>
      </c>
      <c r="AM19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9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9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9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9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9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9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9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9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95" t="str">
        <f>IF(SUM(Table5[[#This Row],[A1]:[C6]])&lt;&gt;0,SUM(Table5[[#This Row],[A1]:[C6]]),"")</f>
        <v/>
      </c>
      <c r="AW195" t="str">
        <f>IF(SUM(Table5[[#This Row],[D7]:[F9]])=0,"",SUM(Table5[[#This Row],[D7]:[F9]]))</f>
        <v/>
      </c>
      <c r="AX19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9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9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9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9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9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95" t="str">
        <f>IF(COUNTIF(Table5[[#This Row],[English Language]:[Electrical/ Electronics]],"WITHHELD")=0,"",COUNTIF(Table5[[#This Row],[English Language]:[Electrical/ Electronics]],"WITHHELD"))</f>
        <v/>
      </c>
      <c r="BE195" t="str">
        <f>IF(SUM(Table5[[#This Row],[NO OF CREDITS]:[BELOW CREDITS]])=0,"",SUM(Table5[[#This Row],[NO OF CREDITS]:[BELOW CREDITS]]))</f>
        <v/>
      </c>
    </row>
    <row r="196" spans="1:57" x14ac:dyDescent="0.3">
      <c r="A196" t="str">
        <f>IF(B196&lt;&gt;"",COUNTA($B$6:B196),"")</f>
        <v/>
      </c>
      <c r="B196" t="str">
        <f>IF(Result_Database!A192="","",Result_Database!A192)</f>
        <v/>
      </c>
      <c r="C196" t="str">
        <f>_xlfn.LET(
_xlpm.result,_xlfn.XLOOKUP($B196,Result_Database!$A$2:$A$500,Result_Database!$B$2:$B$500),
_xlfn.IFNA(_xlpm.result,"")
)</f>
        <v/>
      </c>
      <c r="D196" t="str">
        <f>_xlfn.LET(
  _xlpm.result, _xlfn.XLOOKUP($B196, Result_Database!$A$2:$A$500, Result_Database!C$2:C$500),
  _xlfn.IFNA(_xlpm.result, "")
)</f>
        <v/>
      </c>
      <c r="E196" t="str">
        <f>_xlfn.LET(
  _xlpm.result, _xlfn.XLOOKUP($B196, Result_Database!$A$2:$A$500, Result_Database!D$2:D$500),
  _xlfn.IFNA(_xlpm.result, "")
)</f>
        <v/>
      </c>
      <c r="F196" t="str">
        <f>_xlfn.LET(
  _xlpm.result, _xlfn.XLOOKUP($B196, Result_Database!$A$2:$A$500, Result_Database!E$2:E$500),
  _xlfn.IFNA(_xlpm.result, "")
)</f>
        <v/>
      </c>
      <c r="G196" t="str">
        <f>_xlfn.LET(
  _xlpm.result, _xlfn.XLOOKUP($B196, Result_Database!$A$2:$A$500, Result_Database!F$2:F$500),
  _xlfn.IFNA(_xlpm.result, "")
)</f>
        <v/>
      </c>
      <c r="H196" t="str">
        <f>_xlfn.LET(
  _xlpm.result, _xlfn.XLOOKUP($B196, Result_Database!$A$2:$A$500, Result_Database!G$2:G$500),
  _xlfn.IFNA(_xlpm.result, "")
)</f>
        <v/>
      </c>
      <c r="I196" t="str">
        <f>_xlfn.LET(
  _xlpm.result, _xlfn.XLOOKUP($B196, Result_Database!$A$2:$A$500, Result_Database!H$2:H$500),
  _xlfn.IFNA(_xlpm.result, "")
)</f>
        <v/>
      </c>
      <c r="J196" t="str">
        <f>_xlfn.LET(
  _xlpm.result, _xlfn.XLOOKUP($B196, Result_Database!$A$2:$A$500, Result_Database!I$2:I$500),
  _xlfn.IFNA(_xlpm.result, "")
)</f>
        <v/>
      </c>
      <c r="K196" t="str">
        <f>_xlfn.LET(
  _xlpm.result, _xlfn.XLOOKUP($B196, Result_Database!$A$2:$A$500, Result_Database!J$2:J$500),
  _xlfn.IFNA(_xlpm.result, "")
)</f>
        <v/>
      </c>
      <c r="L196" t="str">
        <f>_xlfn.LET(
  _xlpm.result, _xlfn.XLOOKUP($B196, Result_Database!$A$2:$A$500, Result_Database!K$2:K$500),
  _xlfn.IFNA(_xlpm.result, "")
)</f>
        <v/>
      </c>
      <c r="M196" t="str">
        <f>_xlfn.LET(
  _xlpm.result, _xlfn.XLOOKUP($B196, Result_Database!$A$2:$A$500, Result_Database!L$2:L$500),
  _xlfn.IFNA(_xlpm.result, "")
)</f>
        <v/>
      </c>
      <c r="N196" t="str">
        <f>_xlfn.LET(
  _xlpm.result, _xlfn.XLOOKUP($B196, Result_Database!$A$2:$A$500, Result_Database!M$2:M$500),
  _xlfn.IFNA(_xlpm.result, "")
)</f>
        <v/>
      </c>
      <c r="O196" t="str">
        <f>_xlfn.LET(
  _xlpm.result, _xlfn.XLOOKUP($B196, Result_Database!$A$2:$A$500, Result_Database!N$2:N$500),
  _xlfn.IFNA(_xlpm.result, "")
)</f>
        <v/>
      </c>
      <c r="P196" t="str">
        <f>_xlfn.LET(
  _xlpm.result, _xlfn.XLOOKUP($B196, Result_Database!$A$2:$A$500, Result_Database!O$2:O$500),
  _xlfn.IFNA(_xlpm.result, "")
)</f>
        <v/>
      </c>
      <c r="Q196" t="str">
        <f>_xlfn.LET(
  _xlpm.result, _xlfn.XLOOKUP($B196, Result_Database!$A$2:$A$500, Result_Database!P$2:P$500),
  _xlfn.IFNA(_xlpm.result, "")
)</f>
        <v/>
      </c>
      <c r="R196" t="str">
        <f>_xlfn.LET(
  _xlpm.result, _xlfn.XLOOKUP($B196, Result_Database!$A$2:$A$500, Result_Database!Q$2:Q$500),
  _xlfn.IFNA(_xlpm.result, "")
)</f>
        <v/>
      </c>
      <c r="S196" t="str">
        <f>_xlfn.LET(
  _xlpm.result, _xlfn.XLOOKUP($B196, Result_Database!$A$2:$A$500, Result_Database!R$2:R$500),
  _xlfn.IFNA(_xlpm.result, "")
)</f>
        <v/>
      </c>
      <c r="T196" t="str">
        <f>_xlfn.LET(
  _xlpm.result, _xlfn.XLOOKUP($B196, Result_Database!$A$2:$A$500, Result_Database!S$2:S$500),
  _xlfn.IFNA(_xlpm.result, "")
)</f>
        <v/>
      </c>
      <c r="U196" t="str">
        <f>_xlfn.LET(
  _xlpm.result, _xlfn.XLOOKUP($B196, Result_Database!$A$2:$A$500, Result_Database!T$2:T$500),
  _xlfn.IFNA(_xlpm.result, "")
)</f>
        <v/>
      </c>
      <c r="V196" t="str">
        <f>_xlfn.LET(
  _xlpm.result, _xlfn.XLOOKUP($B196, Result_Database!$A$2:$A$500, Result_Database!U$2:U$500),
  _xlfn.IFNA(_xlpm.result, "")
)</f>
        <v/>
      </c>
      <c r="W196" t="str">
        <f>_xlfn.LET(
  _xlpm.result, _xlfn.XLOOKUP($B196, Result_Database!$A$2:$A$500, Result_Database!V$2:V$500),
  _xlfn.IFNA(_xlpm.result, "")
)</f>
        <v/>
      </c>
      <c r="X196" t="str">
        <f>_xlfn.LET(
  _xlpm.result, _xlfn.XLOOKUP($B196, Result_Database!$A$2:$A$500, Result_Database!W$2:W$500),
  _xlfn.IFNA(_xlpm.result, "")
)</f>
        <v/>
      </c>
      <c r="Y196" t="str">
        <f>_xlfn.LET(
  _xlpm.result, _xlfn.XLOOKUP($B196, Result_Database!$A$2:$A$500, Result_Database!X$2:X$500),
  _xlfn.IFNA(_xlpm.result, "")
)</f>
        <v/>
      </c>
      <c r="Z196" t="str">
        <f>_xlfn.LET(
  _xlpm.result, _xlfn.XLOOKUP($B196, Result_Database!$A$2:$A$500, Result_Database!Y$2:Y$500),
  _xlfn.IFNA(_xlpm.result, "")
)</f>
        <v/>
      </c>
      <c r="AA196" t="str">
        <f>_xlfn.LET(
  _xlpm.result, _xlfn.XLOOKUP($B196, Result_Database!$A$2:$A$500, Result_Database!Z$2:Z$500),
  _xlfn.IFNA(_xlpm.result, "")
)</f>
        <v/>
      </c>
      <c r="AB196" t="str">
        <f>_xlfn.LET(
  _xlpm.result, _xlfn.XLOOKUP($B196, Result_Database!$A$2:$A$500, Result_Database!AA$2:AA$500),
  _xlfn.IFNA(_xlpm.result, "")
)</f>
        <v/>
      </c>
      <c r="AC196" t="str">
        <f>_xlfn.LET(
  _xlpm.result, _xlfn.XLOOKUP($B196, Result_Database!$A$2:$A$500, Result_Database!AB$2:AB$500),
  _xlfn.IFNA(_xlpm.result, "")
)</f>
        <v/>
      </c>
      <c r="AD196" t="str">
        <f>_xlfn.LET(
  _xlpm.result, _xlfn.XLOOKUP($B196, Result_Database!$A$2:$A$500, Result_Database!AC$2:AC$500),
  _xlfn.IFNA(_xlpm.result, "")
)</f>
        <v/>
      </c>
      <c r="AE196" t="str">
        <f>_xlfn.LET(
  _xlpm.result, _xlfn.XLOOKUP($B196, Result_Database!$A$2:$A$500, Result_Database!AD$2:AD$500),
  _xlfn.IFNA(_xlpm.result, "")
)</f>
        <v/>
      </c>
      <c r="AF196" t="str">
        <f>_xlfn.LET(
  _xlpm.result, _xlfn.XLOOKUP($B196, Result_Database!$A$2:$A$500, Result_Database!AE$2:AE$500),
  _xlfn.IFNA(_xlpm.result, "")
)</f>
        <v/>
      </c>
      <c r="AG196" t="str">
        <f>_xlfn.LET(
  _xlpm.result, _xlfn.XLOOKUP($B196, Result_Database!$A$2:$A$500, Result_Database!AF$2:AF$500),
  _xlfn.IFNA(_xlpm.result, "")
)</f>
        <v/>
      </c>
      <c r="AH196" t="str">
        <f>_xlfn.LET(
  _xlpm.result, _xlfn.XLOOKUP($B196, Result_Database!$A$2:$A$500, Result_Database!AG$2:AG$500),
  _xlfn.IFNA(_xlpm.result, "")
)</f>
        <v/>
      </c>
      <c r="AI196" t="str">
        <f>_xlfn.LET(
  _xlpm.result, _xlfn.XLOOKUP($B196, Result_Database!$A$2:$A$500, Result_Database!AH$2:AH$500),
  _xlfn.IFNA(_xlpm.result, "")
)</f>
        <v/>
      </c>
      <c r="AJ196" t="str">
        <f>_xlfn.LET(
  _xlpm.result, _xlfn.XLOOKUP($B196, Result_Database!$A$2:$A$500, Result_Database!AI$2:AI$500),
  _xlfn.IFNA(_xlpm.result, "")
)</f>
        <v/>
      </c>
      <c r="AK196" t="str">
        <f>_xlfn.LET(
  _xlpm.result, _xlfn.XLOOKUP($B196, Result_Database!$A$2:$A$500, Result_Database!AJ$2:AJ$500),
  _xlfn.IFNA(_xlpm.result, "")
)</f>
        <v/>
      </c>
      <c r="AL196" t="str">
        <f>_xlfn.LET(
  _xlpm.result, _xlfn.XLOOKUP($B196, Result_Database!$A$2:$A$500, Result_Database!AK$2:AK$500),
  _xlfn.IFNA(_xlpm.result, "")
)</f>
        <v/>
      </c>
      <c r="AM19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9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9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9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9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9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9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9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9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96" t="str">
        <f>IF(SUM(Table5[[#This Row],[A1]:[C6]])&lt;&gt;0,SUM(Table5[[#This Row],[A1]:[C6]]),"")</f>
        <v/>
      </c>
      <c r="AW196" t="str">
        <f>IF(SUM(Table5[[#This Row],[D7]:[F9]])=0,"",SUM(Table5[[#This Row],[D7]:[F9]]))</f>
        <v/>
      </c>
      <c r="AX19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9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9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9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9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9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96" t="str">
        <f>IF(COUNTIF(Table5[[#This Row],[English Language]:[Electrical/ Electronics]],"WITHHELD")=0,"",COUNTIF(Table5[[#This Row],[English Language]:[Electrical/ Electronics]],"WITHHELD"))</f>
        <v/>
      </c>
      <c r="BE196" t="str">
        <f>IF(SUM(Table5[[#This Row],[NO OF CREDITS]:[BELOW CREDITS]])=0,"",SUM(Table5[[#This Row],[NO OF CREDITS]:[BELOW CREDITS]]))</f>
        <v/>
      </c>
    </row>
    <row r="197" spans="1:57" x14ac:dyDescent="0.3">
      <c r="A197" t="str">
        <f>IF(B197&lt;&gt;"",COUNTA($B$6:B197),"")</f>
        <v/>
      </c>
      <c r="B197" t="str">
        <f>IF(Result_Database!A193="","",Result_Database!A193)</f>
        <v/>
      </c>
      <c r="C197" t="str">
        <f>_xlfn.LET(
_xlpm.result,_xlfn.XLOOKUP($B197,Result_Database!$A$2:$A$500,Result_Database!$B$2:$B$500),
_xlfn.IFNA(_xlpm.result,"")
)</f>
        <v/>
      </c>
      <c r="D197" t="str">
        <f>_xlfn.LET(
  _xlpm.result, _xlfn.XLOOKUP($B197, Result_Database!$A$2:$A$500, Result_Database!C$2:C$500),
  _xlfn.IFNA(_xlpm.result, "")
)</f>
        <v/>
      </c>
      <c r="E197" t="str">
        <f>_xlfn.LET(
  _xlpm.result, _xlfn.XLOOKUP($B197, Result_Database!$A$2:$A$500, Result_Database!D$2:D$500),
  _xlfn.IFNA(_xlpm.result, "")
)</f>
        <v/>
      </c>
      <c r="F197" t="str">
        <f>_xlfn.LET(
  _xlpm.result, _xlfn.XLOOKUP($B197, Result_Database!$A$2:$A$500, Result_Database!E$2:E$500),
  _xlfn.IFNA(_xlpm.result, "")
)</f>
        <v/>
      </c>
      <c r="G197" t="str">
        <f>_xlfn.LET(
  _xlpm.result, _xlfn.XLOOKUP($B197, Result_Database!$A$2:$A$500, Result_Database!F$2:F$500),
  _xlfn.IFNA(_xlpm.result, "")
)</f>
        <v/>
      </c>
      <c r="H197" t="str">
        <f>_xlfn.LET(
  _xlpm.result, _xlfn.XLOOKUP($B197, Result_Database!$A$2:$A$500, Result_Database!G$2:G$500),
  _xlfn.IFNA(_xlpm.result, "")
)</f>
        <v/>
      </c>
      <c r="I197" t="str">
        <f>_xlfn.LET(
  _xlpm.result, _xlfn.XLOOKUP($B197, Result_Database!$A$2:$A$500, Result_Database!H$2:H$500),
  _xlfn.IFNA(_xlpm.result, "")
)</f>
        <v/>
      </c>
      <c r="J197" t="str">
        <f>_xlfn.LET(
  _xlpm.result, _xlfn.XLOOKUP($B197, Result_Database!$A$2:$A$500, Result_Database!I$2:I$500),
  _xlfn.IFNA(_xlpm.result, "")
)</f>
        <v/>
      </c>
      <c r="K197" t="str">
        <f>_xlfn.LET(
  _xlpm.result, _xlfn.XLOOKUP($B197, Result_Database!$A$2:$A$500, Result_Database!J$2:J$500),
  _xlfn.IFNA(_xlpm.result, "")
)</f>
        <v/>
      </c>
      <c r="L197" t="str">
        <f>_xlfn.LET(
  _xlpm.result, _xlfn.XLOOKUP($B197, Result_Database!$A$2:$A$500, Result_Database!K$2:K$500),
  _xlfn.IFNA(_xlpm.result, "")
)</f>
        <v/>
      </c>
      <c r="M197" t="str">
        <f>_xlfn.LET(
  _xlpm.result, _xlfn.XLOOKUP($B197, Result_Database!$A$2:$A$500, Result_Database!L$2:L$500),
  _xlfn.IFNA(_xlpm.result, "")
)</f>
        <v/>
      </c>
      <c r="N197" t="str">
        <f>_xlfn.LET(
  _xlpm.result, _xlfn.XLOOKUP($B197, Result_Database!$A$2:$A$500, Result_Database!M$2:M$500),
  _xlfn.IFNA(_xlpm.result, "")
)</f>
        <v/>
      </c>
      <c r="O197" t="str">
        <f>_xlfn.LET(
  _xlpm.result, _xlfn.XLOOKUP($B197, Result_Database!$A$2:$A$500, Result_Database!N$2:N$500),
  _xlfn.IFNA(_xlpm.result, "")
)</f>
        <v/>
      </c>
      <c r="P197" t="str">
        <f>_xlfn.LET(
  _xlpm.result, _xlfn.XLOOKUP($B197, Result_Database!$A$2:$A$500, Result_Database!O$2:O$500),
  _xlfn.IFNA(_xlpm.result, "")
)</f>
        <v/>
      </c>
      <c r="Q197" t="str">
        <f>_xlfn.LET(
  _xlpm.result, _xlfn.XLOOKUP($B197, Result_Database!$A$2:$A$500, Result_Database!P$2:P$500),
  _xlfn.IFNA(_xlpm.result, "")
)</f>
        <v/>
      </c>
      <c r="R197" t="str">
        <f>_xlfn.LET(
  _xlpm.result, _xlfn.XLOOKUP($B197, Result_Database!$A$2:$A$500, Result_Database!Q$2:Q$500),
  _xlfn.IFNA(_xlpm.result, "")
)</f>
        <v/>
      </c>
      <c r="S197" t="str">
        <f>_xlfn.LET(
  _xlpm.result, _xlfn.XLOOKUP($B197, Result_Database!$A$2:$A$500, Result_Database!R$2:R$500),
  _xlfn.IFNA(_xlpm.result, "")
)</f>
        <v/>
      </c>
      <c r="T197" t="str">
        <f>_xlfn.LET(
  _xlpm.result, _xlfn.XLOOKUP($B197, Result_Database!$A$2:$A$500, Result_Database!S$2:S$500),
  _xlfn.IFNA(_xlpm.result, "")
)</f>
        <v/>
      </c>
      <c r="U197" t="str">
        <f>_xlfn.LET(
  _xlpm.result, _xlfn.XLOOKUP($B197, Result_Database!$A$2:$A$500, Result_Database!T$2:T$500),
  _xlfn.IFNA(_xlpm.result, "")
)</f>
        <v/>
      </c>
      <c r="V197" t="str">
        <f>_xlfn.LET(
  _xlpm.result, _xlfn.XLOOKUP($B197, Result_Database!$A$2:$A$500, Result_Database!U$2:U$500),
  _xlfn.IFNA(_xlpm.result, "")
)</f>
        <v/>
      </c>
      <c r="W197" t="str">
        <f>_xlfn.LET(
  _xlpm.result, _xlfn.XLOOKUP($B197, Result_Database!$A$2:$A$500, Result_Database!V$2:V$500),
  _xlfn.IFNA(_xlpm.result, "")
)</f>
        <v/>
      </c>
      <c r="X197" t="str">
        <f>_xlfn.LET(
  _xlpm.result, _xlfn.XLOOKUP($B197, Result_Database!$A$2:$A$500, Result_Database!W$2:W$500),
  _xlfn.IFNA(_xlpm.result, "")
)</f>
        <v/>
      </c>
      <c r="Y197" t="str">
        <f>_xlfn.LET(
  _xlpm.result, _xlfn.XLOOKUP($B197, Result_Database!$A$2:$A$500, Result_Database!X$2:X$500),
  _xlfn.IFNA(_xlpm.result, "")
)</f>
        <v/>
      </c>
      <c r="Z197" t="str">
        <f>_xlfn.LET(
  _xlpm.result, _xlfn.XLOOKUP($B197, Result_Database!$A$2:$A$500, Result_Database!Y$2:Y$500),
  _xlfn.IFNA(_xlpm.result, "")
)</f>
        <v/>
      </c>
      <c r="AA197" t="str">
        <f>_xlfn.LET(
  _xlpm.result, _xlfn.XLOOKUP($B197, Result_Database!$A$2:$A$500, Result_Database!Z$2:Z$500),
  _xlfn.IFNA(_xlpm.result, "")
)</f>
        <v/>
      </c>
      <c r="AB197" t="str">
        <f>_xlfn.LET(
  _xlpm.result, _xlfn.XLOOKUP($B197, Result_Database!$A$2:$A$500, Result_Database!AA$2:AA$500),
  _xlfn.IFNA(_xlpm.result, "")
)</f>
        <v/>
      </c>
      <c r="AC197" t="str">
        <f>_xlfn.LET(
  _xlpm.result, _xlfn.XLOOKUP($B197, Result_Database!$A$2:$A$500, Result_Database!AB$2:AB$500),
  _xlfn.IFNA(_xlpm.result, "")
)</f>
        <v/>
      </c>
      <c r="AD197" t="str">
        <f>_xlfn.LET(
  _xlpm.result, _xlfn.XLOOKUP($B197, Result_Database!$A$2:$A$500, Result_Database!AC$2:AC$500),
  _xlfn.IFNA(_xlpm.result, "")
)</f>
        <v/>
      </c>
      <c r="AE197" t="str">
        <f>_xlfn.LET(
  _xlpm.result, _xlfn.XLOOKUP($B197, Result_Database!$A$2:$A$500, Result_Database!AD$2:AD$500),
  _xlfn.IFNA(_xlpm.result, "")
)</f>
        <v/>
      </c>
      <c r="AF197" t="str">
        <f>_xlfn.LET(
  _xlpm.result, _xlfn.XLOOKUP($B197, Result_Database!$A$2:$A$500, Result_Database!AE$2:AE$500),
  _xlfn.IFNA(_xlpm.result, "")
)</f>
        <v/>
      </c>
      <c r="AG197" t="str">
        <f>_xlfn.LET(
  _xlpm.result, _xlfn.XLOOKUP($B197, Result_Database!$A$2:$A$500, Result_Database!AF$2:AF$500),
  _xlfn.IFNA(_xlpm.result, "")
)</f>
        <v/>
      </c>
      <c r="AH197" t="str">
        <f>_xlfn.LET(
  _xlpm.result, _xlfn.XLOOKUP($B197, Result_Database!$A$2:$A$500, Result_Database!AG$2:AG$500),
  _xlfn.IFNA(_xlpm.result, "")
)</f>
        <v/>
      </c>
      <c r="AI197" t="str">
        <f>_xlfn.LET(
  _xlpm.result, _xlfn.XLOOKUP($B197, Result_Database!$A$2:$A$500, Result_Database!AH$2:AH$500),
  _xlfn.IFNA(_xlpm.result, "")
)</f>
        <v/>
      </c>
      <c r="AJ197" t="str">
        <f>_xlfn.LET(
  _xlpm.result, _xlfn.XLOOKUP($B197, Result_Database!$A$2:$A$500, Result_Database!AI$2:AI$500),
  _xlfn.IFNA(_xlpm.result, "")
)</f>
        <v/>
      </c>
      <c r="AK197" t="str">
        <f>_xlfn.LET(
  _xlpm.result, _xlfn.XLOOKUP($B197, Result_Database!$A$2:$A$500, Result_Database!AJ$2:AJ$500),
  _xlfn.IFNA(_xlpm.result, "")
)</f>
        <v/>
      </c>
      <c r="AL197" t="str">
        <f>_xlfn.LET(
  _xlpm.result, _xlfn.XLOOKUP($B197, Result_Database!$A$2:$A$500, Result_Database!AK$2:AK$500),
  _xlfn.IFNA(_xlpm.result, "")
)</f>
        <v/>
      </c>
      <c r="AM19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9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9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9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9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9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9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9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9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97" t="str">
        <f>IF(SUM(Table5[[#This Row],[A1]:[C6]])&lt;&gt;0,SUM(Table5[[#This Row],[A1]:[C6]]),"")</f>
        <v/>
      </c>
      <c r="AW197" t="str">
        <f>IF(SUM(Table5[[#This Row],[D7]:[F9]])=0,"",SUM(Table5[[#This Row],[D7]:[F9]]))</f>
        <v/>
      </c>
      <c r="AX19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9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9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9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9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9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97" t="str">
        <f>IF(COUNTIF(Table5[[#This Row],[English Language]:[Electrical/ Electronics]],"WITHHELD")=0,"",COUNTIF(Table5[[#This Row],[English Language]:[Electrical/ Electronics]],"WITHHELD"))</f>
        <v/>
      </c>
      <c r="BE197" t="str">
        <f>IF(SUM(Table5[[#This Row],[NO OF CREDITS]:[BELOW CREDITS]])=0,"",SUM(Table5[[#This Row],[NO OF CREDITS]:[BELOW CREDITS]]))</f>
        <v/>
      </c>
    </row>
    <row r="198" spans="1:57" x14ac:dyDescent="0.3">
      <c r="A198" t="str">
        <f>IF(B198&lt;&gt;"",COUNTA($B$6:B198),"")</f>
        <v/>
      </c>
      <c r="B198" t="str">
        <f>IF(Result_Database!A194="","",Result_Database!A194)</f>
        <v/>
      </c>
      <c r="C198" t="str">
        <f>_xlfn.LET(
_xlpm.result,_xlfn.XLOOKUP($B198,Result_Database!$A$2:$A$500,Result_Database!$B$2:$B$500),
_xlfn.IFNA(_xlpm.result,"")
)</f>
        <v/>
      </c>
      <c r="D198" t="str">
        <f>_xlfn.LET(
  _xlpm.result, _xlfn.XLOOKUP($B198, Result_Database!$A$2:$A$500, Result_Database!C$2:C$500),
  _xlfn.IFNA(_xlpm.result, "")
)</f>
        <v/>
      </c>
      <c r="E198" t="str">
        <f>_xlfn.LET(
  _xlpm.result, _xlfn.XLOOKUP($B198, Result_Database!$A$2:$A$500, Result_Database!D$2:D$500),
  _xlfn.IFNA(_xlpm.result, "")
)</f>
        <v/>
      </c>
      <c r="F198" t="str">
        <f>_xlfn.LET(
  _xlpm.result, _xlfn.XLOOKUP($B198, Result_Database!$A$2:$A$500, Result_Database!E$2:E$500),
  _xlfn.IFNA(_xlpm.result, "")
)</f>
        <v/>
      </c>
      <c r="G198" t="str">
        <f>_xlfn.LET(
  _xlpm.result, _xlfn.XLOOKUP($B198, Result_Database!$A$2:$A$500, Result_Database!F$2:F$500),
  _xlfn.IFNA(_xlpm.result, "")
)</f>
        <v/>
      </c>
      <c r="H198" t="str">
        <f>_xlfn.LET(
  _xlpm.result, _xlfn.XLOOKUP($B198, Result_Database!$A$2:$A$500, Result_Database!G$2:G$500),
  _xlfn.IFNA(_xlpm.result, "")
)</f>
        <v/>
      </c>
      <c r="I198" t="str">
        <f>_xlfn.LET(
  _xlpm.result, _xlfn.XLOOKUP($B198, Result_Database!$A$2:$A$500, Result_Database!H$2:H$500),
  _xlfn.IFNA(_xlpm.result, "")
)</f>
        <v/>
      </c>
      <c r="J198" t="str">
        <f>_xlfn.LET(
  _xlpm.result, _xlfn.XLOOKUP($B198, Result_Database!$A$2:$A$500, Result_Database!I$2:I$500),
  _xlfn.IFNA(_xlpm.result, "")
)</f>
        <v/>
      </c>
      <c r="K198" t="str">
        <f>_xlfn.LET(
  _xlpm.result, _xlfn.XLOOKUP($B198, Result_Database!$A$2:$A$500, Result_Database!J$2:J$500),
  _xlfn.IFNA(_xlpm.result, "")
)</f>
        <v/>
      </c>
      <c r="L198" t="str">
        <f>_xlfn.LET(
  _xlpm.result, _xlfn.XLOOKUP($B198, Result_Database!$A$2:$A$500, Result_Database!K$2:K$500),
  _xlfn.IFNA(_xlpm.result, "")
)</f>
        <v/>
      </c>
      <c r="M198" t="str">
        <f>_xlfn.LET(
  _xlpm.result, _xlfn.XLOOKUP($B198, Result_Database!$A$2:$A$500, Result_Database!L$2:L$500),
  _xlfn.IFNA(_xlpm.result, "")
)</f>
        <v/>
      </c>
      <c r="N198" t="str">
        <f>_xlfn.LET(
  _xlpm.result, _xlfn.XLOOKUP($B198, Result_Database!$A$2:$A$500, Result_Database!M$2:M$500),
  _xlfn.IFNA(_xlpm.result, "")
)</f>
        <v/>
      </c>
      <c r="O198" t="str">
        <f>_xlfn.LET(
  _xlpm.result, _xlfn.XLOOKUP($B198, Result_Database!$A$2:$A$500, Result_Database!N$2:N$500),
  _xlfn.IFNA(_xlpm.result, "")
)</f>
        <v/>
      </c>
      <c r="P198" t="str">
        <f>_xlfn.LET(
  _xlpm.result, _xlfn.XLOOKUP($B198, Result_Database!$A$2:$A$500, Result_Database!O$2:O$500),
  _xlfn.IFNA(_xlpm.result, "")
)</f>
        <v/>
      </c>
      <c r="Q198" t="str">
        <f>_xlfn.LET(
  _xlpm.result, _xlfn.XLOOKUP($B198, Result_Database!$A$2:$A$500, Result_Database!P$2:P$500),
  _xlfn.IFNA(_xlpm.result, "")
)</f>
        <v/>
      </c>
      <c r="R198" t="str">
        <f>_xlfn.LET(
  _xlpm.result, _xlfn.XLOOKUP($B198, Result_Database!$A$2:$A$500, Result_Database!Q$2:Q$500),
  _xlfn.IFNA(_xlpm.result, "")
)</f>
        <v/>
      </c>
      <c r="S198" t="str">
        <f>_xlfn.LET(
  _xlpm.result, _xlfn.XLOOKUP($B198, Result_Database!$A$2:$A$500, Result_Database!R$2:R$500),
  _xlfn.IFNA(_xlpm.result, "")
)</f>
        <v/>
      </c>
      <c r="T198" t="str">
        <f>_xlfn.LET(
  _xlpm.result, _xlfn.XLOOKUP($B198, Result_Database!$A$2:$A$500, Result_Database!S$2:S$500),
  _xlfn.IFNA(_xlpm.result, "")
)</f>
        <v/>
      </c>
      <c r="U198" t="str">
        <f>_xlfn.LET(
  _xlpm.result, _xlfn.XLOOKUP($B198, Result_Database!$A$2:$A$500, Result_Database!T$2:T$500),
  _xlfn.IFNA(_xlpm.result, "")
)</f>
        <v/>
      </c>
      <c r="V198" t="str">
        <f>_xlfn.LET(
  _xlpm.result, _xlfn.XLOOKUP($B198, Result_Database!$A$2:$A$500, Result_Database!U$2:U$500),
  _xlfn.IFNA(_xlpm.result, "")
)</f>
        <v/>
      </c>
      <c r="W198" t="str">
        <f>_xlfn.LET(
  _xlpm.result, _xlfn.XLOOKUP($B198, Result_Database!$A$2:$A$500, Result_Database!V$2:V$500),
  _xlfn.IFNA(_xlpm.result, "")
)</f>
        <v/>
      </c>
      <c r="X198" t="str">
        <f>_xlfn.LET(
  _xlpm.result, _xlfn.XLOOKUP($B198, Result_Database!$A$2:$A$500, Result_Database!W$2:W$500),
  _xlfn.IFNA(_xlpm.result, "")
)</f>
        <v/>
      </c>
      <c r="Y198" t="str">
        <f>_xlfn.LET(
  _xlpm.result, _xlfn.XLOOKUP($B198, Result_Database!$A$2:$A$500, Result_Database!X$2:X$500),
  _xlfn.IFNA(_xlpm.result, "")
)</f>
        <v/>
      </c>
      <c r="Z198" t="str">
        <f>_xlfn.LET(
  _xlpm.result, _xlfn.XLOOKUP($B198, Result_Database!$A$2:$A$500, Result_Database!Y$2:Y$500),
  _xlfn.IFNA(_xlpm.result, "")
)</f>
        <v/>
      </c>
      <c r="AA198" t="str">
        <f>_xlfn.LET(
  _xlpm.result, _xlfn.XLOOKUP($B198, Result_Database!$A$2:$A$500, Result_Database!Z$2:Z$500),
  _xlfn.IFNA(_xlpm.result, "")
)</f>
        <v/>
      </c>
      <c r="AB198" t="str">
        <f>_xlfn.LET(
  _xlpm.result, _xlfn.XLOOKUP($B198, Result_Database!$A$2:$A$500, Result_Database!AA$2:AA$500),
  _xlfn.IFNA(_xlpm.result, "")
)</f>
        <v/>
      </c>
      <c r="AC198" t="str">
        <f>_xlfn.LET(
  _xlpm.result, _xlfn.XLOOKUP($B198, Result_Database!$A$2:$A$500, Result_Database!AB$2:AB$500),
  _xlfn.IFNA(_xlpm.result, "")
)</f>
        <v/>
      </c>
      <c r="AD198" t="str">
        <f>_xlfn.LET(
  _xlpm.result, _xlfn.XLOOKUP($B198, Result_Database!$A$2:$A$500, Result_Database!AC$2:AC$500),
  _xlfn.IFNA(_xlpm.result, "")
)</f>
        <v/>
      </c>
      <c r="AE198" t="str">
        <f>_xlfn.LET(
  _xlpm.result, _xlfn.XLOOKUP($B198, Result_Database!$A$2:$A$500, Result_Database!AD$2:AD$500),
  _xlfn.IFNA(_xlpm.result, "")
)</f>
        <v/>
      </c>
      <c r="AF198" t="str">
        <f>_xlfn.LET(
  _xlpm.result, _xlfn.XLOOKUP($B198, Result_Database!$A$2:$A$500, Result_Database!AE$2:AE$500),
  _xlfn.IFNA(_xlpm.result, "")
)</f>
        <v/>
      </c>
      <c r="AG198" t="str">
        <f>_xlfn.LET(
  _xlpm.result, _xlfn.XLOOKUP($B198, Result_Database!$A$2:$A$500, Result_Database!AF$2:AF$500),
  _xlfn.IFNA(_xlpm.result, "")
)</f>
        <v/>
      </c>
      <c r="AH198" t="str">
        <f>_xlfn.LET(
  _xlpm.result, _xlfn.XLOOKUP($B198, Result_Database!$A$2:$A$500, Result_Database!AG$2:AG$500),
  _xlfn.IFNA(_xlpm.result, "")
)</f>
        <v/>
      </c>
      <c r="AI198" t="str">
        <f>_xlfn.LET(
  _xlpm.result, _xlfn.XLOOKUP($B198, Result_Database!$A$2:$A$500, Result_Database!AH$2:AH$500),
  _xlfn.IFNA(_xlpm.result, "")
)</f>
        <v/>
      </c>
      <c r="AJ198" t="str">
        <f>_xlfn.LET(
  _xlpm.result, _xlfn.XLOOKUP($B198, Result_Database!$A$2:$A$500, Result_Database!AI$2:AI$500),
  _xlfn.IFNA(_xlpm.result, "")
)</f>
        <v/>
      </c>
      <c r="AK198" t="str">
        <f>_xlfn.LET(
  _xlpm.result, _xlfn.XLOOKUP($B198, Result_Database!$A$2:$A$500, Result_Database!AJ$2:AJ$500),
  _xlfn.IFNA(_xlpm.result, "")
)</f>
        <v/>
      </c>
      <c r="AL198" t="str">
        <f>_xlfn.LET(
  _xlpm.result, _xlfn.XLOOKUP($B198, Result_Database!$A$2:$A$500, Result_Database!AK$2:AK$500),
  _xlfn.IFNA(_xlpm.result, "")
)</f>
        <v/>
      </c>
      <c r="AM19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9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9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9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9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9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9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9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9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98" t="str">
        <f>IF(SUM(Table5[[#This Row],[A1]:[C6]])&lt;&gt;0,SUM(Table5[[#This Row],[A1]:[C6]]),"")</f>
        <v/>
      </c>
      <c r="AW198" t="str">
        <f>IF(SUM(Table5[[#This Row],[D7]:[F9]])=0,"",SUM(Table5[[#This Row],[D7]:[F9]]))</f>
        <v/>
      </c>
      <c r="AX19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9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9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9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9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9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98" t="str">
        <f>IF(COUNTIF(Table5[[#This Row],[English Language]:[Electrical/ Electronics]],"WITHHELD")=0,"",COUNTIF(Table5[[#This Row],[English Language]:[Electrical/ Electronics]],"WITHHELD"))</f>
        <v/>
      </c>
      <c r="BE198" t="str">
        <f>IF(SUM(Table5[[#This Row],[NO OF CREDITS]:[BELOW CREDITS]])=0,"",SUM(Table5[[#This Row],[NO OF CREDITS]:[BELOW CREDITS]]))</f>
        <v/>
      </c>
    </row>
    <row r="199" spans="1:57" x14ac:dyDescent="0.3">
      <c r="A199" t="str">
        <f>IF(B199&lt;&gt;"",COUNTA($B$6:B199),"")</f>
        <v/>
      </c>
      <c r="B199" t="str">
        <f>IF(Result_Database!A195="","",Result_Database!A195)</f>
        <v/>
      </c>
      <c r="C199" t="str">
        <f>_xlfn.LET(
_xlpm.result,_xlfn.XLOOKUP($B199,Result_Database!$A$2:$A$500,Result_Database!$B$2:$B$500),
_xlfn.IFNA(_xlpm.result,"")
)</f>
        <v/>
      </c>
      <c r="D199" t="str">
        <f>_xlfn.LET(
  _xlpm.result, _xlfn.XLOOKUP($B199, Result_Database!$A$2:$A$500, Result_Database!C$2:C$500),
  _xlfn.IFNA(_xlpm.result, "")
)</f>
        <v/>
      </c>
      <c r="E199" t="str">
        <f>_xlfn.LET(
  _xlpm.result, _xlfn.XLOOKUP($B199, Result_Database!$A$2:$A$500, Result_Database!D$2:D$500),
  _xlfn.IFNA(_xlpm.result, "")
)</f>
        <v/>
      </c>
      <c r="F199" t="str">
        <f>_xlfn.LET(
  _xlpm.result, _xlfn.XLOOKUP($B199, Result_Database!$A$2:$A$500, Result_Database!E$2:E$500),
  _xlfn.IFNA(_xlpm.result, "")
)</f>
        <v/>
      </c>
      <c r="G199" t="str">
        <f>_xlfn.LET(
  _xlpm.result, _xlfn.XLOOKUP($B199, Result_Database!$A$2:$A$500, Result_Database!F$2:F$500),
  _xlfn.IFNA(_xlpm.result, "")
)</f>
        <v/>
      </c>
      <c r="H199" t="str">
        <f>_xlfn.LET(
  _xlpm.result, _xlfn.XLOOKUP($B199, Result_Database!$A$2:$A$500, Result_Database!G$2:G$500),
  _xlfn.IFNA(_xlpm.result, "")
)</f>
        <v/>
      </c>
      <c r="I199" t="str">
        <f>_xlfn.LET(
  _xlpm.result, _xlfn.XLOOKUP($B199, Result_Database!$A$2:$A$500, Result_Database!H$2:H$500),
  _xlfn.IFNA(_xlpm.result, "")
)</f>
        <v/>
      </c>
      <c r="J199" t="str">
        <f>_xlfn.LET(
  _xlpm.result, _xlfn.XLOOKUP($B199, Result_Database!$A$2:$A$500, Result_Database!I$2:I$500),
  _xlfn.IFNA(_xlpm.result, "")
)</f>
        <v/>
      </c>
      <c r="K199" t="str">
        <f>_xlfn.LET(
  _xlpm.result, _xlfn.XLOOKUP($B199, Result_Database!$A$2:$A$500, Result_Database!J$2:J$500),
  _xlfn.IFNA(_xlpm.result, "")
)</f>
        <v/>
      </c>
      <c r="L199" t="str">
        <f>_xlfn.LET(
  _xlpm.result, _xlfn.XLOOKUP($B199, Result_Database!$A$2:$A$500, Result_Database!K$2:K$500),
  _xlfn.IFNA(_xlpm.result, "")
)</f>
        <v/>
      </c>
      <c r="M199" t="str">
        <f>_xlfn.LET(
  _xlpm.result, _xlfn.XLOOKUP($B199, Result_Database!$A$2:$A$500, Result_Database!L$2:L$500),
  _xlfn.IFNA(_xlpm.result, "")
)</f>
        <v/>
      </c>
      <c r="N199" t="str">
        <f>_xlfn.LET(
  _xlpm.result, _xlfn.XLOOKUP($B199, Result_Database!$A$2:$A$500, Result_Database!M$2:M$500),
  _xlfn.IFNA(_xlpm.result, "")
)</f>
        <v/>
      </c>
      <c r="O199" t="str">
        <f>_xlfn.LET(
  _xlpm.result, _xlfn.XLOOKUP($B199, Result_Database!$A$2:$A$500, Result_Database!N$2:N$500),
  _xlfn.IFNA(_xlpm.result, "")
)</f>
        <v/>
      </c>
      <c r="P199" t="str">
        <f>_xlfn.LET(
  _xlpm.result, _xlfn.XLOOKUP($B199, Result_Database!$A$2:$A$500, Result_Database!O$2:O$500),
  _xlfn.IFNA(_xlpm.result, "")
)</f>
        <v/>
      </c>
      <c r="Q199" t="str">
        <f>_xlfn.LET(
  _xlpm.result, _xlfn.XLOOKUP($B199, Result_Database!$A$2:$A$500, Result_Database!P$2:P$500),
  _xlfn.IFNA(_xlpm.result, "")
)</f>
        <v/>
      </c>
      <c r="R199" t="str">
        <f>_xlfn.LET(
  _xlpm.result, _xlfn.XLOOKUP($B199, Result_Database!$A$2:$A$500, Result_Database!Q$2:Q$500),
  _xlfn.IFNA(_xlpm.result, "")
)</f>
        <v/>
      </c>
      <c r="S199" t="str">
        <f>_xlfn.LET(
  _xlpm.result, _xlfn.XLOOKUP($B199, Result_Database!$A$2:$A$500, Result_Database!R$2:R$500),
  _xlfn.IFNA(_xlpm.result, "")
)</f>
        <v/>
      </c>
      <c r="T199" t="str">
        <f>_xlfn.LET(
  _xlpm.result, _xlfn.XLOOKUP($B199, Result_Database!$A$2:$A$500, Result_Database!S$2:S$500),
  _xlfn.IFNA(_xlpm.result, "")
)</f>
        <v/>
      </c>
      <c r="U199" t="str">
        <f>_xlfn.LET(
  _xlpm.result, _xlfn.XLOOKUP($B199, Result_Database!$A$2:$A$500, Result_Database!T$2:T$500),
  _xlfn.IFNA(_xlpm.result, "")
)</f>
        <v/>
      </c>
      <c r="V199" t="str">
        <f>_xlfn.LET(
  _xlpm.result, _xlfn.XLOOKUP($B199, Result_Database!$A$2:$A$500, Result_Database!U$2:U$500),
  _xlfn.IFNA(_xlpm.result, "")
)</f>
        <v/>
      </c>
      <c r="W199" t="str">
        <f>_xlfn.LET(
  _xlpm.result, _xlfn.XLOOKUP($B199, Result_Database!$A$2:$A$500, Result_Database!V$2:V$500),
  _xlfn.IFNA(_xlpm.result, "")
)</f>
        <v/>
      </c>
      <c r="X199" t="str">
        <f>_xlfn.LET(
  _xlpm.result, _xlfn.XLOOKUP($B199, Result_Database!$A$2:$A$500, Result_Database!W$2:W$500),
  _xlfn.IFNA(_xlpm.result, "")
)</f>
        <v/>
      </c>
      <c r="Y199" t="str">
        <f>_xlfn.LET(
  _xlpm.result, _xlfn.XLOOKUP($B199, Result_Database!$A$2:$A$500, Result_Database!X$2:X$500),
  _xlfn.IFNA(_xlpm.result, "")
)</f>
        <v/>
      </c>
      <c r="Z199" t="str">
        <f>_xlfn.LET(
  _xlpm.result, _xlfn.XLOOKUP($B199, Result_Database!$A$2:$A$500, Result_Database!Y$2:Y$500),
  _xlfn.IFNA(_xlpm.result, "")
)</f>
        <v/>
      </c>
      <c r="AA199" t="str">
        <f>_xlfn.LET(
  _xlpm.result, _xlfn.XLOOKUP($B199, Result_Database!$A$2:$A$500, Result_Database!Z$2:Z$500),
  _xlfn.IFNA(_xlpm.result, "")
)</f>
        <v/>
      </c>
      <c r="AB199" t="str">
        <f>_xlfn.LET(
  _xlpm.result, _xlfn.XLOOKUP($B199, Result_Database!$A$2:$A$500, Result_Database!AA$2:AA$500),
  _xlfn.IFNA(_xlpm.result, "")
)</f>
        <v/>
      </c>
      <c r="AC199" t="str">
        <f>_xlfn.LET(
  _xlpm.result, _xlfn.XLOOKUP($B199, Result_Database!$A$2:$A$500, Result_Database!AB$2:AB$500),
  _xlfn.IFNA(_xlpm.result, "")
)</f>
        <v/>
      </c>
      <c r="AD199" t="str">
        <f>_xlfn.LET(
  _xlpm.result, _xlfn.XLOOKUP($B199, Result_Database!$A$2:$A$500, Result_Database!AC$2:AC$500),
  _xlfn.IFNA(_xlpm.result, "")
)</f>
        <v/>
      </c>
      <c r="AE199" t="str">
        <f>_xlfn.LET(
  _xlpm.result, _xlfn.XLOOKUP($B199, Result_Database!$A$2:$A$500, Result_Database!AD$2:AD$500),
  _xlfn.IFNA(_xlpm.result, "")
)</f>
        <v/>
      </c>
      <c r="AF199" t="str">
        <f>_xlfn.LET(
  _xlpm.result, _xlfn.XLOOKUP($B199, Result_Database!$A$2:$A$500, Result_Database!AE$2:AE$500),
  _xlfn.IFNA(_xlpm.result, "")
)</f>
        <v/>
      </c>
      <c r="AG199" t="str">
        <f>_xlfn.LET(
  _xlpm.result, _xlfn.XLOOKUP($B199, Result_Database!$A$2:$A$500, Result_Database!AF$2:AF$500),
  _xlfn.IFNA(_xlpm.result, "")
)</f>
        <v/>
      </c>
      <c r="AH199" t="str">
        <f>_xlfn.LET(
  _xlpm.result, _xlfn.XLOOKUP($B199, Result_Database!$A$2:$A$500, Result_Database!AG$2:AG$500),
  _xlfn.IFNA(_xlpm.result, "")
)</f>
        <v/>
      </c>
      <c r="AI199" t="str">
        <f>_xlfn.LET(
  _xlpm.result, _xlfn.XLOOKUP($B199, Result_Database!$A$2:$A$500, Result_Database!AH$2:AH$500),
  _xlfn.IFNA(_xlpm.result, "")
)</f>
        <v/>
      </c>
      <c r="AJ199" t="str">
        <f>_xlfn.LET(
  _xlpm.result, _xlfn.XLOOKUP($B199, Result_Database!$A$2:$A$500, Result_Database!AI$2:AI$500),
  _xlfn.IFNA(_xlpm.result, "")
)</f>
        <v/>
      </c>
      <c r="AK199" t="str">
        <f>_xlfn.LET(
  _xlpm.result, _xlfn.XLOOKUP($B199, Result_Database!$A$2:$A$500, Result_Database!AJ$2:AJ$500),
  _xlfn.IFNA(_xlpm.result, "")
)</f>
        <v/>
      </c>
      <c r="AL199" t="str">
        <f>_xlfn.LET(
  _xlpm.result, _xlfn.XLOOKUP($B199, Result_Database!$A$2:$A$500, Result_Database!AK$2:AK$500),
  _xlfn.IFNA(_xlpm.result, "")
)</f>
        <v/>
      </c>
      <c r="AM19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19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19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19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19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19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19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19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19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199" t="str">
        <f>IF(SUM(Table5[[#This Row],[A1]:[C6]])&lt;&gt;0,SUM(Table5[[#This Row],[A1]:[C6]]),"")</f>
        <v/>
      </c>
      <c r="AW199" t="str">
        <f>IF(SUM(Table5[[#This Row],[D7]:[F9]])=0,"",SUM(Table5[[#This Row],[D7]:[F9]]))</f>
        <v/>
      </c>
      <c r="AX19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19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19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19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19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19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199" t="str">
        <f>IF(COUNTIF(Table5[[#This Row],[English Language]:[Electrical/ Electronics]],"WITHHELD")=0,"",COUNTIF(Table5[[#This Row],[English Language]:[Electrical/ Electronics]],"WITHHELD"))</f>
        <v/>
      </c>
      <c r="BE199" t="str">
        <f>IF(SUM(Table5[[#This Row],[NO OF CREDITS]:[BELOW CREDITS]])=0,"",SUM(Table5[[#This Row],[NO OF CREDITS]:[BELOW CREDITS]]))</f>
        <v/>
      </c>
    </row>
    <row r="200" spans="1:57" x14ac:dyDescent="0.3">
      <c r="A200" t="str">
        <f>IF(B200&lt;&gt;"",COUNTA($B$6:B200),"")</f>
        <v/>
      </c>
      <c r="B200" t="str">
        <f>IF(Result_Database!A196="","",Result_Database!A196)</f>
        <v/>
      </c>
      <c r="C200" t="str">
        <f>_xlfn.LET(
_xlpm.result,_xlfn.XLOOKUP($B200,Result_Database!$A$2:$A$500,Result_Database!$B$2:$B$500),
_xlfn.IFNA(_xlpm.result,"")
)</f>
        <v/>
      </c>
      <c r="D200" t="str">
        <f>_xlfn.LET(
  _xlpm.result, _xlfn.XLOOKUP($B200, Result_Database!$A$2:$A$500, Result_Database!C$2:C$500),
  _xlfn.IFNA(_xlpm.result, "")
)</f>
        <v/>
      </c>
      <c r="E200" t="str">
        <f>_xlfn.LET(
  _xlpm.result, _xlfn.XLOOKUP($B200, Result_Database!$A$2:$A$500, Result_Database!D$2:D$500),
  _xlfn.IFNA(_xlpm.result, "")
)</f>
        <v/>
      </c>
      <c r="F200" t="str">
        <f>_xlfn.LET(
  _xlpm.result, _xlfn.XLOOKUP($B200, Result_Database!$A$2:$A$500, Result_Database!E$2:E$500),
  _xlfn.IFNA(_xlpm.result, "")
)</f>
        <v/>
      </c>
      <c r="G200" t="str">
        <f>_xlfn.LET(
  _xlpm.result, _xlfn.XLOOKUP($B200, Result_Database!$A$2:$A$500, Result_Database!F$2:F$500),
  _xlfn.IFNA(_xlpm.result, "")
)</f>
        <v/>
      </c>
      <c r="H200" t="str">
        <f>_xlfn.LET(
  _xlpm.result, _xlfn.XLOOKUP($B200, Result_Database!$A$2:$A$500, Result_Database!G$2:G$500),
  _xlfn.IFNA(_xlpm.result, "")
)</f>
        <v/>
      </c>
      <c r="I200" t="str">
        <f>_xlfn.LET(
  _xlpm.result, _xlfn.XLOOKUP($B200, Result_Database!$A$2:$A$500, Result_Database!H$2:H$500),
  _xlfn.IFNA(_xlpm.result, "")
)</f>
        <v/>
      </c>
      <c r="J200" t="str">
        <f>_xlfn.LET(
  _xlpm.result, _xlfn.XLOOKUP($B200, Result_Database!$A$2:$A$500, Result_Database!I$2:I$500),
  _xlfn.IFNA(_xlpm.result, "")
)</f>
        <v/>
      </c>
      <c r="K200" t="str">
        <f>_xlfn.LET(
  _xlpm.result, _xlfn.XLOOKUP($B200, Result_Database!$A$2:$A$500, Result_Database!J$2:J$500),
  _xlfn.IFNA(_xlpm.result, "")
)</f>
        <v/>
      </c>
      <c r="L200" t="str">
        <f>_xlfn.LET(
  _xlpm.result, _xlfn.XLOOKUP($B200, Result_Database!$A$2:$A$500, Result_Database!K$2:K$500),
  _xlfn.IFNA(_xlpm.result, "")
)</f>
        <v/>
      </c>
      <c r="M200" t="str">
        <f>_xlfn.LET(
  _xlpm.result, _xlfn.XLOOKUP($B200, Result_Database!$A$2:$A$500, Result_Database!L$2:L$500),
  _xlfn.IFNA(_xlpm.result, "")
)</f>
        <v/>
      </c>
      <c r="N200" t="str">
        <f>_xlfn.LET(
  _xlpm.result, _xlfn.XLOOKUP($B200, Result_Database!$A$2:$A$500, Result_Database!M$2:M$500),
  _xlfn.IFNA(_xlpm.result, "")
)</f>
        <v/>
      </c>
      <c r="O200" t="str">
        <f>_xlfn.LET(
  _xlpm.result, _xlfn.XLOOKUP($B200, Result_Database!$A$2:$A$500, Result_Database!N$2:N$500),
  _xlfn.IFNA(_xlpm.result, "")
)</f>
        <v/>
      </c>
      <c r="P200" t="str">
        <f>_xlfn.LET(
  _xlpm.result, _xlfn.XLOOKUP($B200, Result_Database!$A$2:$A$500, Result_Database!O$2:O$500),
  _xlfn.IFNA(_xlpm.result, "")
)</f>
        <v/>
      </c>
      <c r="Q200" t="str">
        <f>_xlfn.LET(
  _xlpm.result, _xlfn.XLOOKUP($B200, Result_Database!$A$2:$A$500, Result_Database!P$2:P$500),
  _xlfn.IFNA(_xlpm.result, "")
)</f>
        <v/>
      </c>
      <c r="R200" t="str">
        <f>_xlfn.LET(
  _xlpm.result, _xlfn.XLOOKUP($B200, Result_Database!$A$2:$A$500, Result_Database!Q$2:Q$500),
  _xlfn.IFNA(_xlpm.result, "")
)</f>
        <v/>
      </c>
      <c r="S200" t="str">
        <f>_xlfn.LET(
  _xlpm.result, _xlfn.XLOOKUP($B200, Result_Database!$A$2:$A$500, Result_Database!R$2:R$500),
  _xlfn.IFNA(_xlpm.result, "")
)</f>
        <v/>
      </c>
      <c r="T200" t="str">
        <f>_xlfn.LET(
  _xlpm.result, _xlfn.XLOOKUP($B200, Result_Database!$A$2:$A$500, Result_Database!S$2:S$500),
  _xlfn.IFNA(_xlpm.result, "")
)</f>
        <v/>
      </c>
      <c r="U200" t="str">
        <f>_xlfn.LET(
  _xlpm.result, _xlfn.XLOOKUP($B200, Result_Database!$A$2:$A$500, Result_Database!T$2:T$500),
  _xlfn.IFNA(_xlpm.result, "")
)</f>
        <v/>
      </c>
      <c r="V200" t="str">
        <f>_xlfn.LET(
  _xlpm.result, _xlfn.XLOOKUP($B200, Result_Database!$A$2:$A$500, Result_Database!U$2:U$500),
  _xlfn.IFNA(_xlpm.result, "")
)</f>
        <v/>
      </c>
      <c r="W200" t="str">
        <f>_xlfn.LET(
  _xlpm.result, _xlfn.XLOOKUP($B200, Result_Database!$A$2:$A$500, Result_Database!V$2:V$500),
  _xlfn.IFNA(_xlpm.result, "")
)</f>
        <v/>
      </c>
      <c r="X200" t="str">
        <f>_xlfn.LET(
  _xlpm.result, _xlfn.XLOOKUP($B200, Result_Database!$A$2:$A$500, Result_Database!W$2:W$500),
  _xlfn.IFNA(_xlpm.result, "")
)</f>
        <v/>
      </c>
      <c r="Y200" t="str">
        <f>_xlfn.LET(
  _xlpm.result, _xlfn.XLOOKUP($B200, Result_Database!$A$2:$A$500, Result_Database!X$2:X$500),
  _xlfn.IFNA(_xlpm.result, "")
)</f>
        <v/>
      </c>
      <c r="Z200" t="str">
        <f>_xlfn.LET(
  _xlpm.result, _xlfn.XLOOKUP($B200, Result_Database!$A$2:$A$500, Result_Database!Y$2:Y$500),
  _xlfn.IFNA(_xlpm.result, "")
)</f>
        <v/>
      </c>
      <c r="AA200" t="str">
        <f>_xlfn.LET(
  _xlpm.result, _xlfn.XLOOKUP($B200, Result_Database!$A$2:$A$500, Result_Database!Z$2:Z$500),
  _xlfn.IFNA(_xlpm.result, "")
)</f>
        <v/>
      </c>
      <c r="AB200" t="str">
        <f>_xlfn.LET(
  _xlpm.result, _xlfn.XLOOKUP($B200, Result_Database!$A$2:$A$500, Result_Database!AA$2:AA$500),
  _xlfn.IFNA(_xlpm.result, "")
)</f>
        <v/>
      </c>
      <c r="AC200" t="str">
        <f>_xlfn.LET(
  _xlpm.result, _xlfn.XLOOKUP($B200, Result_Database!$A$2:$A$500, Result_Database!AB$2:AB$500),
  _xlfn.IFNA(_xlpm.result, "")
)</f>
        <v/>
      </c>
      <c r="AD200" t="str">
        <f>_xlfn.LET(
  _xlpm.result, _xlfn.XLOOKUP($B200, Result_Database!$A$2:$A$500, Result_Database!AC$2:AC$500),
  _xlfn.IFNA(_xlpm.result, "")
)</f>
        <v/>
      </c>
      <c r="AE200" t="str">
        <f>_xlfn.LET(
  _xlpm.result, _xlfn.XLOOKUP($B200, Result_Database!$A$2:$A$500, Result_Database!AD$2:AD$500),
  _xlfn.IFNA(_xlpm.result, "")
)</f>
        <v/>
      </c>
      <c r="AF200" t="str">
        <f>_xlfn.LET(
  _xlpm.result, _xlfn.XLOOKUP($B200, Result_Database!$A$2:$A$500, Result_Database!AE$2:AE$500),
  _xlfn.IFNA(_xlpm.result, "")
)</f>
        <v/>
      </c>
      <c r="AG200" t="str">
        <f>_xlfn.LET(
  _xlpm.result, _xlfn.XLOOKUP($B200, Result_Database!$A$2:$A$500, Result_Database!AF$2:AF$500),
  _xlfn.IFNA(_xlpm.result, "")
)</f>
        <v/>
      </c>
      <c r="AH200" t="str">
        <f>_xlfn.LET(
  _xlpm.result, _xlfn.XLOOKUP($B200, Result_Database!$A$2:$A$500, Result_Database!AG$2:AG$500),
  _xlfn.IFNA(_xlpm.result, "")
)</f>
        <v/>
      </c>
      <c r="AI200" t="str">
        <f>_xlfn.LET(
  _xlpm.result, _xlfn.XLOOKUP($B200, Result_Database!$A$2:$A$500, Result_Database!AH$2:AH$500),
  _xlfn.IFNA(_xlpm.result, "")
)</f>
        <v/>
      </c>
      <c r="AJ200" t="str">
        <f>_xlfn.LET(
  _xlpm.result, _xlfn.XLOOKUP($B200, Result_Database!$A$2:$A$500, Result_Database!AI$2:AI$500),
  _xlfn.IFNA(_xlpm.result, "")
)</f>
        <v/>
      </c>
      <c r="AK200" t="str">
        <f>_xlfn.LET(
  _xlpm.result, _xlfn.XLOOKUP($B200, Result_Database!$A$2:$A$500, Result_Database!AJ$2:AJ$500),
  _xlfn.IFNA(_xlpm.result, "")
)</f>
        <v/>
      </c>
      <c r="AL200" t="str">
        <f>_xlfn.LET(
  _xlpm.result, _xlfn.XLOOKUP($B200, Result_Database!$A$2:$A$500, Result_Database!AK$2:AK$500),
  _xlfn.IFNA(_xlpm.result, "")
)</f>
        <v/>
      </c>
      <c r="AM20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0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0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0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0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0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0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0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0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00" t="str">
        <f>IF(SUM(Table5[[#This Row],[A1]:[C6]])&lt;&gt;0,SUM(Table5[[#This Row],[A1]:[C6]]),"")</f>
        <v/>
      </c>
      <c r="AW200" t="str">
        <f>IF(SUM(Table5[[#This Row],[D7]:[F9]])=0,"",SUM(Table5[[#This Row],[D7]:[F9]]))</f>
        <v/>
      </c>
      <c r="AX20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0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0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0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0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0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00" t="str">
        <f>IF(COUNTIF(Table5[[#This Row],[English Language]:[Electrical/ Electronics]],"WITHHELD")=0,"",COUNTIF(Table5[[#This Row],[English Language]:[Electrical/ Electronics]],"WITHHELD"))</f>
        <v/>
      </c>
      <c r="BE200" t="str">
        <f>IF(SUM(Table5[[#This Row],[NO OF CREDITS]:[BELOW CREDITS]])=0,"",SUM(Table5[[#This Row],[NO OF CREDITS]:[BELOW CREDITS]]))</f>
        <v/>
      </c>
    </row>
    <row r="201" spans="1:57" x14ac:dyDescent="0.3">
      <c r="A201" t="str">
        <f>IF(B201&lt;&gt;"",COUNTA($B$6:B201),"")</f>
        <v/>
      </c>
      <c r="B201" t="str">
        <f>IF(Result_Database!A197="","",Result_Database!A197)</f>
        <v/>
      </c>
      <c r="C201" t="str">
        <f>_xlfn.LET(
_xlpm.result,_xlfn.XLOOKUP($B201,Result_Database!$A$2:$A$500,Result_Database!$B$2:$B$500),
_xlfn.IFNA(_xlpm.result,"")
)</f>
        <v/>
      </c>
      <c r="D201" t="str">
        <f>_xlfn.LET(
  _xlpm.result, _xlfn.XLOOKUP($B201, Result_Database!$A$2:$A$500, Result_Database!C$2:C$500),
  _xlfn.IFNA(_xlpm.result, "")
)</f>
        <v/>
      </c>
      <c r="E201" t="str">
        <f>_xlfn.LET(
  _xlpm.result, _xlfn.XLOOKUP($B201, Result_Database!$A$2:$A$500, Result_Database!D$2:D$500),
  _xlfn.IFNA(_xlpm.result, "")
)</f>
        <v/>
      </c>
      <c r="F201" t="str">
        <f>_xlfn.LET(
  _xlpm.result, _xlfn.XLOOKUP($B201, Result_Database!$A$2:$A$500, Result_Database!E$2:E$500),
  _xlfn.IFNA(_xlpm.result, "")
)</f>
        <v/>
      </c>
      <c r="G201" t="str">
        <f>_xlfn.LET(
  _xlpm.result, _xlfn.XLOOKUP($B201, Result_Database!$A$2:$A$500, Result_Database!F$2:F$500),
  _xlfn.IFNA(_xlpm.result, "")
)</f>
        <v/>
      </c>
      <c r="H201" t="str">
        <f>_xlfn.LET(
  _xlpm.result, _xlfn.XLOOKUP($B201, Result_Database!$A$2:$A$500, Result_Database!G$2:G$500),
  _xlfn.IFNA(_xlpm.result, "")
)</f>
        <v/>
      </c>
      <c r="I201" t="str">
        <f>_xlfn.LET(
  _xlpm.result, _xlfn.XLOOKUP($B201, Result_Database!$A$2:$A$500, Result_Database!H$2:H$500),
  _xlfn.IFNA(_xlpm.result, "")
)</f>
        <v/>
      </c>
      <c r="J201" t="str">
        <f>_xlfn.LET(
  _xlpm.result, _xlfn.XLOOKUP($B201, Result_Database!$A$2:$A$500, Result_Database!I$2:I$500),
  _xlfn.IFNA(_xlpm.result, "")
)</f>
        <v/>
      </c>
      <c r="K201" t="str">
        <f>_xlfn.LET(
  _xlpm.result, _xlfn.XLOOKUP($B201, Result_Database!$A$2:$A$500, Result_Database!J$2:J$500),
  _xlfn.IFNA(_xlpm.result, "")
)</f>
        <v/>
      </c>
      <c r="L201" t="str">
        <f>_xlfn.LET(
  _xlpm.result, _xlfn.XLOOKUP($B201, Result_Database!$A$2:$A$500, Result_Database!K$2:K$500),
  _xlfn.IFNA(_xlpm.result, "")
)</f>
        <v/>
      </c>
      <c r="M201" t="str">
        <f>_xlfn.LET(
  _xlpm.result, _xlfn.XLOOKUP($B201, Result_Database!$A$2:$A$500, Result_Database!L$2:L$500),
  _xlfn.IFNA(_xlpm.result, "")
)</f>
        <v/>
      </c>
      <c r="N201" t="str">
        <f>_xlfn.LET(
  _xlpm.result, _xlfn.XLOOKUP($B201, Result_Database!$A$2:$A$500, Result_Database!M$2:M$500),
  _xlfn.IFNA(_xlpm.result, "")
)</f>
        <v/>
      </c>
      <c r="O201" t="str">
        <f>_xlfn.LET(
  _xlpm.result, _xlfn.XLOOKUP($B201, Result_Database!$A$2:$A$500, Result_Database!N$2:N$500),
  _xlfn.IFNA(_xlpm.result, "")
)</f>
        <v/>
      </c>
      <c r="P201" t="str">
        <f>_xlfn.LET(
  _xlpm.result, _xlfn.XLOOKUP($B201, Result_Database!$A$2:$A$500, Result_Database!O$2:O$500),
  _xlfn.IFNA(_xlpm.result, "")
)</f>
        <v/>
      </c>
      <c r="Q201" t="str">
        <f>_xlfn.LET(
  _xlpm.result, _xlfn.XLOOKUP($B201, Result_Database!$A$2:$A$500, Result_Database!P$2:P$500),
  _xlfn.IFNA(_xlpm.result, "")
)</f>
        <v/>
      </c>
      <c r="R201" t="str">
        <f>_xlfn.LET(
  _xlpm.result, _xlfn.XLOOKUP($B201, Result_Database!$A$2:$A$500, Result_Database!Q$2:Q$500),
  _xlfn.IFNA(_xlpm.result, "")
)</f>
        <v/>
      </c>
      <c r="S201" t="str">
        <f>_xlfn.LET(
  _xlpm.result, _xlfn.XLOOKUP($B201, Result_Database!$A$2:$A$500, Result_Database!R$2:R$500),
  _xlfn.IFNA(_xlpm.result, "")
)</f>
        <v/>
      </c>
      <c r="T201" t="str">
        <f>_xlfn.LET(
  _xlpm.result, _xlfn.XLOOKUP($B201, Result_Database!$A$2:$A$500, Result_Database!S$2:S$500),
  _xlfn.IFNA(_xlpm.result, "")
)</f>
        <v/>
      </c>
      <c r="U201" t="str">
        <f>_xlfn.LET(
  _xlpm.result, _xlfn.XLOOKUP($B201, Result_Database!$A$2:$A$500, Result_Database!T$2:T$500),
  _xlfn.IFNA(_xlpm.result, "")
)</f>
        <v/>
      </c>
      <c r="V201" t="str">
        <f>_xlfn.LET(
  _xlpm.result, _xlfn.XLOOKUP($B201, Result_Database!$A$2:$A$500, Result_Database!U$2:U$500),
  _xlfn.IFNA(_xlpm.result, "")
)</f>
        <v/>
      </c>
      <c r="W201" t="str">
        <f>_xlfn.LET(
  _xlpm.result, _xlfn.XLOOKUP($B201, Result_Database!$A$2:$A$500, Result_Database!V$2:V$500),
  _xlfn.IFNA(_xlpm.result, "")
)</f>
        <v/>
      </c>
      <c r="X201" t="str">
        <f>_xlfn.LET(
  _xlpm.result, _xlfn.XLOOKUP($B201, Result_Database!$A$2:$A$500, Result_Database!W$2:W$500),
  _xlfn.IFNA(_xlpm.result, "")
)</f>
        <v/>
      </c>
      <c r="Y201" t="str">
        <f>_xlfn.LET(
  _xlpm.result, _xlfn.XLOOKUP($B201, Result_Database!$A$2:$A$500, Result_Database!X$2:X$500),
  _xlfn.IFNA(_xlpm.result, "")
)</f>
        <v/>
      </c>
      <c r="Z201" t="str">
        <f>_xlfn.LET(
  _xlpm.result, _xlfn.XLOOKUP($B201, Result_Database!$A$2:$A$500, Result_Database!Y$2:Y$500),
  _xlfn.IFNA(_xlpm.result, "")
)</f>
        <v/>
      </c>
      <c r="AA201" t="str">
        <f>_xlfn.LET(
  _xlpm.result, _xlfn.XLOOKUP($B201, Result_Database!$A$2:$A$500, Result_Database!Z$2:Z$500),
  _xlfn.IFNA(_xlpm.result, "")
)</f>
        <v/>
      </c>
      <c r="AB201" t="str">
        <f>_xlfn.LET(
  _xlpm.result, _xlfn.XLOOKUP($B201, Result_Database!$A$2:$A$500, Result_Database!AA$2:AA$500),
  _xlfn.IFNA(_xlpm.result, "")
)</f>
        <v/>
      </c>
      <c r="AC201" t="str">
        <f>_xlfn.LET(
  _xlpm.result, _xlfn.XLOOKUP($B201, Result_Database!$A$2:$A$500, Result_Database!AB$2:AB$500),
  _xlfn.IFNA(_xlpm.result, "")
)</f>
        <v/>
      </c>
      <c r="AD201" t="str">
        <f>_xlfn.LET(
  _xlpm.result, _xlfn.XLOOKUP($B201, Result_Database!$A$2:$A$500, Result_Database!AC$2:AC$500),
  _xlfn.IFNA(_xlpm.result, "")
)</f>
        <v/>
      </c>
      <c r="AE201" t="str">
        <f>_xlfn.LET(
  _xlpm.result, _xlfn.XLOOKUP($B201, Result_Database!$A$2:$A$500, Result_Database!AD$2:AD$500),
  _xlfn.IFNA(_xlpm.result, "")
)</f>
        <v/>
      </c>
      <c r="AF201" t="str">
        <f>_xlfn.LET(
  _xlpm.result, _xlfn.XLOOKUP($B201, Result_Database!$A$2:$A$500, Result_Database!AE$2:AE$500),
  _xlfn.IFNA(_xlpm.result, "")
)</f>
        <v/>
      </c>
      <c r="AG201" t="str">
        <f>_xlfn.LET(
  _xlpm.result, _xlfn.XLOOKUP($B201, Result_Database!$A$2:$A$500, Result_Database!AF$2:AF$500),
  _xlfn.IFNA(_xlpm.result, "")
)</f>
        <v/>
      </c>
      <c r="AH201" t="str">
        <f>_xlfn.LET(
  _xlpm.result, _xlfn.XLOOKUP($B201, Result_Database!$A$2:$A$500, Result_Database!AG$2:AG$500),
  _xlfn.IFNA(_xlpm.result, "")
)</f>
        <v/>
      </c>
      <c r="AI201" t="str">
        <f>_xlfn.LET(
  _xlpm.result, _xlfn.XLOOKUP($B201, Result_Database!$A$2:$A$500, Result_Database!AH$2:AH$500),
  _xlfn.IFNA(_xlpm.result, "")
)</f>
        <v/>
      </c>
      <c r="AJ201" t="str">
        <f>_xlfn.LET(
  _xlpm.result, _xlfn.XLOOKUP($B201, Result_Database!$A$2:$A$500, Result_Database!AI$2:AI$500),
  _xlfn.IFNA(_xlpm.result, "")
)</f>
        <v/>
      </c>
      <c r="AK201" t="str">
        <f>_xlfn.LET(
  _xlpm.result, _xlfn.XLOOKUP($B201, Result_Database!$A$2:$A$500, Result_Database!AJ$2:AJ$500),
  _xlfn.IFNA(_xlpm.result, "")
)</f>
        <v/>
      </c>
      <c r="AL201" t="str">
        <f>_xlfn.LET(
  _xlpm.result, _xlfn.XLOOKUP($B201, Result_Database!$A$2:$A$500, Result_Database!AK$2:AK$500),
  _xlfn.IFNA(_xlpm.result, "")
)</f>
        <v/>
      </c>
      <c r="AM20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0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0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0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0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0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0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0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0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01" t="str">
        <f>IF(SUM(Table5[[#This Row],[A1]:[C6]])&lt;&gt;0,SUM(Table5[[#This Row],[A1]:[C6]]),"")</f>
        <v/>
      </c>
      <c r="AW201" t="str">
        <f>IF(SUM(Table5[[#This Row],[D7]:[F9]])=0,"",SUM(Table5[[#This Row],[D7]:[F9]]))</f>
        <v/>
      </c>
      <c r="AX20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0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0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0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0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0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01" t="str">
        <f>IF(COUNTIF(Table5[[#This Row],[English Language]:[Electrical/ Electronics]],"WITHHELD")=0,"",COUNTIF(Table5[[#This Row],[English Language]:[Electrical/ Electronics]],"WITHHELD"))</f>
        <v/>
      </c>
      <c r="BE201" t="str">
        <f>IF(SUM(Table5[[#This Row],[NO OF CREDITS]:[BELOW CREDITS]])=0,"",SUM(Table5[[#This Row],[NO OF CREDITS]:[BELOW CREDITS]]))</f>
        <v/>
      </c>
    </row>
    <row r="202" spans="1:57" x14ac:dyDescent="0.3">
      <c r="A202" t="str">
        <f>IF(B202&lt;&gt;"",COUNTA($B$6:B202),"")</f>
        <v/>
      </c>
      <c r="B202" t="str">
        <f>IF(Result_Database!A198="","",Result_Database!A198)</f>
        <v/>
      </c>
      <c r="C202" t="str">
        <f>_xlfn.LET(
_xlpm.result,_xlfn.XLOOKUP($B202,Result_Database!$A$2:$A$500,Result_Database!$B$2:$B$500),
_xlfn.IFNA(_xlpm.result,"")
)</f>
        <v/>
      </c>
      <c r="D202" t="str">
        <f>_xlfn.LET(
  _xlpm.result, _xlfn.XLOOKUP($B202, Result_Database!$A$2:$A$500, Result_Database!C$2:C$500),
  _xlfn.IFNA(_xlpm.result, "")
)</f>
        <v/>
      </c>
      <c r="E202" t="str">
        <f>_xlfn.LET(
  _xlpm.result, _xlfn.XLOOKUP($B202, Result_Database!$A$2:$A$500, Result_Database!D$2:D$500),
  _xlfn.IFNA(_xlpm.result, "")
)</f>
        <v/>
      </c>
      <c r="F202" t="str">
        <f>_xlfn.LET(
  _xlpm.result, _xlfn.XLOOKUP($B202, Result_Database!$A$2:$A$500, Result_Database!E$2:E$500),
  _xlfn.IFNA(_xlpm.result, "")
)</f>
        <v/>
      </c>
      <c r="G202" t="str">
        <f>_xlfn.LET(
  _xlpm.result, _xlfn.XLOOKUP($B202, Result_Database!$A$2:$A$500, Result_Database!F$2:F$500),
  _xlfn.IFNA(_xlpm.result, "")
)</f>
        <v/>
      </c>
      <c r="H202" t="str">
        <f>_xlfn.LET(
  _xlpm.result, _xlfn.XLOOKUP($B202, Result_Database!$A$2:$A$500, Result_Database!G$2:G$500),
  _xlfn.IFNA(_xlpm.result, "")
)</f>
        <v/>
      </c>
      <c r="I202" t="str">
        <f>_xlfn.LET(
  _xlpm.result, _xlfn.XLOOKUP($B202, Result_Database!$A$2:$A$500, Result_Database!H$2:H$500),
  _xlfn.IFNA(_xlpm.result, "")
)</f>
        <v/>
      </c>
      <c r="J202" t="str">
        <f>_xlfn.LET(
  _xlpm.result, _xlfn.XLOOKUP($B202, Result_Database!$A$2:$A$500, Result_Database!I$2:I$500),
  _xlfn.IFNA(_xlpm.result, "")
)</f>
        <v/>
      </c>
      <c r="K202" t="str">
        <f>_xlfn.LET(
  _xlpm.result, _xlfn.XLOOKUP($B202, Result_Database!$A$2:$A$500, Result_Database!J$2:J$500),
  _xlfn.IFNA(_xlpm.result, "")
)</f>
        <v/>
      </c>
      <c r="L202" t="str">
        <f>_xlfn.LET(
  _xlpm.result, _xlfn.XLOOKUP($B202, Result_Database!$A$2:$A$500, Result_Database!K$2:K$500),
  _xlfn.IFNA(_xlpm.result, "")
)</f>
        <v/>
      </c>
      <c r="M202" t="str">
        <f>_xlfn.LET(
  _xlpm.result, _xlfn.XLOOKUP($B202, Result_Database!$A$2:$A$500, Result_Database!L$2:L$500),
  _xlfn.IFNA(_xlpm.result, "")
)</f>
        <v/>
      </c>
      <c r="N202" t="str">
        <f>_xlfn.LET(
  _xlpm.result, _xlfn.XLOOKUP($B202, Result_Database!$A$2:$A$500, Result_Database!M$2:M$500),
  _xlfn.IFNA(_xlpm.result, "")
)</f>
        <v/>
      </c>
      <c r="O202" t="str">
        <f>_xlfn.LET(
  _xlpm.result, _xlfn.XLOOKUP($B202, Result_Database!$A$2:$A$500, Result_Database!N$2:N$500),
  _xlfn.IFNA(_xlpm.result, "")
)</f>
        <v/>
      </c>
      <c r="P202" t="str">
        <f>_xlfn.LET(
  _xlpm.result, _xlfn.XLOOKUP($B202, Result_Database!$A$2:$A$500, Result_Database!O$2:O$500),
  _xlfn.IFNA(_xlpm.result, "")
)</f>
        <v/>
      </c>
      <c r="Q202" t="str">
        <f>_xlfn.LET(
  _xlpm.result, _xlfn.XLOOKUP($B202, Result_Database!$A$2:$A$500, Result_Database!P$2:P$500),
  _xlfn.IFNA(_xlpm.result, "")
)</f>
        <v/>
      </c>
      <c r="R202" t="str">
        <f>_xlfn.LET(
  _xlpm.result, _xlfn.XLOOKUP($B202, Result_Database!$A$2:$A$500, Result_Database!Q$2:Q$500),
  _xlfn.IFNA(_xlpm.result, "")
)</f>
        <v/>
      </c>
      <c r="S202" t="str">
        <f>_xlfn.LET(
  _xlpm.result, _xlfn.XLOOKUP($B202, Result_Database!$A$2:$A$500, Result_Database!R$2:R$500),
  _xlfn.IFNA(_xlpm.result, "")
)</f>
        <v/>
      </c>
      <c r="T202" t="str">
        <f>_xlfn.LET(
  _xlpm.result, _xlfn.XLOOKUP($B202, Result_Database!$A$2:$A$500, Result_Database!S$2:S$500),
  _xlfn.IFNA(_xlpm.result, "")
)</f>
        <v/>
      </c>
      <c r="U202" t="str">
        <f>_xlfn.LET(
  _xlpm.result, _xlfn.XLOOKUP($B202, Result_Database!$A$2:$A$500, Result_Database!T$2:T$500),
  _xlfn.IFNA(_xlpm.result, "")
)</f>
        <v/>
      </c>
      <c r="V202" t="str">
        <f>_xlfn.LET(
  _xlpm.result, _xlfn.XLOOKUP($B202, Result_Database!$A$2:$A$500, Result_Database!U$2:U$500),
  _xlfn.IFNA(_xlpm.result, "")
)</f>
        <v/>
      </c>
      <c r="W202" t="str">
        <f>_xlfn.LET(
  _xlpm.result, _xlfn.XLOOKUP($B202, Result_Database!$A$2:$A$500, Result_Database!V$2:V$500),
  _xlfn.IFNA(_xlpm.result, "")
)</f>
        <v/>
      </c>
      <c r="X202" t="str">
        <f>_xlfn.LET(
  _xlpm.result, _xlfn.XLOOKUP($B202, Result_Database!$A$2:$A$500, Result_Database!W$2:W$500),
  _xlfn.IFNA(_xlpm.result, "")
)</f>
        <v/>
      </c>
      <c r="Y202" t="str">
        <f>_xlfn.LET(
  _xlpm.result, _xlfn.XLOOKUP($B202, Result_Database!$A$2:$A$500, Result_Database!X$2:X$500),
  _xlfn.IFNA(_xlpm.result, "")
)</f>
        <v/>
      </c>
      <c r="Z202" t="str">
        <f>_xlfn.LET(
  _xlpm.result, _xlfn.XLOOKUP($B202, Result_Database!$A$2:$A$500, Result_Database!Y$2:Y$500),
  _xlfn.IFNA(_xlpm.result, "")
)</f>
        <v/>
      </c>
      <c r="AA202" t="str">
        <f>_xlfn.LET(
  _xlpm.result, _xlfn.XLOOKUP($B202, Result_Database!$A$2:$A$500, Result_Database!Z$2:Z$500),
  _xlfn.IFNA(_xlpm.result, "")
)</f>
        <v/>
      </c>
      <c r="AB202" t="str">
        <f>_xlfn.LET(
  _xlpm.result, _xlfn.XLOOKUP($B202, Result_Database!$A$2:$A$500, Result_Database!AA$2:AA$500),
  _xlfn.IFNA(_xlpm.result, "")
)</f>
        <v/>
      </c>
      <c r="AC202" t="str">
        <f>_xlfn.LET(
  _xlpm.result, _xlfn.XLOOKUP($B202, Result_Database!$A$2:$A$500, Result_Database!AB$2:AB$500),
  _xlfn.IFNA(_xlpm.result, "")
)</f>
        <v/>
      </c>
      <c r="AD202" t="str">
        <f>_xlfn.LET(
  _xlpm.result, _xlfn.XLOOKUP($B202, Result_Database!$A$2:$A$500, Result_Database!AC$2:AC$500),
  _xlfn.IFNA(_xlpm.result, "")
)</f>
        <v/>
      </c>
      <c r="AE202" t="str">
        <f>_xlfn.LET(
  _xlpm.result, _xlfn.XLOOKUP($B202, Result_Database!$A$2:$A$500, Result_Database!AD$2:AD$500),
  _xlfn.IFNA(_xlpm.result, "")
)</f>
        <v/>
      </c>
      <c r="AF202" t="str">
        <f>_xlfn.LET(
  _xlpm.result, _xlfn.XLOOKUP($B202, Result_Database!$A$2:$A$500, Result_Database!AE$2:AE$500),
  _xlfn.IFNA(_xlpm.result, "")
)</f>
        <v/>
      </c>
      <c r="AG202" t="str">
        <f>_xlfn.LET(
  _xlpm.result, _xlfn.XLOOKUP($B202, Result_Database!$A$2:$A$500, Result_Database!AF$2:AF$500),
  _xlfn.IFNA(_xlpm.result, "")
)</f>
        <v/>
      </c>
      <c r="AH202" t="str">
        <f>_xlfn.LET(
  _xlpm.result, _xlfn.XLOOKUP($B202, Result_Database!$A$2:$A$500, Result_Database!AG$2:AG$500),
  _xlfn.IFNA(_xlpm.result, "")
)</f>
        <v/>
      </c>
      <c r="AI202" t="str">
        <f>_xlfn.LET(
  _xlpm.result, _xlfn.XLOOKUP($B202, Result_Database!$A$2:$A$500, Result_Database!AH$2:AH$500),
  _xlfn.IFNA(_xlpm.result, "")
)</f>
        <v/>
      </c>
      <c r="AJ202" t="str">
        <f>_xlfn.LET(
  _xlpm.result, _xlfn.XLOOKUP($B202, Result_Database!$A$2:$A$500, Result_Database!AI$2:AI$500),
  _xlfn.IFNA(_xlpm.result, "")
)</f>
        <v/>
      </c>
      <c r="AK202" t="str">
        <f>_xlfn.LET(
  _xlpm.result, _xlfn.XLOOKUP($B202, Result_Database!$A$2:$A$500, Result_Database!AJ$2:AJ$500),
  _xlfn.IFNA(_xlpm.result, "")
)</f>
        <v/>
      </c>
      <c r="AL202" t="str">
        <f>_xlfn.LET(
  _xlpm.result, _xlfn.XLOOKUP($B202, Result_Database!$A$2:$A$500, Result_Database!AK$2:AK$500),
  _xlfn.IFNA(_xlpm.result, "")
)</f>
        <v/>
      </c>
      <c r="AM20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0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0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0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0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0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0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0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0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02" t="str">
        <f>IF(SUM(Table5[[#This Row],[A1]:[C6]])&lt;&gt;0,SUM(Table5[[#This Row],[A1]:[C6]]),"")</f>
        <v/>
      </c>
      <c r="AW202" t="str">
        <f>IF(SUM(Table5[[#This Row],[D7]:[F9]])=0,"",SUM(Table5[[#This Row],[D7]:[F9]]))</f>
        <v/>
      </c>
      <c r="AX20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0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0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0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0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0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02" t="str">
        <f>IF(COUNTIF(Table5[[#This Row],[English Language]:[Electrical/ Electronics]],"WITHHELD")=0,"",COUNTIF(Table5[[#This Row],[English Language]:[Electrical/ Electronics]],"WITHHELD"))</f>
        <v/>
      </c>
      <c r="BE202" t="str">
        <f>IF(SUM(Table5[[#This Row],[NO OF CREDITS]:[BELOW CREDITS]])=0,"",SUM(Table5[[#This Row],[NO OF CREDITS]:[BELOW CREDITS]]))</f>
        <v/>
      </c>
    </row>
    <row r="203" spans="1:57" x14ac:dyDescent="0.3">
      <c r="A203" t="str">
        <f>IF(B203&lt;&gt;"",COUNTA($B$6:B203),"")</f>
        <v/>
      </c>
      <c r="B203" t="str">
        <f>IF(Result_Database!A199="","",Result_Database!A199)</f>
        <v/>
      </c>
      <c r="C203" t="str">
        <f>_xlfn.LET(
_xlpm.result,_xlfn.XLOOKUP($B203,Result_Database!$A$2:$A$500,Result_Database!$B$2:$B$500),
_xlfn.IFNA(_xlpm.result,"")
)</f>
        <v/>
      </c>
      <c r="D203" t="str">
        <f>_xlfn.LET(
  _xlpm.result, _xlfn.XLOOKUP($B203, Result_Database!$A$2:$A$500, Result_Database!C$2:C$500),
  _xlfn.IFNA(_xlpm.result, "")
)</f>
        <v/>
      </c>
      <c r="E203" t="str">
        <f>_xlfn.LET(
  _xlpm.result, _xlfn.XLOOKUP($B203, Result_Database!$A$2:$A$500, Result_Database!D$2:D$500),
  _xlfn.IFNA(_xlpm.result, "")
)</f>
        <v/>
      </c>
      <c r="F203" t="str">
        <f>_xlfn.LET(
  _xlpm.result, _xlfn.XLOOKUP($B203, Result_Database!$A$2:$A$500, Result_Database!E$2:E$500),
  _xlfn.IFNA(_xlpm.result, "")
)</f>
        <v/>
      </c>
      <c r="G203" t="str">
        <f>_xlfn.LET(
  _xlpm.result, _xlfn.XLOOKUP($B203, Result_Database!$A$2:$A$500, Result_Database!F$2:F$500),
  _xlfn.IFNA(_xlpm.result, "")
)</f>
        <v/>
      </c>
      <c r="H203" t="str">
        <f>_xlfn.LET(
  _xlpm.result, _xlfn.XLOOKUP($B203, Result_Database!$A$2:$A$500, Result_Database!G$2:G$500),
  _xlfn.IFNA(_xlpm.result, "")
)</f>
        <v/>
      </c>
      <c r="I203" t="str">
        <f>_xlfn.LET(
  _xlpm.result, _xlfn.XLOOKUP($B203, Result_Database!$A$2:$A$500, Result_Database!H$2:H$500),
  _xlfn.IFNA(_xlpm.result, "")
)</f>
        <v/>
      </c>
      <c r="J203" t="str">
        <f>_xlfn.LET(
  _xlpm.result, _xlfn.XLOOKUP($B203, Result_Database!$A$2:$A$500, Result_Database!I$2:I$500),
  _xlfn.IFNA(_xlpm.result, "")
)</f>
        <v/>
      </c>
      <c r="K203" t="str">
        <f>_xlfn.LET(
  _xlpm.result, _xlfn.XLOOKUP($B203, Result_Database!$A$2:$A$500, Result_Database!J$2:J$500),
  _xlfn.IFNA(_xlpm.result, "")
)</f>
        <v/>
      </c>
      <c r="L203" t="str">
        <f>_xlfn.LET(
  _xlpm.result, _xlfn.XLOOKUP($B203, Result_Database!$A$2:$A$500, Result_Database!K$2:K$500),
  _xlfn.IFNA(_xlpm.result, "")
)</f>
        <v/>
      </c>
      <c r="M203" t="str">
        <f>_xlfn.LET(
  _xlpm.result, _xlfn.XLOOKUP($B203, Result_Database!$A$2:$A$500, Result_Database!L$2:L$500),
  _xlfn.IFNA(_xlpm.result, "")
)</f>
        <v/>
      </c>
      <c r="N203" t="str">
        <f>_xlfn.LET(
  _xlpm.result, _xlfn.XLOOKUP($B203, Result_Database!$A$2:$A$500, Result_Database!M$2:M$500),
  _xlfn.IFNA(_xlpm.result, "")
)</f>
        <v/>
      </c>
      <c r="O203" t="str">
        <f>_xlfn.LET(
  _xlpm.result, _xlfn.XLOOKUP($B203, Result_Database!$A$2:$A$500, Result_Database!N$2:N$500),
  _xlfn.IFNA(_xlpm.result, "")
)</f>
        <v/>
      </c>
      <c r="P203" t="str">
        <f>_xlfn.LET(
  _xlpm.result, _xlfn.XLOOKUP($B203, Result_Database!$A$2:$A$500, Result_Database!O$2:O$500),
  _xlfn.IFNA(_xlpm.result, "")
)</f>
        <v/>
      </c>
      <c r="Q203" t="str">
        <f>_xlfn.LET(
  _xlpm.result, _xlfn.XLOOKUP($B203, Result_Database!$A$2:$A$500, Result_Database!P$2:P$500),
  _xlfn.IFNA(_xlpm.result, "")
)</f>
        <v/>
      </c>
      <c r="R203" t="str">
        <f>_xlfn.LET(
  _xlpm.result, _xlfn.XLOOKUP($B203, Result_Database!$A$2:$A$500, Result_Database!Q$2:Q$500),
  _xlfn.IFNA(_xlpm.result, "")
)</f>
        <v/>
      </c>
      <c r="S203" t="str">
        <f>_xlfn.LET(
  _xlpm.result, _xlfn.XLOOKUP($B203, Result_Database!$A$2:$A$500, Result_Database!R$2:R$500),
  _xlfn.IFNA(_xlpm.result, "")
)</f>
        <v/>
      </c>
      <c r="T203" t="str">
        <f>_xlfn.LET(
  _xlpm.result, _xlfn.XLOOKUP($B203, Result_Database!$A$2:$A$500, Result_Database!S$2:S$500),
  _xlfn.IFNA(_xlpm.result, "")
)</f>
        <v/>
      </c>
      <c r="U203" t="str">
        <f>_xlfn.LET(
  _xlpm.result, _xlfn.XLOOKUP($B203, Result_Database!$A$2:$A$500, Result_Database!T$2:T$500),
  _xlfn.IFNA(_xlpm.result, "")
)</f>
        <v/>
      </c>
      <c r="V203" t="str">
        <f>_xlfn.LET(
  _xlpm.result, _xlfn.XLOOKUP($B203, Result_Database!$A$2:$A$500, Result_Database!U$2:U$500),
  _xlfn.IFNA(_xlpm.result, "")
)</f>
        <v/>
      </c>
      <c r="W203" t="str">
        <f>_xlfn.LET(
  _xlpm.result, _xlfn.XLOOKUP($B203, Result_Database!$A$2:$A$500, Result_Database!V$2:V$500),
  _xlfn.IFNA(_xlpm.result, "")
)</f>
        <v/>
      </c>
      <c r="X203" t="str">
        <f>_xlfn.LET(
  _xlpm.result, _xlfn.XLOOKUP($B203, Result_Database!$A$2:$A$500, Result_Database!W$2:W$500),
  _xlfn.IFNA(_xlpm.result, "")
)</f>
        <v/>
      </c>
      <c r="Y203" t="str">
        <f>_xlfn.LET(
  _xlpm.result, _xlfn.XLOOKUP($B203, Result_Database!$A$2:$A$500, Result_Database!X$2:X$500),
  _xlfn.IFNA(_xlpm.result, "")
)</f>
        <v/>
      </c>
      <c r="Z203" t="str">
        <f>_xlfn.LET(
  _xlpm.result, _xlfn.XLOOKUP($B203, Result_Database!$A$2:$A$500, Result_Database!Y$2:Y$500),
  _xlfn.IFNA(_xlpm.result, "")
)</f>
        <v/>
      </c>
      <c r="AA203" t="str">
        <f>_xlfn.LET(
  _xlpm.result, _xlfn.XLOOKUP($B203, Result_Database!$A$2:$A$500, Result_Database!Z$2:Z$500),
  _xlfn.IFNA(_xlpm.result, "")
)</f>
        <v/>
      </c>
      <c r="AB203" t="str">
        <f>_xlfn.LET(
  _xlpm.result, _xlfn.XLOOKUP($B203, Result_Database!$A$2:$A$500, Result_Database!AA$2:AA$500),
  _xlfn.IFNA(_xlpm.result, "")
)</f>
        <v/>
      </c>
      <c r="AC203" t="str">
        <f>_xlfn.LET(
  _xlpm.result, _xlfn.XLOOKUP($B203, Result_Database!$A$2:$A$500, Result_Database!AB$2:AB$500),
  _xlfn.IFNA(_xlpm.result, "")
)</f>
        <v/>
      </c>
      <c r="AD203" t="str">
        <f>_xlfn.LET(
  _xlpm.result, _xlfn.XLOOKUP($B203, Result_Database!$A$2:$A$500, Result_Database!AC$2:AC$500),
  _xlfn.IFNA(_xlpm.result, "")
)</f>
        <v/>
      </c>
      <c r="AE203" t="str">
        <f>_xlfn.LET(
  _xlpm.result, _xlfn.XLOOKUP($B203, Result_Database!$A$2:$A$500, Result_Database!AD$2:AD$500),
  _xlfn.IFNA(_xlpm.result, "")
)</f>
        <v/>
      </c>
      <c r="AF203" t="str">
        <f>_xlfn.LET(
  _xlpm.result, _xlfn.XLOOKUP($B203, Result_Database!$A$2:$A$500, Result_Database!AE$2:AE$500),
  _xlfn.IFNA(_xlpm.result, "")
)</f>
        <v/>
      </c>
      <c r="AG203" t="str">
        <f>_xlfn.LET(
  _xlpm.result, _xlfn.XLOOKUP($B203, Result_Database!$A$2:$A$500, Result_Database!AF$2:AF$500),
  _xlfn.IFNA(_xlpm.result, "")
)</f>
        <v/>
      </c>
      <c r="AH203" t="str">
        <f>_xlfn.LET(
  _xlpm.result, _xlfn.XLOOKUP($B203, Result_Database!$A$2:$A$500, Result_Database!AG$2:AG$500),
  _xlfn.IFNA(_xlpm.result, "")
)</f>
        <v/>
      </c>
      <c r="AI203" t="str">
        <f>_xlfn.LET(
  _xlpm.result, _xlfn.XLOOKUP($B203, Result_Database!$A$2:$A$500, Result_Database!AH$2:AH$500),
  _xlfn.IFNA(_xlpm.result, "")
)</f>
        <v/>
      </c>
      <c r="AJ203" t="str">
        <f>_xlfn.LET(
  _xlpm.result, _xlfn.XLOOKUP($B203, Result_Database!$A$2:$A$500, Result_Database!AI$2:AI$500),
  _xlfn.IFNA(_xlpm.result, "")
)</f>
        <v/>
      </c>
      <c r="AK203" t="str">
        <f>_xlfn.LET(
  _xlpm.result, _xlfn.XLOOKUP($B203, Result_Database!$A$2:$A$500, Result_Database!AJ$2:AJ$500),
  _xlfn.IFNA(_xlpm.result, "")
)</f>
        <v/>
      </c>
      <c r="AL203" t="str">
        <f>_xlfn.LET(
  _xlpm.result, _xlfn.XLOOKUP($B203, Result_Database!$A$2:$A$500, Result_Database!AK$2:AK$500),
  _xlfn.IFNA(_xlpm.result, "")
)</f>
        <v/>
      </c>
      <c r="AM20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0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0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0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0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0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0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0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0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03" t="str">
        <f>IF(SUM(Table5[[#This Row],[A1]:[C6]])&lt;&gt;0,SUM(Table5[[#This Row],[A1]:[C6]]),"")</f>
        <v/>
      </c>
      <c r="AW203" t="str">
        <f>IF(SUM(Table5[[#This Row],[D7]:[F9]])=0,"",SUM(Table5[[#This Row],[D7]:[F9]]))</f>
        <v/>
      </c>
      <c r="AX20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0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0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0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0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0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03" t="str">
        <f>IF(COUNTIF(Table5[[#This Row],[English Language]:[Electrical/ Electronics]],"WITHHELD")=0,"",COUNTIF(Table5[[#This Row],[English Language]:[Electrical/ Electronics]],"WITHHELD"))</f>
        <v/>
      </c>
      <c r="BE203" t="str">
        <f>IF(SUM(Table5[[#This Row],[NO OF CREDITS]:[BELOW CREDITS]])=0,"",SUM(Table5[[#This Row],[NO OF CREDITS]:[BELOW CREDITS]]))</f>
        <v/>
      </c>
    </row>
    <row r="204" spans="1:57" x14ac:dyDescent="0.3">
      <c r="A204" t="str">
        <f>IF(B204&lt;&gt;"",COUNTA($B$6:B204),"")</f>
        <v/>
      </c>
      <c r="B204" t="str">
        <f>IF(Result_Database!A200="","",Result_Database!A200)</f>
        <v/>
      </c>
      <c r="C204" t="str">
        <f>_xlfn.LET(
_xlpm.result,_xlfn.XLOOKUP($B204,Result_Database!$A$2:$A$500,Result_Database!$B$2:$B$500),
_xlfn.IFNA(_xlpm.result,"")
)</f>
        <v/>
      </c>
      <c r="D204" t="str">
        <f>_xlfn.LET(
  _xlpm.result, _xlfn.XLOOKUP($B204, Result_Database!$A$2:$A$500, Result_Database!C$2:C$500),
  _xlfn.IFNA(_xlpm.result, "")
)</f>
        <v/>
      </c>
      <c r="E204" t="str">
        <f>_xlfn.LET(
  _xlpm.result, _xlfn.XLOOKUP($B204, Result_Database!$A$2:$A$500, Result_Database!D$2:D$500),
  _xlfn.IFNA(_xlpm.result, "")
)</f>
        <v/>
      </c>
      <c r="F204" t="str">
        <f>_xlfn.LET(
  _xlpm.result, _xlfn.XLOOKUP($B204, Result_Database!$A$2:$A$500, Result_Database!E$2:E$500),
  _xlfn.IFNA(_xlpm.result, "")
)</f>
        <v/>
      </c>
      <c r="G204" t="str">
        <f>_xlfn.LET(
  _xlpm.result, _xlfn.XLOOKUP($B204, Result_Database!$A$2:$A$500, Result_Database!F$2:F$500),
  _xlfn.IFNA(_xlpm.result, "")
)</f>
        <v/>
      </c>
      <c r="H204" t="str">
        <f>_xlfn.LET(
  _xlpm.result, _xlfn.XLOOKUP($B204, Result_Database!$A$2:$A$500, Result_Database!G$2:G$500),
  _xlfn.IFNA(_xlpm.result, "")
)</f>
        <v/>
      </c>
      <c r="I204" t="str">
        <f>_xlfn.LET(
  _xlpm.result, _xlfn.XLOOKUP($B204, Result_Database!$A$2:$A$500, Result_Database!H$2:H$500),
  _xlfn.IFNA(_xlpm.result, "")
)</f>
        <v/>
      </c>
      <c r="J204" t="str">
        <f>_xlfn.LET(
  _xlpm.result, _xlfn.XLOOKUP($B204, Result_Database!$A$2:$A$500, Result_Database!I$2:I$500),
  _xlfn.IFNA(_xlpm.result, "")
)</f>
        <v/>
      </c>
      <c r="K204" t="str">
        <f>_xlfn.LET(
  _xlpm.result, _xlfn.XLOOKUP($B204, Result_Database!$A$2:$A$500, Result_Database!J$2:J$500),
  _xlfn.IFNA(_xlpm.result, "")
)</f>
        <v/>
      </c>
      <c r="L204" t="str">
        <f>_xlfn.LET(
  _xlpm.result, _xlfn.XLOOKUP($B204, Result_Database!$A$2:$A$500, Result_Database!K$2:K$500),
  _xlfn.IFNA(_xlpm.result, "")
)</f>
        <v/>
      </c>
      <c r="M204" t="str">
        <f>_xlfn.LET(
  _xlpm.result, _xlfn.XLOOKUP($B204, Result_Database!$A$2:$A$500, Result_Database!L$2:L$500),
  _xlfn.IFNA(_xlpm.result, "")
)</f>
        <v/>
      </c>
      <c r="N204" t="str">
        <f>_xlfn.LET(
  _xlpm.result, _xlfn.XLOOKUP($B204, Result_Database!$A$2:$A$500, Result_Database!M$2:M$500),
  _xlfn.IFNA(_xlpm.result, "")
)</f>
        <v/>
      </c>
      <c r="O204" t="str">
        <f>_xlfn.LET(
  _xlpm.result, _xlfn.XLOOKUP($B204, Result_Database!$A$2:$A$500, Result_Database!N$2:N$500),
  _xlfn.IFNA(_xlpm.result, "")
)</f>
        <v/>
      </c>
      <c r="P204" t="str">
        <f>_xlfn.LET(
  _xlpm.result, _xlfn.XLOOKUP($B204, Result_Database!$A$2:$A$500, Result_Database!O$2:O$500),
  _xlfn.IFNA(_xlpm.result, "")
)</f>
        <v/>
      </c>
      <c r="Q204" t="str">
        <f>_xlfn.LET(
  _xlpm.result, _xlfn.XLOOKUP($B204, Result_Database!$A$2:$A$500, Result_Database!P$2:P$500),
  _xlfn.IFNA(_xlpm.result, "")
)</f>
        <v/>
      </c>
      <c r="R204" t="str">
        <f>_xlfn.LET(
  _xlpm.result, _xlfn.XLOOKUP($B204, Result_Database!$A$2:$A$500, Result_Database!Q$2:Q$500),
  _xlfn.IFNA(_xlpm.result, "")
)</f>
        <v/>
      </c>
      <c r="S204" t="str">
        <f>_xlfn.LET(
  _xlpm.result, _xlfn.XLOOKUP($B204, Result_Database!$A$2:$A$500, Result_Database!R$2:R$500),
  _xlfn.IFNA(_xlpm.result, "")
)</f>
        <v/>
      </c>
      <c r="T204" t="str">
        <f>_xlfn.LET(
  _xlpm.result, _xlfn.XLOOKUP($B204, Result_Database!$A$2:$A$500, Result_Database!S$2:S$500),
  _xlfn.IFNA(_xlpm.result, "")
)</f>
        <v/>
      </c>
      <c r="U204" t="str">
        <f>_xlfn.LET(
  _xlpm.result, _xlfn.XLOOKUP($B204, Result_Database!$A$2:$A$500, Result_Database!T$2:T$500),
  _xlfn.IFNA(_xlpm.result, "")
)</f>
        <v/>
      </c>
      <c r="V204" t="str">
        <f>_xlfn.LET(
  _xlpm.result, _xlfn.XLOOKUP($B204, Result_Database!$A$2:$A$500, Result_Database!U$2:U$500),
  _xlfn.IFNA(_xlpm.result, "")
)</f>
        <v/>
      </c>
      <c r="W204" t="str">
        <f>_xlfn.LET(
  _xlpm.result, _xlfn.XLOOKUP($B204, Result_Database!$A$2:$A$500, Result_Database!V$2:V$500),
  _xlfn.IFNA(_xlpm.result, "")
)</f>
        <v/>
      </c>
      <c r="X204" t="str">
        <f>_xlfn.LET(
  _xlpm.result, _xlfn.XLOOKUP($B204, Result_Database!$A$2:$A$500, Result_Database!W$2:W$500),
  _xlfn.IFNA(_xlpm.result, "")
)</f>
        <v/>
      </c>
      <c r="Y204" t="str">
        <f>_xlfn.LET(
  _xlpm.result, _xlfn.XLOOKUP($B204, Result_Database!$A$2:$A$500, Result_Database!X$2:X$500),
  _xlfn.IFNA(_xlpm.result, "")
)</f>
        <v/>
      </c>
      <c r="Z204" t="str">
        <f>_xlfn.LET(
  _xlpm.result, _xlfn.XLOOKUP($B204, Result_Database!$A$2:$A$500, Result_Database!Y$2:Y$500),
  _xlfn.IFNA(_xlpm.result, "")
)</f>
        <v/>
      </c>
      <c r="AA204" t="str">
        <f>_xlfn.LET(
  _xlpm.result, _xlfn.XLOOKUP($B204, Result_Database!$A$2:$A$500, Result_Database!Z$2:Z$500),
  _xlfn.IFNA(_xlpm.result, "")
)</f>
        <v/>
      </c>
      <c r="AB204" t="str">
        <f>_xlfn.LET(
  _xlpm.result, _xlfn.XLOOKUP($B204, Result_Database!$A$2:$A$500, Result_Database!AA$2:AA$500),
  _xlfn.IFNA(_xlpm.result, "")
)</f>
        <v/>
      </c>
      <c r="AC204" t="str">
        <f>_xlfn.LET(
  _xlpm.result, _xlfn.XLOOKUP($B204, Result_Database!$A$2:$A$500, Result_Database!AB$2:AB$500),
  _xlfn.IFNA(_xlpm.result, "")
)</f>
        <v/>
      </c>
      <c r="AD204" t="str">
        <f>_xlfn.LET(
  _xlpm.result, _xlfn.XLOOKUP($B204, Result_Database!$A$2:$A$500, Result_Database!AC$2:AC$500),
  _xlfn.IFNA(_xlpm.result, "")
)</f>
        <v/>
      </c>
      <c r="AE204" t="str">
        <f>_xlfn.LET(
  _xlpm.result, _xlfn.XLOOKUP($B204, Result_Database!$A$2:$A$500, Result_Database!AD$2:AD$500),
  _xlfn.IFNA(_xlpm.result, "")
)</f>
        <v/>
      </c>
      <c r="AF204" t="str">
        <f>_xlfn.LET(
  _xlpm.result, _xlfn.XLOOKUP($B204, Result_Database!$A$2:$A$500, Result_Database!AE$2:AE$500),
  _xlfn.IFNA(_xlpm.result, "")
)</f>
        <v/>
      </c>
      <c r="AG204" t="str">
        <f>_xlfn.LET(
  _xlpm.result, _xlfn.XLOOKUP($B204, Result_Database!$A$2:$A$500, Result_Database!AF$2:AF$500),
  _xlfn.IFNA(_xlpm.result, "")
)</f>
        <v/>
      </c>
      <c r="AH204" t="str">
        <f>_xlfn.LET(
  _xlpm.result, _xlfn.XLOOKUP($B204, Result_Database!$A$2:$A$500, Result_Database!AG$2:AG$500),
  _xlfn.IFNA(_xlpm.result, "")
)</f>
        <v/>
      </c>
      <c r="AI204" t="str">
        <f>_xlfn.LET(
  _xlpm.result, _xlfn.XLOOKUP($B204, Result_Database!$A$2:$A$500, Result_Database!AH$2:AH$500),
  _xlfn.IFNA(_xlpm.result, "")
)</f>
        <v/>
      </c>
      <c r="AJ204" t="str">
        <f>_xlfn.LET(
  _xlpm.result, _xlfn.XLOOKUP($B204, Result_Database!$A$2:$A$500, Result_Database!AI$2:AI$500),
  _xlfn.IFNA(_xlpm.result, "")
)</f>
        <v/>
      </c>
      <c r="AK204" t="str">
        <f>_xlfn.LET(
  _xlpm.result, _xlfn.XLOOKUP($B204, Result_Database!$A$2:$A$500, Result_Database!AJ$2:AJ$500),
  _xlfn.IFNA(_xlpm.result, "")
)</f>
        <v/>
      </c>
      <c r="AL204" t="str">
        <f>_xlfn.LET(
  _xlpm.result, _xlfn.XLOOKUP($B204, Result_Database!$A$2:$A$500, Result_Database!AK$2:AK$500),
  _xlfn.IFNA(_xlpm.result, "")
)</f>
        <v/>
      </c>
      <c r="AM20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0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0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0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0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0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0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0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0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04" t="str">
        <f>IF(SUM(Table5[[#This Row],[A1]:[C6]])&lt;&gt;0,SUM(Table5[[#This Row],[A1]:[C6]]),"")</f>
        <v/>
      </c>
      <c r="AW204" t="str">
        <f>IF(SUM(Table5[[#This Row],[D7]:[F9]])=0,"",SUM(Table5[[#This Row],[D7]:[F9]]))</f>
        <v/>
      </c>
      <c r="AX20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0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0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0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0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0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04" t="str">
        <f>IF(COUNTIF(Table5[[#This Row],[English Language]:[Electrical/ Electronics]],"WITHHELD")=0,"",COUNTIF(Table5[[#This Row],[English Language]:[Electrical/ Electronics]],"WITHHELD"))</f>
        <v/>
      </c>
      <c r="BE204" t="str">
        <f>IF(SUM(Table5[[#This Row],[NO OF CREDITS]:[BELOW CREDITS]])=0,"",SUM(Table5[[#This Row],[NO OF CREDITS]:[BELOW CREDITS]]))</f>
        <v/>
      </c>
    </row>
    <row r="205" spans="1:57" x14ac:dyDescent="0.3">
      <c r="A205" t="str">
        <f>IF(B205&lt;&gt;"",COUNTA($B$6:B205),"")</f>
        <v/>
      </c>
      <c r="B205" t="str">
        <f>IF(Result_Database!A201="","",Result_Database!A201)</f>
        <v/>
      </c>
      <c r="C205" t="str">
        <f>_xlfn.LET(
_xlpm.result,_xlfn.XLOOKUP($B205,Result_Database!$A$2:$A$500,Result_Database!$B$2:$B$500),
_xlfn.IFNA(_xlpm.result,"")
)</f>
        <v/>
      </c>
      <c r="D205" t="str">
        <f>_xlfn.LET(
  _xlpm.result, _xlfn.XLOOKUP($B205, Result_Database!$A$2:$A$500, Result_Database!C$2:C$500),
  _xlfn.IFNA(_xlpm.result, "")
)</f>
        <v/>
      </c>
      <c r="E205" t="str">
        <f>_xlfn.LET(
  _xlpm.result, _xlfn.XLOOKUP($B205, Result_Database!$A$2:$A$500, Result_Database!D$2:D$500),
  _xlfn.IFNA(_xlpm.result, "")
)</f>
        <v/>
      </c>
      <c r="F205" t="str">
        <f>_xlfn.LET(
  _xlpm.result, _xlfn.XLOOKUP($B205, Result_Database!$A$2:$A$500, Result_Database!E$2:E$500),
  _xlfn.IFNA(_xlpm.result, "")
)</f>
        <v/>
      </c>
      <c r="G205" t="str">
        <f>_xlfn.LET(
  _xlpm.result, _xlfn.XLOOKUP($B205, Result_Database!$A$2:$A$500, Result_Database!F$2:F$500),
  _xlfn.IFNA(_xlpm.result, "")
)</f>
        <v/>
      </c>
      <c r="H205" t="str">
        <f>_xlfn.LET(
  _xlpm.result, _xlfn.XLOOKUP($B205, Result_Database!$A$2:$A$500, Result_Database!G$2:G$500),
  _xlfn.IFNA(_xlpm.result, "")
)</f>
        <v/>
      </c>
      <c r="I205" t="str">
        <f>_xlfn.LET(
  _xlpm.result, _xlfn.XLOOKUP($B205, Result_Database!$A$2:$A$500, Result_Database!H$2:H$500),
  _xlfn.IFNA(_xlpm.result, "")
)</f>
        <v/>
      </c>
      <c r="J205" t="str">
        <f>_xlfn.LET(
  _xlpm.result, _xlfn.XLOOKUP($B205, Result_Database!$A$2:$A$500, Result_Database!I$2:I$500),
  _xlfn.IFNA(_xlpm.result, "")
)</f>
        <v/>
      </c>
      <c r="K205" t="str">
        <f>_xlfn.LET(
  _xlpm.result, _xlfn.XLOOKUP($B205, Result_Database!$A$2:$A$500, Result_Database!J$2:J$500),
  _xlfn.IFNA(_xlpm.result, "")
)</f>
        <v/>
      </c>
      <c r="L205" t="str">
        <f>_xlfn.LET(
  _xlpm.result, _xlfn.XLOOKUP($B205, Result_Database!$A$2:$A$500, Result_Database!K$2:K$500),
  _xlfn.IFNA(_xlpm.result, "")
)</f>
        <v/>
      </c>
      <c r="M205" t="str">
        <f>_xlfn.LET(
  _xlpm.result, _xlfn.XLOOKUP($B205, Result_Database!$A$2:$A$500, Result_Database!L$2:L$500),
  _xlfn.IFNA(_xlpm.result, "")
)</f>
        <v/>
      </c>
      <c r="N205" t="str">
        <f>_xlfn.LET(
  _xlpm.result, _xlfn.XLOOKUP($B205, Result_Database!$A$2:$A$500, Result_Database!M$2:M$500),
  _xlfn.IFNA(_xlpm.result, "")
)</f>
        <v/>
      </c>
      <c r="O205" t="str">
        <f>_xlfn.LET(
  _xlpm.result, _xlfn.XLOOKUP($B205, Result_Database!$A$2:$A$500, Result_Database!N$2:N$500),
  _xlfn.IFNA(_xlpm.result, "")
)</f>
        <v/>
      </c>
      <c r="P205" t="str">
        <f>_xlfn.LET(
  _xlpm.result, _xlfn.XLOOKUP($B205, Result_Database!$A$2:$A$500, Result_Database!O$2:O$500),
  _xlfn.IFNA(_xlpm.result, "")
)</f>
        <v/>
      </c>
      <c r="Q205" t="str">
        <f>_xlfn.LET(
  _xlpm.result, _xlfn.XLOOKUP($B205, Result_Database!$A$2:$A$500, Result_Database!P$2:P$500),
  _xlfn.IFNA(_xlpm.result, "")
)</f>
        <v/>
      </c>
      <c r="R205" t="str">
        <f>_xlfn.LET(
  _xlpm.result, _xlfn.XLOOKUP($B205, Result_Database!$A$2:$A$500, Result_Database!Q$2:Q$500),
  _xlfn.IFNA(_xlpm.result, "")
)</f>
        <v/>
      </c>
      <c r="S205" t="str">
        <f>_xlfn.LET(
  _xlpm.result, _xlfn.XLOOKUP($B205, Result_Database!$A$2:$A$500, Result_Database!R$2:R$500),
  _xlfn.IFNA(_xlpm.result, "")
)</f>
        <v/>
      </c>
      <c r="T205" t="str">
        <f>_xlfn.LET(
  _xlpm.result, _xlfn.XLOOKUP($B205, Result_Database!$A$2:$A$500, Result_Database!S$2:S$500),
  _xlfn.IFNA(_xlpm.result, "")
)</f>
        <v/>
      </c>
      <c r="U205" t="str">
        <f>_xlfn.LET(
  _xlpm.result, _xlfn.XLOOKUP($B205, Result_Database!$A$2:$A$500, Result_Database!T$2:T$500),
  _xlfn.IFNA(_xlpm.result, "")
)</f>
        <v/>
      </c>
      <c r="V205" t="str">
        <f>_xlfn.LET(
  _xlpm.result, _xlfn.XLOOKUP($B205, Result_Database!$A$2:$A$500, Result_Database!U$2:U$500),
  _xlfn.IFNA(_xlpm.result, "")
)</f>
        <v/>
      </c>
      <c r="W205" t="str">
        <f>_xlfn.LET(
  _xlpm.result, _xlfn.XLOOKUP($B205, Result_Database!$A$2:$A$500, Result_Database!V$2:V$500),
  _xlfn.IFNA(_xlpm.result, "")
)</f>
        <v/>
      </c>
      <c r="X205" t="str">
        <f>_xlfn.LET(
  _xlpm.result, _xlfn.XLOOKUP($B205, Result_Database!$A$2:$A$500, Result_Database!W$2:W$500),
  _xlfn.IFNA(_xlpm.result, "")
)</f>
        <v/>
      </c>
      <c r="Y205" t="str">
        <f>_xlfn.LET(
  _xlpm.result, _xlfn.XLOOKUP($B205, Result_Database!$A$2:$A$500, Result_Database!X$2:X$500),
  _xlfn.IFNA(_xlpm.result, "")
)</f>
        <v/>
      </c>
      <c r="Z205" t="str">
        <f>_xlfn.LET(
  _xlpm.result, _xlfn.XLOOKUP($B205, Result_Database!$A$2:$A$500, Result_Database!Y$2:Y$500),
  _xlfn.IFNA(_xlpm.result, "")
)</f>
        <v/>
      </c>
      <c r="AA205" t="str">
        <f>_xlfn.LET(
  _xlpm.result, _xlfn.XLOOKUP($B205, Result_Database!$A$2:$A$500, Result_Database!Z$2:Z$500),
  _xlfn.IFNA(_xlpm.result, "")
)</f>
        <v/>
      </c>
      <c r="AB205" t="str">
        <f>_xlfn.LET(
  _xlpm.result, _xlfn.XLOOKUP($B205, Result_Database!$A$2:$A$500, Result_Database!AA$2:AA$500),
  _xlfn.IFNA(_xlpm.result, "")
)</f>
        <v/>
      </c>
      <c r="AC205" t="str">
        <f>_xlfn.LET(
  _xlpm.result, _xlfn.XLOOKUP($B205, Result_Database!$A$2:$A$500, Result_Database!AB$2:AB$500),
  _xlfn.IFNA(_xlpm.result, "")
)</f>
        <v/>
      </c>
      <c r="AD205" t="str">
        <f>_xlfn.LET(
  _xlpm.result, _xlfn.XLOOKUP($B205, Result_Database!$A$2:$A$500, Result_Database!AC$2:AC$500),
  _xlfn.IFNA(_xlpm.result, "")
)</f>
        <v/>
      </c>
      <c r="AE205" t="str">
        <f>_xlfn.LET(
  _xlpm.result, _xlfn.XLOOKUP($B205, Result_Database!$A$2:$A$500, Result_Database!AD$2:AD$500),
  _xlfn.IFNA(_xlpm.result, "")
)</f>
        <v/>
      </c>
      <c r="AF205" t="str">
        <f>_xlfn.LET(
  _xlpm.result, _xlfn.XLOOKUP($B205, Result_Database!$A$2:$A$500, Result_Database!AE$2:AE$500),
  _xlfn.IFNA(_xlpm.result, "")
)</f>
        <v/>
      </c>
      <c r="AG205" t="str">
        <f>_xlfn.LET(
  _xlpm.result, _xlfn.XLOOKUP($B205, Result_Database!$A$2:$A$500, Result_Database!AF$2:AF$500),
  _xlfn.IFNA(_xlpm.result, "")
)</f>
        <v/>
      </c>
      <c r="AH205" t="str">
        <f>_xlfn.LET(
  _xlpm.result, _xlfn.XLOOKUP($B205, Result_Database!$A$2:$A$500, Result_Database!AG$2:AG$500),
  _xlfn.IFNA(_xlpm.result, "")
)</f>
        <v/>
      </c>
      <c r="AI205" t="str">
        <f>_xlfn.LET(
  _xlpm.result, _xlfn.XLOOKUP($B205, Result_Database!$A$2:$A$500, Result_Database!AH$2:AH$500),
  _xlfn.IFNA(_xlpm.result, "")
)</f>
        <v/>
      </c>
      <c r="AJ205" t="str">
        <f>_xlfn.LET(
  _xlpm.result, _xlfn.XLOOKUP($B205, Result_Database!$A$2:$A$500, Result_Database!AI$2:AI$500),
  _xlfn.IFNA(_xlpm.result, "")
)</f>
        <v/>
      </c>
      <c r="AK205" t="str">
        <f>_xlfn.LET(
  _xlpm.result, _xlfn.XLOOKUP($B205, Result_Database!$A$2:$A$500, Result_Database!AJ$2:AJ$500),
  _xlfn.IFNA(_xlpm.result, "")
)</f>
        <v/>
      </c>
      <c r="AL205" t="str">
        <f>_xlfn.LET(
  _xlpm.result, _xlfn.XLOOKUP($B205, Result_Database!$A$2:$A$500, Result_Database!AK$2:AK$500),
  _xlfn.IFNA(_xlpm.result, "")
)</f>
        <v/>
      </c>
      <c r="AM20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0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0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0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0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0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0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0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0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05" t="str">
        <f>IF(SUM(Table5[[#This Row],[A1]:[C6]])&lt;&gt;0,SUM(Table5[[#This Row],[A1]:[C6]]),"")</f>
        <v/>
      </c>
      <c r="AW205" t="str">
        <f>IF(SUM(Table5[[#This Row],[D7]:[F9]])=0,"",SUM(Table5[[#This Row],[D7]:[F9]]))</f>
        <v/>
      </c>
      <c r="AX20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0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0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0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0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0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05" t="str">
        <f>IF(COUNTIF(Table5[[#This Row],[English Language]:[Electrical/ Electronics]],"WITHHELD")=0,"",COUNTIF(Table5[[#This Row],[English Language]:[Electrical/ Electronics]],"WITHHELD"))</f>
        <v/>
      </c>
      <c r="BE205" t="str">
        <f>IF(SUM(Table5[[#This Row],[NO OF CREDITS]:[BELOW CREDITS]])=0,"",SUM(Table5[[#This Row],[NO OF CREDITS]:[BELOW CREDITS]]))</f>
        <v/>
      </c>
    </row>
    <row r="206" spans="1:57" x14ac:dyDescent="0.3">
      <c r="A206" t="str">
        <f>IF(B206&lt;&gt;"",COUNTA($B$6:B206),"")</f>
        <v/>
      </c>
      <c r="B206" t="str">
        <f>IF(Result_Database!A202="","",Result_Database!A202)</f>
        <v/>
      </c>
      <c r="C206" t="str">
        <f>_xlfn.LET(
_xlpm.result,_xlfn.XLOOKUP($B206,Result_Database!$A$2:$A$500,Result_Database!$B$2:$B$500),
_xlfn.IFNA(_xlpm.result,"")
)</f>
        <v/>
      </c>
      <c r="D206" t="str">
        <f>_xlfn.LET(
  _xlpm.result, _xlfn.XLOOKUP($B206, Result_Database!$A$2:$A$500, Result_Database!C$2:C$500),
  _xlfn.IFNA(_xlpm.result, "")
)</f>
        <v/>
      </c>
      <c r="E206" t="str">
        <f>_xlfn.LET(
  _xlpm.result, _xlfn.XLOOKUP($B206, Result_Database!$A$2:$A$500, Result_Database!D$2:D$500),
  _xlfn.IFNA(_xlpm.result, "")
)</f>
        <v/>
      </c>
      <c r="F206" t="str">
        <f>_xlfn.LET(
  _xlpm.result, _xlfn.XLOOKUP($B206, Result_Database!$A$2:$A$500, Result_Database!E$2:E$500),
  _xlfn.IFNA(_xlpm.result, "")
)</f>
        <v/>
      </c>
      <c r="G206" t="str">
        <f>_xlfn.LET(
  _xlpm.result, _xlfn.XLOOKUP($B206, Result_Database!$A$2:$A$500, Result_Database!F$2:F$500),
  _xlfn.IFNA(_xlpm.result, "")
)</f>
        <v/>
      </c>
      <c r="H206" t="str">
        <f>_xlfn.LET(
  _xlpm.result, _xlfn.XLOOKUP($B206, Result_Database!$A$2:$A$500, Result_Database!G$2:G$500),
  _xlfn.IFNA(_xlpm.result, "")
)</f>
        <v/>
      </c>
      <c r="I206" t="str">
        <f>_xlfn.LET(
  _xlpm.result, _xlfn.XLOOKUP($B206, Result_Database!$A$2:$A$500, Result_Database!H$2:H$500),
  _xlfn.IFNA(_xlpm.result, "")
)</f>
        <v/>
      </c>
      <c r="J206" t="str">
        <f>_xlfn.LET(
  _xlpm.result, _xlfn.XLOOKUP($B206, Result_Database!$A$2:$A$500, Result_Database!I$2:I$500),
  _xlfn.IFNA(_xlpm.result, "")
)</f>
        <v/>
      </c>
      <c r="K206" t="str">
        <f>_xlfn.LET(
  _xlpm.result, _xlfn.XLOOKUP($B206, Result_Database!$A$2:$A$500, Result_Database!J$2:J$500),
  _xlfn.IFNA(_xlpm.result, "")
)</f>
        <v/>
      </c>
      <c r="L206" t="str">
        <f>_xlfn.LET(
  _xlpm.result, _xlfn.XLOOKUP($B206, Result_Database!$A$2:$A$500, Result_Database!K$2:K$500),
  _xlfn.IFNA(_xlpm.result, "")
)</f>
        <v/>
      </c>
      <c r="M206" t="str">
        <f>_xlfn.LET(
  _xlpm.result, _xlfn.XLOOKUP($B206, Result_Database!$A$2:$A$500, Result_Database!L$2:L$500),
  _xlfn.IFNA(_xlpm.result, "")
)</f>
        <v/>
      </c>
      <c r="N206" t="str">
        <f>_xlfn.LET(
  _xlpm.result, _xlfn.XLOOKUP($B206, Result_Database!$A$2:$A$500, Result_Database!M$2:M$500),
  _xlfn.IFNA(_xlpm.result, "")
)</f>
        <v/>
      </c>
      <c r="O206" t="str">
        <f>_xlfn.LET(
  _xlpm.result, _xlfn.XLOOKUP($B206, Result_Database!$A$2:$A$500, Result_Database!N$2:N$500),
  _xlfn.IFNA(_xlpm.result, "")
)</f>
        <v/>
      </c>
      <c r="P206" t="str">
        <f>_xlfn.LET(
  _xlpm.result, _xlfn.XLOOKUP($B206, Result_Database!$A$2:$A$500, Result_Database!O$2:O$500),
  _xlfn.IFNA(_xlpm.result, "")
)</f>
        <v/>
      </c>
      <c r="Q206" t="str">
        <f>_xlfn.LET(
  _xlpm.result, _xlfn.XLOOKUP($B206, Result_Database!$A$2:$A$500, Result_Database!P$2:P$500),
  _xlfn.IFNA(_xlpm.result, "")
)</f>
        <v/>
      </c>
      <c r="R206" t="str">
        <f>_xlfn.LET(
  _xlpm.result, _xlfn.XLOOKUP($B206, Result_Database!$A$2:$A$500, Result_Database!Q$2:Q$500),
  _xlfn.IFNA(_xlpm.result, "")
)</f>
        <v/>
      </c>
      <c r="S206" t="str">
        <f>_xlfn.LET(
  _xlpm.result, _xlfn.XLOOKUP($B206, Result_Database!$A$2:$A$500, Result_Database!R$2:R$500),
  _xlfn.IFNA(_xlpm.result, "")
)</f>
        <v/>
      </c>
      <c r="T206" t="str">
        <f>_xlfn.LET(
  _xlpm.result, _xlfn.XLOOKUP($B206, Result_Database!$A$2:$A$500, Result_Database!S$2:S$500),
  _xlfn.IFNA(_xlpm.result, "")
)</f>
        <v/>
      </c>
      <c r="U206" t="str">
        <f>_xlfn.LET(
  _xlpm.result, _xlfn.XLOOKUP($B206, Result_Database!$A$2:$A$500, Result_Database!T$2:T$500),
  _xlfn.IFNA(_xlpm.result, "")
)</f>
        <v/>
      </c>
      <c r="V206" t="str">
        <f>_xlfn.LET(
  _xlpm.result, _xlfn.XLOOKUP($B206, Result_Database!$A$2:$A$500, Result_Database!U$2:U$500),
  _xlfn.IFNA(_xlpm.result, "")
)</f>
        <v/>
      </c>
      <c r="W206" t="str">
        <f>_xlfn.LET(
  _xlpm.result, _xlfn.XLOOKUP($B206, Result_Database!$A$2:$A$500, Result_Database!V$2:V$500),
  _xlfn.IFNA(_xlpm.result, "")
)</f>
        <v/>
      </c>
      <c r="X206" t="str">
        <f>_xlfn.LET(
  _xlpm.result, _xlfn.XLOOKUP($B206, Result_Database!$A$2:$A$500, Result_Database!W$2:W$500),
  _xlfn.IFNA(_xlpm.result, "")
)</f>
        <v/>
      </c>
      <c r="Y206" t="str">
        <f>_xlfn.LET(
  _xlpm.result, _xlfn.XLOOKUP($B206, Result_Database!$A$2:$A$500, Result_Database!X$2:X$500),
  _xlfn.IFNA(_xlpm.result, "")
)</f>
        <v/>
      </c>
      <c r="Z206" t="str">
        <f>_xlfn.LET(
  _xlpm.result, _xlfn.XLOOKUP($B206, Result_Database!$A$2:$A$500, Result_Database!Y$2:Y$500),
  _xlfn.IFNA(_xlpm.result, "")
)</f>
        <v/>
      </c>
      <c r="AA206" t="str">
        <f>_xlfn.LET(
  _xlpm.result, _xlfn.XLOOKUP($B206, Result_Database!$A$2:$A$500, Result_Database!Z$2:Z$500),
  _xlfn.IFNA(_xlpm.result, "")
)</f>
        <v/>
      </c>
      <c r="AB206" t="str">
        <f>_xlfn.LET(
  _xlpm.result, _xlfn.XLOOKUP($B206, Result_Database!$A$2:$A$500, Result_Database!AA$2:AA$500),
  _xlfn.IFNA(_xlpm.result, "")
)</f>
        <v/>
      </c>
      <c r="AC206" t="str">
        <f>_xlfn.LET(
  _xlpm.result, _xlfn.XLOOKUP($B206, Result_Database!$A$2:$A$500, Result_Database!AB$2:AB$500),
  _xlfn.IFNA(_xlpm.result, "")
)</f>
        <v/>
      </c>
      <c r="AD206" t="str">
        <f>_xlfn.LET(
  _xlpm.result, _xlfn.XLOOKUP($B206, Result_Database!$A$2:$A$500, Result_Database!AC$2:AC$500),
  _xlfn.IFNA(_xlpm.result, "")
)</f>
        <v/>
      </c>
      <c r="AE206" t="str">
        <f>_xlfn.LET(
  _xlpm.result, _xlfn.XLOOKUP($B206, Result_Database!$A$2:$A$500, Result_Database!AD$2:AD$500),
  _xlfn.IFNA(_xlpm.result, "")
)</f>
        <v/>
      </c>
      <c r="AF206" t="str">
        <f>_xlfn.LET(
  _xlpm.result, _xlfn.XLOOKUP($B206, Result_Database!$A$2:$A$500, Result_Database!AE$2:AE$500),
  _xlfn.IFNA(_xlpm.result, "")
)</f>
        <v/>
      </c>
      <c r="AG206" t="str">
        <f>_xlfn.LET(
  _xlpm.result, _xlfn.XLOOKUP($B206, Result_Database!$A$2:$A$500, Result_Database!AF$2:AF$500),
  _xlfn.IFNA(_xlpm.result, "")
)</f>
        <v/>
      </c>
      <c r="AH206" t="str">
        <f>_xlfn.LET(
  _xlpm.result, _xlfn.XLOOKUP($B206, Result_Database!$A$2:$A$500, Result_Database!AG$2:AG$500),
  _xlfn.IFNA(_xlpm.result, "")
)</f>
        <v/>
      </c>
      <c r="AI206" t="str">
        <f>_xlfn.LET(
  _xlpm.result, _xlfn.XLOOKUP($B206, Result_Database!$A$2:$A$500, Result_Database!AH$2:AH$500),
  _xlfn.IFNA(_xlpm.result, "")
)</f>
        <v/>
      </c>
      <c r="AJ206" t="str">
        <f>_xlfn.LET(
  _xlpm.result, _xlfn.XLOOKUP($B206, Result_Database!$A$2:$A$500, Result_Database!AI$2:AI$500),
  _xlfn.IFNA(_xlpm.result, "")
)</f>
        <v/>
      </c>
      <c r="AK206" t="str">
        <f>_xlfn.LET(
  _xlpm.result, _xlfn.XLOOKUP($B206, Result_Database!$A$2:$A$500, Result_Database!AJ$2:AJ$500),
  _xlfn.IFNA(_xlpm.result, "")
)</f>
        <v/>
      </c>
      <c r="AL206" t="str">
        <f>_xlfn.LET(
  _xlpm.result, _xlfn.XLOOKUP($B206, Result_Database!$A$2:$A$500, Result_Database!AK$2:AK$500),
  _xlfn.IFNA(_xlpm.result, "")
)</f>
        <v/>
      </c>
      <c r="AM20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0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0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0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0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0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0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0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0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06" t="str">
        <f>IF(SUM(Table5[[#This Row],[A1]:[C6]])&lt;&gt;0,SUM(Table5[[#This Row],[A1]:[C6]]),"")</f>
        <v/>
      </c>
      <c r="AW206" t="str">
        <f>IF(SUM(Table5[[#This Row],[D7]:[F9]])=0,"",SUM(Table5[[#This Row],[D7]:[F9]]))</f>
        <v/>
      </c>
      <c r="AX20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0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0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0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0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0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06" t="str">
        <f>IF(COUNTIF(Table5[[#This Row],[English Language]:[Electrical/ Electronics]],"WITHHELD")=0,"",COUNTIF(Table5[[#This Row],[English Language]:[Electrical/ Electronics]],"WITHHELD"))</f>
        <v/>
      </c>
      <c r="BE206" t="str">
        <f>IF(SUM(Table5[[#This Row],[NO OF CREDITS]:[BELOW CREDITS]])=0,"",SUM(Table5[[#This Row],[NO OF CREDITS]:[BELOW CREDITS]]))</f>
        <v/>
      </c>
    </row>
    <row r="207" spans="1:57" x14ac:dyDescent="0.3">
      <c r="A207" t="str">
        <f>IF(B207&lt;&gt;"",COUNTA($B$6:B207),"")</f>
        <v/>
      </c>
      <c r="B207" t="str">
        <f>IF(Result_Database!A203="","",Result_Database!A203)</f>
        <v/>
      </c>
      <c r="C207" t="str">
        <f>_xlfn.LET(
_xlpm.result,_xlfn.XLOOKUP($B207,Result_Database!$A$2:$A$500,Result_Database!$B$2:$B$500),
_xlfn.IFNA(_xlpm.result,"")
)</f>
        <v/>
      </c>
      <c r="D207" t="str">
        <f>_xlfn.LET(
  _xlpm.result, _xlfn.XLOOKUP($B207, Result_Database!$A$2:$A$500, Result_Database!C$2:C$500),
  _xlfn.IFNA(_xlpm.result, "")
)</f>
        <v/>
      </c>
      <c r="E207" t="str">
        <f>_xlfn.LET(
  _xlpm.result, _xlfn.XLOOKUP($B207, Result_Database!$A$2:$A$500, Result_Database!D$2:D$500),
  _xlfn.IFNA(_xlpm.result, "")
)</f>
        <v/>
      </c>
      <c r="F207" t="str">
        <f>_xlfn.LET(
  _xlpm.result, _xlfn.XLOOKUP($B207, Result_Database!$A$2:$A$500, Result_Database!E$2:E$500),
  _xlfn.IFNA(_xlpm.result, "")
)</f>
        <v/>
      </c>
      <c r="G207" t="str">
        <f>_xlfn.LET(
  _xlpm.result, _xlfn.XLOOKUP($B207, Result_Database!$A$2:$A$500, Result_Database!F$2:F$500),
  _xlfn.IFNA(_xlpm.result, "")
)</f>
        <v/>
      </c>
      <c r="H207" t="str">
        <f>_xlfn.LET(
  _xlpm.result, _xlfn.XLOOKUP($B207, Result_Database!$A$2:$A$500, Result_Database!G$2:G$500),
  _xlfn.IFNA(_xlpm.result, "")
)</f>
        <v/>
      </c>
      <c r="I207" t="str">
        <f>_xlfn.LET(
  _xlpm.result, _xlfn.XLOOKUP($B207, Result_Database!$A$2:$A$500, Result_Database!H$2:H$500),
  _xlfn.IFNA(_xlpm.result, "")
)</f>
        <v/>
      </c>
      <c r="J207" t="str">
        <f>_xlfn.LET(
  _xlpm.result, _xlfn.XLOOKUP($B207, Result_Database!$A$2:$A$500, Result_Database!I$2:I$500),
  _xlfn.IFNA(_xlpm.result, "")
)</f>
        <v/>
      </c>
      <c r="K207" t="str">
        <f>_xlfn.LET(
  _xlpm.result, _xlfn.XLOOKUP($B207, Result_Database!$A$2:$A$500, Result_Database!J$2:J$500),
  _xlfn.IFNA(_xlpm.result, "")
)</f>
        <v/>
      </c>
      <c r="L207" t="str">
        <f>_xlfn.LET(
  _xlpm.result, _xlfn.XLOOKUP($B207, Result_Database!$A$2:$A$500, Result_Database!K$2:K$500),
  _xlfn.IFNA(_xlpm.result, "")
)</f>
        <v/>
      </c>
      <c r="M207" t="str">
        <f>_xlfn.LET(
  _xlpm.result, _xlfn.XLOOKUP($B207, Result_Database!$A$2:$A$500, Result_Database!L$2:L$500),
  _xlfn.IFNA(_xlpm.result, "")
)</f>
        <v/>
      </c>
      <c r="N207" t="str">
        <f>_xlfn.LET(
  _xlpm.result, _xlfn.XLOOKUP($B207, Result_Database!$A$2:$A$500, Result_Database!M$2:M$500),
  _xlfn.IFNA(_xlpm.result, "")
)</f>
        <v/>
      </c>
      <c r="O207" t="str">
        <f>_xlfn.LET(
  _xlpm.result, _xlfn.XLOOKUP($B207, Result_Database!$A$2:$A$500, Result_Database!N$2:N$500),
  _xlfn.IFNA(_xlpm.result, "")
)</f>
        <v/>
      </c>
      <c r="P207" t="str">
        <f>_xlfn.LET(
  _xlpm.result, _xlfn.XLOOKUP($B207, Result_Database!$A$2:$A$500, Result_Database!O$2:O$500),
  _xlfn.IFNA(_xlpm.result, "")
)</f>
        <v/>
      </c>
      <c r="Q207" t="str">
        <f>_xlfn.LET(
  _xlpm.result, _xlfn.XLOOKUP($B207, Result_Database!$A$2:$A$500, Result_Database!P$2:P$500),
  _xlfn.IFNA(_xlpm.result, "")
)</f>
        <v/>
      </c>
      <c r="R207" t="str">
        <f>_xlfn.LET(
  _xlpm.result, _xlfn.XLOOKUP($B207, Result_Database!$A$2:$A$500, Result_Database!Q$2:Q$500),
  _xlfn.IFNA(_xlpm.result, "")
)</f>
        <v/>
      </c>
      <c r="S207" t="str">
        <f>_xlfn.LET(
  _xlpm.result, _xlfn.XLOOKUP($B207, Result_Database!$A$2:$A$500, Result_Database!R$2:R$500),
  _xlfn.IFNA(_xlpm.result, "")
)</f>
        <v/>
      </c>
      <c r="T207" t="str">
        <f>_xlfn.LET(
  _xlpm.result, _xlfn.XLOOKUP($B207, Result_Database!$A$2:$A$500, Result_Database!S$2:S$500),
  _xlfn.IFNA(_xlpm.result, "")
)</f>
        <v/>
      </c>
      <c r="U207" t="str">
        <f>_xlfn.LET(
  _xlpm.result, _xlfn.XLOOKUP($B207, Result_Database!$A$2:$A$500, Result_Database!T$2:T$500),
  _xlfn.IFNA(_xlpm.result, "")
)</f>
        <v/>
      </c>
      <c r="V207" t="str">
        <f>_xlfn.LET(
  _xlpm.result, _xlfn.XLOOKUP($B207, Result_Database!$A$2:$A$500, Result_Database!U$2:U$500),
  _xlfn.IFNA(_xlpm.result, "")
)</f>
        <v/>
      </c>
      <c r="W207" t="str">
        <f>_xlfn.LET(
  _xlpm.result, _xlfn.XLOOKUP($B207, Result_Database!$A$2:$A$500, Result_Database!V$2:V$500),
  _xlfn.IFNA(_xlpm.result, "")
)</f>
        <v/>
      </c>
      <c r="X207" t="str">
        <f>_xlfn.LET(
  _xlpm.result, _xlfn.XLOOKUP($B207, Result_Database!$A$2:$A$500, Result_Database!W$2:W$500),
  _xlfn.IFNA(_xlpm.result, "")
)</f>
        <v/>
      </c>
      <c r="Y207" t="str">
        <f>_xlfn.LET(
  _xlpm.result, _xlfn.XLOOKUP($B207, Result_Database!$A$2:$A$500, Result_Database!X$2:X$500),
  _xlfn.IFNA(_xlpm.result, "")
)</f>
        <v/>
      </c>
      <c r="Z207" t="str">
        <f>_xlfn.LET(
  _xlpm.result, _xlfn.XLOOKUP($B207, Result_Database!$A$2:$A$500, Result_Database!Y$2:Y$500),
  _xlfn.IFNA(_xlpm.result, "")
)</f>
        <v/>
      </c>
      <c r="AA207" t="str">
        <f>_xlfn.LET(
  _xlpm.result, _xlfn.XLOOKUP($B207, Result_Database!$A$2:$A$500, Result_Database!Z$2:Z$500),
  _xlfn.IFNA(_xlpm.result, "")
)</f>
        <v/>
      </c>
      <c r="AB207" t="str">
        <f>_xlfn.LET(
  _xlpm.result, _xlfn.XLOOKUP($B207, Result_Database!$A$2:$A$500, Result_Database!AA$2:AA$500),
  _xlfn.IFNA(_xlpm.result, "")
)</f>
        <v/>
      </c>
      <c r="AC207" t="str">
        <f>_xlfn.LET(
  _xlpm.result, _xlfn.XLOOKUP($B207, Result_Database!$A$2:$A$500, Result_Database!AB$2:AB$500),
  _xlfn.IFNA(_xlpm.result, "")
)</f>
        <v/>
      </c>
      <c r="AD207" t="str">
        <f>_xlfn.LET(
  _xlpm.result, _xlfn.XLOOKUP($B207, Result_Database!$A$2:$A$500, Result_Database!AC$2:AC$500),
  _xlfn.IFNA(_xlpm.result, "")
)</f>
        <v/>
      </c>
      <c r="AE207" t="str">
        <f>_xlfn.LET(
  _xlpm.result, _xlfn.XLOOKUP($B207, Result_Database!$A$2:$A$500, Result_Database!AD$2:AD$500),
  _xlfn.IFNA(_xlpm.result, "")
)</f>
        <v/>
      </c>
      <c r="AF207" t="str">
        <f>_xlfn.LET(
  _xlpm.result, _xlfn.XLOOKUP($B207, Result_Database!$A$2:$A$500, Result_Database!AE$2:AE$500),
  _xlfn.IFNA(_xlpm.result, "")
)</f>
        <v/>
      </c>
      <c r="AG207" t="str">
        <f>_xlfn.LET(
  _xlpm.result, _xlfn.XLOOKUP($B207, Result_Database!$A$2:$A$500, Result_Database!AF$2:AF$500),
  _xlfn.IFNA(_xlpm.result, "")
)</f>
        <v/>
      </c>
      <c r="AH207" t="str">
        <f>_xlfn.LET(
  _xlpm.result, _xlfn.XLOOKUP($B207, Result_Database!$A$2:$A$500, Result_Database!AG$2:AG$500),
  _xlfn.IFNA(_xlpm.result, "")
)</f>
        <v/>
      </c>
      <c r="AI207" t="str">
        <f>_xlfn.LET(
  _xlpm.result, _xlfn.XLOOKUP($B207, Result_Database!$A$2:$A$500, Result_Database!AH$2:AH$500),
  _xlfn.IFNA(_xlpm.result, "")
)</f>
        <v/>
      </c>
      <c r="AJ207" t="str">
        <f>_xlfn.LET(
  _xlpm.result, _xlfn.XLOOKUP($B207, Result_Database!$A$2:$A$500, Result_Database!AI$2:AI$500),
  _xlfn.IFNA(_xlpm.result, "")
)</f>
        <v/>
      </c>
      <c r="AK207" t="str">
        <f>_xlfn.LET(
  _xlpm.result, _xlfn.XLOOKUP($B207, Result_Database!$A$2:$A$500, Result_Database!AJ$2:AJ$500),
  _xlfn.IFNA(_xlpm.result, "")
)</f>
        <v/>
      </c>
      <c r="AL207" t="str">
        <f>_xlfn.LET(
  _xlpm.result, _xlfn.XLOOKUP($B207, Result_Database!$A$2:$A$500, Result_Database!AK$2:AK$500),
  _xlfn.IFNA(_xlpm.result, "")
)</f>
        <v/>
      </c>
      <c r="AM20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0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0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0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0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0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0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0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0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07" t="str">
        <f>IF(SUM(Table5[[#This Row],[A1]:[C6]])&lt;&gt;0,SUM(Table5[[#This Row],[A1]:[C6]]),"")</f>
        <v/>
      </c>
      <c r="AW207" t="str">
        <f>IF(SUM(Table5[[#This Row],[D7]:[F9]])=0,"",SUM(Table5[[#This Row],[D7]:[F9]]))</f>
        <v/>
      </c>
      <c r="AX20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0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0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0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0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0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07" t="str">
        <f>IF(COUNTIF(Table5[[#This Row],[English Language]:[Electrical/ Electronics]],"WITHHELD")=0,"",COUNTIF(Table5[[#This Row],[English Language]:[Electrical/ Electronics]],"WITHHELD"))</f>
        <v/>
      </c>
      <c r="BE207" t="str">
        <f>IF(SUM(Table5[[#This Row],[NO OF CREDITS]:[BELOW CREDITS]])=0,"",SUM(Table5[[#This Row],[NO OF CREDITS]:[BELOW CREDITS]]))</f>
        <v/>
      </c>
    </row>
    <row r="208" spans="1:57" x14ac:dyDescent="0.3">
      <c r="A208" t="str">
        <f>IF(B208&lt;&gt;"",COUNTA($B$6:B208),"")</f>
        <v/>
      </c>
      <c r="B208" t="str">
        <f>IF(Result_Database!A204="","",Result_Database!A204)</f>
        <v/>
      </c>
      <c r="C208" t="str">
        <f>_xlfn.LET(
_xlpm.result,_xlfn.XLOOKUP($B208,Result_Database!$A$2:$A$500,Result_Database!$B$2:$B$500),
_xlfn.IFNA(_xlpm.result,"")
)</f>
        <v/>
      </c>
      <c r="D208" t="str">
        <f>_xlfn.LET(
  _xlpm.result, _xlfn.XLOOKUP($B208, Result_Database!$A$2:$A$500, Result_Database!C$2:C$500),
  _xlfn.IFNA(_xlpm.result, "")
)</f>
        <v/>
      </c>
      <c r="E208" t="str">
        <f>_xlfn.LET(
  _xlpm.result, _xlfn.XLOOKUP($B208, Result_Database!$A$2:$A$500, Result_Database!D$2:D$500),
  _xlfn.IFNA(_xlpm.result, "")
)</f>
        <v/>
      </c>
      <c r="F208" t="str">
        <f>_xlfn.LET(
  _xlpm.result, _xlfn.XLOOKUP($B208, Result_Database!$A$2:$A$500, Result_Database!E$2:E$500),
  _xlfn.IFNA(_xlpm.result, "")
)</f>
        <v/>
      </c>
      <c r="G208" t="str">
        <f>_xlfn.LET(
  _xlpm.result, _xlfn.XLOOKUP($B208, Result_Database!$A$2:$A$500, Result_Database!F$2:F$500),
  _xlfn.IFNA(_xlpm.result, "")
)</f>
        <v/>
      </c>
      <c r="H208" t="str">
        <f>_xlfn.LET(
  _xlpm.result, _xlfn.XLOOKUP($B208, Result_Database!$A$2:$A$500, Result_Database!G$2:G$500),
  _xlfn.IFNA(_xlpm.result, "")
)</f>
        <v/>
      </c>
      <c r="I208" t="str">
        <f>_xlfn.LET(
  _xlpm.result, _xlfn.XLOOKUP($B208, Result_Database!$A$2:$A$500, Result_Database!H$2:H$500),
  _xlfn.IFNA(_xlpm.result, "")
)</f>
        <v/>
      </c>
      <c r="J208" t="str">
        <f>_xlfn.LET(
  _xlpm.result, _xlfn.XLOOKUP($B208, Result_Database!$A$2:$A$500, Result_Database!I$2:I$500),
  _xlfn.IFNA(_xlpm.result, "")
)</f>
        <v/>
      </c>
      <c r="K208" t="str">
        <f>_xlfn.LET(
  _xlpm.result, _xlfn.XLOOKUP($B208, Result_Database!$A$2:$A$500, Result_Database!J$2:J$500),
  _xlfn.IFNA(_xlpm.result, "")
)</f>
        <v/>
      </c>
      <c r="L208" t="str">
        <f>_xlfn.LET(
  _xlpm.result, _xlfn.XLOOKUP($B208, Result_Database!$A$2:$A$500, Result_Database!K$2:K$500),
  _xlfn.IFNA(_xlpm.result, "")
)</f>
        <v/>
      </c>
      <c r="M208" t="str">
        <f>_xlfn.LET(
  _xlpm.result, _xlfn.XLOOKUP($B208, Result_Database!$A$2:$A$500, Result_Database!L$2:L$500),
  _xlfn.IFNA(_xlpm.result, "")
)</f>
        <v/>
      </c>
      <c r="N208" t="str">
        <f>_xlfn.LET(
  _xlpm.result, _xlfn.XLOOKUP($B208, Result_Database!$A$2:$A$500, Result_Database!M$2:M$500),
  _xlfn.IFNA(_xlpm.result, "")
)</f>
        <v/>
      </c>
      <c r="O208" t="str">
        <f>_xlfn.LET(
  _xlpm.result, _xlfn.XLOOKUP($B208, Result_Database!$A$2:$A$500, Result_Database!N$2:N$500),
  _xlfn.IFNA(_xlpm.result, "")
)</f>
        <v/>
      </c>
      <c r="P208" t="str">
        <f>_xlfn.LET(
  _xlpm.result, _xlfn.XLOOKUP($B208, Result_Database!$A$2:$A$500, Result_Database!O$2:O$500),
  _xlfn.IFNA(_xlpm.result, "")
)</f>
        <v/>
      </c>
      <c r="Q208" t="str">
        <f>_xlfn.LET(
  _xlpm.result, _xlfn.XLOOKUP($B208, Result_Database!$A$2:$A$500, Result_Database!P$2:P$500),
  _xlfn.IFNA(_xlpm.result, "")
)</f>
        <v/>
      </c>
      <c r="R208" t="str">
        <f>_xlfn.LET(
  _xlpm.result, _xlfn.XLOOKUP($B208, Result_Database!$A$2:$A$500, Result_Database!Q$2:Q$500),
  _xlfn.IFNA(_xlpm.result, "")
)</f>
        <v/>
      </c>
      <c r="S208" t="str">
        <f>_xlfn.LET(
  _xlpm.result, _xlfn.XLOOKUP($B208, Result_Database!$A$2:$A$500, Result_Database!R$2:R$500),
  _xlfn.IFNA(_xlpm.result, "")
)</f>
        <v/>
      </c>
      <c r="T208" t="str">
        <f>_xlfn.LET(
  _xlpm.result, _xlfn.XLOOKUP($B208, Result_Database!$A$2:$A$500, Result_Database!S$2:S$500),
  _xlfn.IFNA(_xlpm.result, "")
)</f>
        <v/>
      </c>
      <c r="U208" t="str">
        <f>_xlfn.LET(
  _xlpm.result, _xlfn.XLOOKUP($B208, Result_Database!$A$2:$A$500, Result_Database!T$2:T$500),
  _xlfn.IFNA(_xlpm.result, "")
)</f>
        <v/>
      </c>
      <c r="V208" t="str">
        <f>_xlfn.LET(
  _xlpm.result, _xlfn.XLOOKUP($B208, Result_Database!$A$2:$A$500, Result_Database!U$2:U$500),
  _xlfn.IFNA(_xlpm.result, "")
)</f>
        <v/>
      </c>
      <c r="W208" t="str">
        <f>_xlfn.LET(
  _xlpm.result, _xlfn.XLOOKUP($B208, Result_Database!$A$2:$A$500, Result_Database!V$2:V$500),
  _xlfn.IFNA(_xlpm.result, "")
)</f>
        <v/>
      </c>
      <c r="X208" t="str">
        <f>_xlfn.LET(
  _xlpm.result, _xlfn.XLOOKUP($B208, Result_Database!$A$2:$A$500, Result_Database!W$2:W$500),
  _xlfn.IFNA(_xlpm.result, "")
)</f>
        <v/>
      </c>
      <c r="Y208" t="str">
        <f>_xlfn.LET(
  _xlpm.result, _xlfn.XLOOKUP($B208, Result_Database!$A$2:$A$500, Result_Database!X$2:X$500),
  _xlfn.IFNA(_xlpm.result, "")
)</f>
        <v/>
      </c>
      <c r="Z208" t="str">
        <f>_xlfn.LET(
  _xlpm.result, _xlfn.XLOOKUP($B208, Result_Database!$A$2:$A$500, Result_Database!Y$2:Y$500),
  _xlfn.IFNA(_xlpm.result, "")
)</f>
        <v/>
      </c>
      <c r="AA208" t="str">
        <f>_xlfn.LET(
  _xlpm.result, _xlfn.XLOOKUP($B208, Result_Database!$A$2:$A$500, Result_Database!Z$2:Z$500),
  _xlfn.IFNA(_xlpm.result, "")
)</f>
        <v/>
      </c>
      <c r="AB208" t="str">
        <f>_xlfn.LET(
  _xlpm.result, _xlfn.XLOOKUP($B208, Result_Database!$A$2:$A$500, Result_Database!AA$2:AA$500),
  _xlfn.IFNA(_xlpm.result, "")
)</f>
        <v/>
      </c>
      <c r="AC208" t="str">
        <f>_xlfn.LET(
  _xlpm.result, _xlfn.XLOOKUP($B208, Result_Database!$A$2:$A$500, Result_Database!AB$2:AB$500),
  _xlfn.IFNA(_xlpm.result, "")
)</f>
        <v/>
      </c>
      <c r="AD208" t="str">
        <f>_xlfn.LET(
  _xlpm.result, _xlfn.XLOOKUP($B208, Result_Database!$A$2:$A$500, Result_Database!AC$2:AC$500),
  _xlfn.IFNA(_xlpm.result, "")
)</f>
        <v/>
      </c>
      <c r="AE208" t="str">
        <f>_xlfn.LET(
  _xlpm.result, _xlfn.XLOOKUP($B208, Result_Database!$A$2:$A$500, Result_Database!AD$2:AD$500),
  _xlfn.IFNA(_xlpm.result, "")
)</f>
        <v/>
      </c>
      <c r="AF208" t="str">
        <f>_xlfn.LET(
  _xlpm.result, _xlfn.XLOOKUP($B208, Result_Database!$A$2:$A$500, Result_Database!AE$2:AE$500),
  _xlfn.IFNA(_xlpm.result, "")
)</f>
        <v/>
      </c>
      <c r="AG208" t="str">
        <f>_xlfn.LET(
  _xlpm.result, _xlfn.XLOOKUP($B208, Result_Database!$A$2:$A$500, Result_Database!AF$2:AF$500),
  _xlfn.IFNA(_xlpm.result, "")
)</f>
        <v/>
      </c>
      <c r="AH208" t="str">
        <f>_xlfn.LET(
  _xlpm.result, _xlfn.XLOOKUP($B208, Result_Database!$A$2:$A$500, Result_Database!AG$2:AG$500),
  _xlfn.IFNA(_xlpm.result, "")
)</f>
        <v/>
      </c>
      <c r="AI208" t="str">
        <f>_xlfn.LET(
  _xlpm.result, _xlfn.XLOOKUP($B208, Result_Database!$A$2:$A$500, Result_Database!AH$2:AH$500),
  _xlfn.IFNA(_xlpm.result, "")
)</f>
        <v/>
      </c>
      <c r="AJ208" t="str">
        <f>_xlfn.LET(
  _xlpm.result, _xlfn.XLOOKUP($B208, Result_Database!$A$2:$A$500, Result_Database!AI$2:AI$500),
  _xlfn.IFNA(_xlpm.result, "")
)</f>
        <v/>
      </c>
      <c r="AK208" t="str">
        <f>_xlfn.LET(
  _xlpm.result, _xlfn.XLOOKUP($B208, Result_Database!$A$2:$A$500, Result_Database!AJ$2:AJ$500),
  _xlfn.IFNA(_xlpm.result, "")
)</f>
        <v/>
      </c>
      <c r="AL208" t="str">
        <f>_xlfn.LET(
  _xlpm.result, _xlfn.XLOOKUP($B208, Result_Database!$A$2:$A$500, Result_Database!AK$2:AK$500),
  _xlfn.IFNA(_xlpm.result, "")
)</f>
        <v/>
      </c>
      <c r="AM20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0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0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0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0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0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0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0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0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08" t="str">
        <f>IF(SUM(Table5[[#This Row],[A1]:[C6]])&lt;&gt;0,SUM(Table5[[#This Row],[A1]:[C6]]),"")</f>
        <v/>
      </c>
      <c r="AW208" t="str">
        <f>IF(SUM(Table5[[#This Row],[D7]:[F9]])=0,"",SUM(Table5[[#This Row],[D7]:[F9]]))</f>
        <v/>
      </c>
      <c r="AX20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0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0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0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0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0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08" t="str">
        <f>IF(COUNTIF(Table5[[#This Row],[English Language]:[Electrical/ Electronics]],"WITHHELD")=0,"",COUNTIF(Table5[[#This Row],[English Language]:[Electrical/ Electronics]],"WITHHELD"))</f>
        <v/>
      </c>
      <c r="BE208" t="str">
        <f>IF(SUM(Table5[[#This Row],[NO OF CREDITS]:[BELOW CREDITS]])=0,"",SUM(Table5[[#This Row],[NO OF CREDITS]:[BELOW CREDITS]]))</f>
        <v/>
      </c>
    </row>
    <row r="209" spans="1:57" x14ac:dyDescent="0.3">
      <c r="A209" t="str">
        <f>IF(B209&lt;&gt;"",COUNTA($B$6:B209),"")</f>
        <v/>
      </c>
      <c r="B209" t="str">
        <f>IF(Result_Database!A205="","",Result_Database!A205)</f>
        <v/>
      </c>
      <c r="C209" t="str">
        <f>_xlfn.LET(
_xlpm.result,_xlfn.XLOOKUP($B209,Result_Database!$A$2:$A$500,Result_Database!$B$2:$B$500),
_xlfn.IFNA(_xlpm.result,"")
)</f>
        <v/>
      </c>
      <c r="D209" t="str">
        <f>_xlfn.LET(
  _xlpm.result, _xlfn.XLOOKUP($B209, Result_Database!$A$2:$A$500, Result_Database!C$2:C$500),
  _xlfn.IFNA(_xlpm.result, "")
)</f>
        <v/>
      </c>
      <c r="E209" t="str">
        <f>_xlfn.LET(
  _xlpm.result, _xlfn.XLOOKUP($B209, Result_Database!$A$2:$A$500, Result_Database!D$2:D$500),
  _xlfn.IFNA(_xlpm.result, "")
)</f>
        <v/>
      </c>
      <c r="F209" t="str">
        <f>_xlfn.LET(
  _xlpm.result, _xlfn.XLOOKUP($B209, Result_Database!$A$2:$A$500, Result_Database!E$2:E$500),
  _xlfn.IFNA(_xlpm.result, "")
)</f>
        <v/>
      </c>
      <c r="G209" t="str">
        <f>_xlfn.LET(
  _xlpm.result, _xlfn.XLOOKUP($B209, Result_Database!$A$2:$A$500, Result_Database!F$2:F$500),
  _xlfn.IFNA(_xlpm.result, "")
)</f>
        <v/>
      </c>
      <c r="H209" t="str">
        <f>_xlfn.LET(
  _xlpm.result, _xlfn.XLOOKUP($B209, Result_Database!$A$2:$A$500, Result_Database!G$2:G$500),
  _xlfn.IFNA(_xlpm.result, "")
)</f>
        <v/>
      </c>
      <c r="I209" t="str">
        <f>_xlfn.LET(
  _xlpm.result, _xlfn.XLOOKUP($B209, Result_Database!$A$2:$A$500, Result_Database!H$2:H$500),
  _xlfn.IFNA(_xlpm.result, "")
)</f>
        <v/>
      </c>
      <c r="J209" t="str">
        <f>_xlfn.LET(
  _xlpm.result, _xlfn.XLOOKUP($B209, Result_Database!$A$2:$A$500, Result_Database!I$2:I$500),
  _xlfn.IFNA(_xlpm.result, "")
)</f>
        <v/>
      </c>
      <c r="K209" t="str">
        <f>_xlfn.LET(
  _xlpm.result, _xlfn.XLOOKUP($B209, Result_Database!$A$2:$A$500, Result_Database!J$2:J$500),
  _xlfn.IFNA(_xlpm.result, "")
)</f>
        <v/>
      </c>
      <c r="L209" t="str">
        <f>_xlfn.LET(
  _xlpm.result, _xlfn.XLOOKUP($B209, Result_Database!$A$2:$A$500, Result_Database!K$2:K$500),
  _xlfn.IFNA(_xlpm.result, "")
)</f>
        <v/>
      </c>
      <c r="M209" t="str">
        <f>_xlfn.LET(
  _xlpm.result, _xlfn.XLOOKUP($B209, Result_Database!$A$2:$A$500, Result_Database!L$2:L$500),
  _xlfn.IFNA(_xlpm.result, "")
)</f>
        <v/>
      </c>
      <c r="N209" t="str">
        <f>_xlfn.LET(
  _xlpm.result, _xlfn.XLOOKUP($B209, Result_Database!$A$2:$A$500, Result_Database!M$2:M$500),
  _xlfn.IFNA(_xlpm.result, "")
)</f>
        <v/>
      </c>
      <c r="O209" t="str">
        <f>_xlfn.LET(
  _xlpm.result, _xlfn.XLOOKUP($B209, Result_Database!$A$2:$A$500, Result_Database!N$2:N$500),
  _xlfn.IFNA(_xlpm.result, "")
)</f>
        <v/>
      </c>
      <c r="P209" t="str">
        <f>_xlfn.LET(
  _xlpm.result, _xlfn.XLOOKUP($B209, Result_Database!$A$2:$A$500, Result_Database!O$2:O$500),
  _xlfn.IFNA(_xlpm.result, "")
)</f>
        <v/>
      </c>
      <c r="Q209" t="str">
        <f>_xlfn.LET(
  _xlpm.result, _xlfn.XLOOKUP($B209, Result_Database!$A$2:$A$500, Result_Database!P$2:P$500),
  _xlfn.IFNA(_xlpm.result, "")
)</f>
        <v/>
      </c>
      <c r="R209" t="str">
        <f>_xlfn.LET(
  _xlpm.result, _xlfn.XLOOKUP($B209, Result_Database!$A$2:$A$500, Result_Database!Q$2:Q$500),
  _xlfn.IFNA(_xlpm.result, "")
)</f>
        <v/>
      </c>
      <c r="S209" t="str">
        <f>_xlfn.LET(
  _xlpm.result, _xlfn.XLOOKUP($B209, Result_Database!$A$2:$A$500, Result_Database!R$2:R$500),
  _xlfn.IFNA(_xlpm.result, "")
)</f>
        <v/>
      </c>
      <c r="T209" t="str">
        <f>_xlfn.LET(
  _xlpm.result, _xlfn.XLOOKUP($B209, Result_Database!$A$2:$A$500, Result_Database!S$2:S$500),
  _xlfn.IFNA(_xlpm.result, "")
)</f>
        <v/>
      </c>
      <c r="U209" t="str">
        <f>_xlfn.LET(
  _xlpm.result, _xlfn.XLOOKUP($B209, Result_Database!$A$2:$A$500, Result_Database!T$2:T$500),
  _xlfn.IFNA(_xlpm.result, "")
)</f>
        <v/>
      </c>
      <c r="V209" t="str">
        <f>_xlfn.LET(
  _xlpm.result, _xlfn.XLOOKUP($B209, Result_Database!$A$2:$A$500, Result_Database!U$2:U$500),
  _xlfn.IFNA(_xlpm.result, "")
)</f>
        <v/>
      </c>
      <c r="W209" t="str">
        <f>_xlfn.LET(
  _xlpm.result, _xlfn.XLOOKUP($B209, Result_Database!$A$2:$A$500, Result_Database!V$2:V$500),
  _xlfn.IFNA(_xlpm.result, "")
)</f>
        <v/>
      </c>
      <c r="X209" t="str">
        <f>_xlfn.LET(
  _xlpm.result, _xlfn.XLOOKUP($B209, Result_Database!$A$2:$A$500, Result_Database!W$2:W$500),
  _xlfn.IFNA(_xlpm.result, "")
)</f>
        <v/>
      </c>
      <c r="Y209" t="str">
        <f>_xlfn.LET(
  _xlpm.result, _xlfn.XLOOKUP($B209, Result_Database!$A$2:$A$500, Result_Database!X$2:X$500),
  _xlfn.IFNA(_xlpm.result, "")
)</f>
        <v/>
      </c>
      <c r="Z209" t="str">
        <f>_xlfn.LET(
  _xlpm.result, _xlfn.XLOOKUP($B209, Result_Database!$A$2:$A$500, Result_Database!Y$2:Y$500),
  _xlfn.IFNA(_xlpm.result, "")
)</f>
        <v/>
      </c>
      <c r="AA209" t="str">
        <f>_xlfn.LET(
  _xlpm.result, _xlfn.XLOOKUP($B209, Result_Database!$A$2:$A$500, Result_Database!Z$2:Z$500),
  _xlfn.IFNA(_xlpm.result, "")
)</f>
        <v/>
      </c>
      <c r="AB209" t="str">
        <f>_xlfn.LET(
  _xlpm.result, _xlfn.XLOOKUP($B209, Result_Database!$A$2:$A$500, Result_Database!AA$2:AA$500),
  _xlfn.IFNA(_xlpm.result, "")
)</f>
        <v/>
      </c>
      <c r="AC209" t="str">
        <f>_xlfn.LET(
  _xlpm.result, _xlfn.XLOOKUP($B209, Result_Database!$A$2:$A$500, Result_Database!AB$2:AB$500),
  _xlfn.IFNA(_xlpm.result, "")
)</f>
        <v/>
      </c>
      <c r="AD209" t="str">
        <f>_xlfn.LET(
  _xlpm.result, _xlfn.XLOOKUP($B209, Result_Database!$A$2:$A$500, Result_Database!AC$2:AC$500),
  _xlfn.IFNA(_xlpm.result, "")
)</f>
        <v/>
      </c>
      <c r="AE209" t="str">
        <f>_xlfn.LET(
  _xlpm.result, _xlfn.XLOOKUP($B209, Result_Database!$A$2:$A$500, Result_Database!AD$2:AD$500),
  _xlfn.IFNA(_xlpm.result, "")
)</f>
        <v/>
      </c>
      <c r="AF209" t="str">
        <f>_xlfn.LET(
  _xlpm.result, _xlfn.XLOOKUP($B209, Result_Database!$A$2:$A$500, Result_Database!AE$2:AE$500),
  _xlfn.IFNA(_xlpm.result, "")
)</f>
        <v/>
      </c>
      <c r="AG209" t="str">
        <f>_xlfn.LET(
  _xlpm.result, _xlfn.XLOOKUP($B209, Result_Database!$A$2:$A$500, Result_Database!AF$2:AF$500),
  _xlfn.IFNA(_xlpm.result, "")
)</f>
        <v/>
      </c>
      <c r="AH209" t="str">
        <f>_xlfn.LET(
  _xlpm.result, _xlfn.XLOOKUP($B209, Result_Database!$A$2:$A$500, Result_Database!AG$2:AG$500),
  _xlfn.IFNA(_xlpm.result, "")
)</f>
        <v/>
      </c>
      <c r="AI209" t="str">
        <f>_xlfn.LET(
  _xlpm.result, _xlfn.XLOOKUP($B209, Result_Database!$A$2:$A$500, Result_Database!AH$2:AH$500),
  _xlfn.IFNA(_xlpm.result, "")
)</f>
        <v/>
      </c>
      <c r="AJ209" t="str">
        <f>_xlfn.LET(
  _xlpm.result, _xlfn.XLOOKUP($B209, Result_Database!$A$2:$A$500, Result_Database!AI$2:AI$500),
  _xlfn.IFNA(_xlpm.result, "")
)</f>
        <v/>
      </c>
      <c r="AK209" t="str">
        <f>_xlfn.LET(
  _xlpm.result, _xlfn.XLOOKUP($B209, Result_Database!$A$2:$A$500, Result_Database!AJ$2:AJ$500),
  _xlfn.IFNA(_xlpm.result, "")
)</f>
        <v/>
      </c>
      <c r="AL209" t="str">
        <f>_xlfn.LET(
  _xlpm.result, _xlfn.XLOOKUP($B209, Result_Database!$A$2:$A$500, Result_Database!AK$2:AK$500),
  _xlfn.IFNA(_xlpm.result, "")
)</f>
        <v/>
      </c>
      <c r="AM20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0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0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0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0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0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0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0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0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09" t="str">
        <f>IF(SUM(Table5[[#This Row],[A1]:[C6]])&lt;&gt;0,SUM(Table5[[#This Row],[A1]:[C6]]),"")</f>
        <v/>
      </c>
      <c r="AW209" t="str">
        <f>IF(SUM(Table5[[#This Row],[D7]:[F9]])=0,"",SUM(Table5[[#This Row],[D7]:[F9]]))</f>
        <v/>
      </c>
      <c r="AX20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0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0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0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0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0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09" t="str">
        <f>IF(COUNTIF(Table5[[#This Row],[English Language]:[Electrical/ Electronics]],"WITHHELD")=0,"",COUNTIF(Table5[[#This Row],[English Language]:[Electrical/ Electronics]],"WITHHELD"))</f>
        <v/>
      </c>
      <c r="BE209" t="str">
        <f>IF(SUM(Table5[[#This Row],[NO OF CREDITS]:[BELOW CREDITS]])=0,"",SUM(Table5[[#This Row],[NO OF CREDITS]:[BELOW CREDITS]]))</f>
        <v/>
      </c>
    </row>
    <row r="210" spans="1:57" x14ac:dyDescent="0.3">
      <c r="A210" t="str">
        <f>IF(B210&lt;&gt;"",COUNTA($B$6:B210),"")</f>
        <v/>
      </c>
      <c r="B210" t="str">
        <f>IF(Result_Database!A206="","",Result_Database!A206)</f>
        <v/>
      </c>
      <c r="C210" t="str">
        <f>_xlfn.LET(
_xlpm.result,_xlfn.XLOOKUP($B210,Result_Database!$A$2:$A$500,Result_Database!$B$2:$B$500),
_xlfn.IFNA(_xlpm.result,"")
)</f>
        <v/>
      </c>
      <c r="D210" t="str">
        <f>_xlfn.LET(
  _xlpm.result, _xlfn.XLOOKUP($B210, Result_Database!$A$2:$A$500, Result_Database!C$2:C$500),
  _xlfn.IFNA(_xlpm.result, "")
)</f>
        <v/>
      </c>
      <c r="E210" t="str">
        <f>_xlfn.LET(
  _xlpm.result, _xlfn.XLOOKUP($B210, Result_Database!$A$2:$A$500, Result_Database!D$2:D$500),
  _xlfn.IFNA(_xlpm.result, "")
)</f>
        <v/>
      </c>
      <c r="F210" t="str">
        <f>_xlfn.LET(
  _xlpm.result, _xlfn.XLOOKUP($B210, Result_Database!$A$2:$A$500, Result_Database!E$2:E$500),
  _xlfn.IFNA(_xlpm.result, "")
)</f>
        <v/>
      </c>
      <c r="G210" t="str">
        <f>_xlfn.LET(
  _xlpm.result, _xlfn.XLOOKUP($B210, Result_Database!$A$2:$A$500, Result_Database!F$2:F$500),
  _xlfn.IFNA(_xlpm.result, "")
)</f>
        <v/>
      </c>
      <c r="H210" t="str">
        <f>_xlfn.LET(
  _xlpm.result, _xlfn.XLOOKUP($B210, Result_Database!$A$2:$A$500, Result_Database!G$2:G$500),
  _xlfn.IFNA(_xlpm.result, "")
)</f>
        <v/>
      </c>
      <c r="I210" t="str">
        <f>_xlfn.LET(
  _xlpm.result, _xlfn.XLOOKUP($B210, Result_Database!$A$2:$A$500, Result_Database!H$2:H$500),
  _xlfn.IFNA(_xlpm.result, "")
)</f>
        <v/>
      </c>
      <c r="J210" t="str">
        <f>_xlfn.LET(
  _xlpm.result, _xlfn.XLOOKUP($B210, Result_Database!$A$2:$A$500, Result_Database!I$2:I$500),
  _xlfn.IFNA(_xlpm.result, "")
)</f>
        <v/>
      </c>
      <c r="K210" t="str">
        <f>_xlfn.LET(
  _xlpm.result, _xlfn.XLOOKUP($B210, Result_Database!$A$2:$A$500, Result_Database!J$2:J$500),
  _xlfn.IFNA(_xlpm.result, "")
)</f>
        <v/>
      </c>
      <c r="L210" t="str">
        <f>_xlfn.LET(
  _xlpm.result, _xlfn.XLOOKUP($B210, Result_Database!$A$2:$A$500, Result_Database!K$2:K$500),
  _xlfn.IFNA(_xlpm.result, "")
)</f>
        <v/>
      </c>
      <c r="M210" t="str">
        <f>_xlfn.LET(
  _xlpm.result, _xlfn.XLOOKUP($B210, Result_Database!$A$2:$A$500, Result_Database!L$2:L$500),
  _xlfn.IFNA(_xlpm.result, "")
)</f>
        <v/>
      </c>
      <c r="N210" t="str">
        <f>_xlfn.LET(
  _xlpm.result, _xlfn.XLOOKUP($B210, Result_Database!$A$2:$A$500, Result_Database!M$2:M$500),
  _xlfn.IFNA(_xlpm.result, "")
)</f>
        <v/>
      </c>
      <c r="O210" t="str">
        <f>_xlfn.LET(
  _xlpm.result, _xlfn.XLOOKUP($B210, Result_Database!$A$2:$A$500, Result_Database!N$2:N$500),
  _xlfn.IFNA(_xlpm.result, "")
)</f>
        <v/>
      </c>
      <c r="P210" t="str">
        <f>_xlfn.LET(
  _xlpm.result, _xlfn.XLOOKUP($B210, Result_Database!$A$2:$A$500, Result_Database!O$2:O$500),
  _xlfn.IFNA(_xlpm.result, "")
)</f>
        <v/>
      </c>
      <c r="Q210" t="str">
        <f>_xlfn.LET(
  _xlpm.result, _xlfn.XLOOKUP($B210, Result_Database!$A$2:$A$500, Result_Database!P$2:P$500),
  _xlfn.IFNA(_xlpm.result, "")
)</f>
        <v/>
      </c>
      <c r="R210" t="str">
        <f>_xlfn.LET(
  _xlpm.result, _xlfn.XLOOKUP($B210, Result_Database!$A$2:$A$500, Result_Database!Q$2:Q$500),
  _xlfn.IFNA(_xlpm.result, "")
)</f>
        <v/>
      </c>
      <c r="S210" t="str">
        <f>_xlfn.LET(
  _xlpm.result, _xlfn.XLOOKUP($B210, Result_Database!$A$2:$A$500, Result_Database!R$2:R$500),
  _xlfn.IFNA(_xlpm.result, "")
)</f>
        <v/>
      </c>
      <c r="T210" t="str">
        <f>_xlfn.LET(
  _xlpm.result, _xlfn.XLOOKUP($B210, Result_Database!$A$2:$A$500, Result_Database!S$2:S$500),
  _xlfn.IFNA(_xlpm.result, "")
)</f>
        <v/>
      </c>
      <c r="U210" t="str">
        <f>_xlfn.LET(
  _xlpm.result, _xlfn.XLOOKUP($B210, Result_Database!$A$2:$A$500, Result_Database!T$2:T$500),
  _xlfn.IFNA(_xlpm.result, "")
)</f>
        <v/>
      </c>
      <c r="V210" t="str">
        <f>_xlfn.LET(
  _xlpm.result, _xlfn.XLOOKUP($B210, Result_Database!$A$2:$A$500, Result_Database!U$2:U$500),
  _xlfn.IFNA(_xlpm.result, "")
)</f>
        <v/>
      </c>
      <c r="W210" t="str">
        <f>_xlfn.LET(
  _xlpm.result, _xlfn.XLOOKUP($B210, Result_Database!$A$2:$A$500, Result_Database!V$2:V$500),
  _xlfn.IFNA(_xlpm.result, "")
)</f>
        <v/>
      </c>
      <c r="X210" t="str">
        <f>_xlfn.LET(
  _xlpm.result, _xlfn.XLOOKUP($B210, Result_Database!$A$2:$A$500, Result_Database!W$2:W$500),
  _xlfn.IFNA(_xlpm.result, "")
)</f>
        <v/>
      </c>
      <c r="Y210" t="str">
        <f>_xlfn.LET(
  _xlpm.result, _xlfn.XLOOKUP($B210, Result_Database!$A$2:$A$500, Result_Database!X$2:X$500),
  _xlfn.IFNA(_xlpm.result, "")
)</f>
        <v/>
      </c>
      <c r="Z210" t="str">
        <f>_xlfn.LET(
  _xlpm.result, _xlfn.XLOOKUP($B210, Result_Database!$A$2:$A$500, Result_Database!Y$2:Y$500),
  _xlfn.IFNA(_xlpm.result, "")
)</f>
        <v/>
      </c>
      <c r="AA210" t="str">
        <f>_xlfn.LET(
  _xlpm.result, _xlfn.XLOOKUP($B210, Result_Database!$A$2:$A$500, Result_Database!Z$2:Z$500),
  _xlfn.IFNA(_xlpm.result, "")
)</f>
        <v/>
      </c>
      <c r="AB210" t="str">
        <f>_xlfn.LET(
  _xlpm.result, _xlfn.XLOOKUP($B210, Result_Database!$A$2:$A$500, Result_Database!AA$2:AA$500),
  _xlfn.IFNA(_xlpm.result, "")
)</f>
        <v/>
      </c>
      <c r="AC210" t="str">
        <f>_xlfn.LET(
  _xlpm.result, _xlfn.XLOOKUP($B210, Result_Database!$A$2:$A$500, Result_Database!AB$2:AB$500),
  _xlfn.IFNA(_xlpm.result, "")
)</f>
        <v/>
      </c>
      <c r="AD210" t="str">
        <f>_xlfn.LET(
  _xlpm.result, _xlfn.XLOOKUP($B210, Result_Database!$A$2:$A$500, Result_Database!AC$2:AC$500),
  _xlfn.IFNA(_xlpm.result, "")
)</f>
        <v/>
      </c>
      <c r="AE210" t="str">
        <f>_xlfn.LET(
  _xlpm.result, _xlfn.XLOOKUP($B210, Result_Database!$A$2:$A$500, Result_Database!AD$2:AD$500),
  _xlfn.IFNA(_xlpm.result, "")
)</f>
        <v/>
      </c>
      <c r="AF210" t="str">
        <f>_xlfn.LET(
  _xlpm.result, _xlfn.XLOOKUP($B210, Result_Database!$A$2:$A$500, Result_Database!AE$2:AE$500),
  _xlfn.IFNA(_xlpm.result, "")
)</f>
        <v/>
      </c>
      <c r="AG210" t="str">
        <f>_xlfn.LET(
  _xlpm.result, _xlfn.XLOOKUP($B210, Result_Database!$A$2:$A$500, Result_Database!AF$2:AF$500),
  _xlfn.IFNA(_xlpm.result, "")
)</f>
        <v/>
      </c>
      <c r="AH210" t="str">
        <f>_xlfn.LET(
  _xlpm.result, _xlfn.XLOOKUP($B210, Result_Database!$A$2:$A$500, Result_Database!AG$2:AG$500),
  _xlfn.IFNA(_xlpm.result, "")
)</f>
        <v/>
      </c>
      <c r="AI210" t="str">
        <f>_xlfn.LET(
  _xlpm.result, _xlfn.XLOOKUP($B210, Result_Database!$A$2:$A$500, Result_Database!AH$2:AH$500),
  _xlfn.IFNA(_xlpm.result, "")
)</f>
        <v/>
      </c>
      <c r="AJ210" t="str">
        <f>_xlfn.LET(
  _xlpm.result, _xlfn.XLOOKUP($B210, Result_Database!$A$2:$A$500, Result_Database!AI$2:AI$500),
  _xlfn.IFNA(_xlpm.result, "")
)</f>
        <v/>
      </c>
      <c r="AK210" t="str">
        <f>_xlfn.LET(
  _xlpm.result, _xlfn.XLOOKUP($B210, Result_Database!$A$2:$A$500, Result_Database!AJ$2:AJ$500),
  _xlfn.IFNA(_xlpm.result, "")
)</f>
        <v/>
      </c>
      <c r="AL210" t="str">
        <f>_xlfn.LET(
  _xlpm.result, _xlfn.XLOOKUP($B210, Result_Database!$A$2:$A$500, Result_Database!AK$2:AK$500),
  _xlfn.IFNA(_xlpm.result, "")
)</f>
        <v/>
      </c>
      <c r="AM21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1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1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1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1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1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1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1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1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10" t="str">
        <f>IF(SUM(Table5[[#This Row],[A1]:[C6]])&lt;&gt;0,SUM(Table5[[#This Row],[A1]:[C6]]),"")</f>
        <v/>
      </c>
      <c r="AW210" t="str">
        <f>IF(SUM(Table5[[#This Row],[D7]:[F9]])=0,"",SUM(Table5[[#This Row],[D7]:[F9]]))</f>
        <v/>
      </c>
      <c r="AX21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1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1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1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1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1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10" t="str">
        <f>IF(COUNTIF(Table5[[#This Row],[English Language]:[Electrical/ Electronics]],"WITHHELD")=0,"",COUNTIF(Table5[[#This Row],[English Language]:[Electrical/ Electronics]],"WITHHELD"))</f>
        <v/>
      </c>
      <c r="BE210" t="str">
        <f>IF(SUM(Table5[[#This Row],[NO OF CREDITS]:[BELOW CREDITS]])=0,"",SUM(Table5[[#This Row],[NO OF CREDITS]:[BELOW CREDITS]]))</f>
        <v/>
      </c>
    </row>
    <row r="211" spans="1:57" x14ac:dyDescent="0.3">
      <c r="A211" t="str">
        <f>IF(B211&lt;&gt;"",COUNTA($B$6:B211),"")</f>
        <v/>
      </c>
      <c r="B211" t="str">
        <f>IF(Result_Database!A207="","",Result_Database!A207)</f>
        <v/>
      </c>
      <c r="C211" t="str">
        <f>_xlfn.LET(
_xlpm.result,_xlfn.XLOOKUP($B211,Result_Database!$A$2:$A$500,Result_Database!$B$2:$B$500),
_xlfn.IFNA(_xlpm.result,"")
)</f>
        <v/>
      </c>
      <c r="D211" t="str">
        <f>_xlfn.LET(
  _xlpm.result, _xlfn.XLOOKUP($B211, Result_Database!$A$2:$A$500, Result_Database!C$2:C$500),
  _xlfn.IFNA(_xlpm.result, "")
)</f>
        <v/>
      </c>
      <c r="E211" t="str">
        <f>_xlfn.LET(
  _xlpm.result, _xlfn.XLOOKUP($B211, Result_Database!$A$2:$A$500, Result_Database!D$2:D$500),
  _xlfn.IFNA(_xlpm.result, "")
)</f>
        <v/>
      </c>
      <c r="F211" t="str">
        <f>_xlfn.LET(
  _xlpm.result, _xlfn.XLOOKUP($B211, Result_Database!$A$2:$A$500, Result_Database!E$2:E$500),
  _xlfn.IFNA(_xlpm.result, "")
)</f>
        <v/>
      </c>
      <c r="G211" t="str">
        <f>_xlfn.LET(
  _xlpm.result, _xlfn.XLOOKUP($B211, Result_Database!$A$2:$A$500, Result_Database!F$2:F$500),
  _xlfn.IFNA(_xlpm.result, "")
)</f>
        <v/>
      </c>
      <c r="H211" t="str">
        <f>_xlfn.LET(
  _xlpm.result, _xlfn.XLOOKUP($B211, Result_Database!$A$2:$A$500, Result_Database!G$2:G$500),
  _xlfn.IFNA(_xlpm.result, "")
)</f>
        <v/>
      </c>
      <c r="I211" t="str">
        <f>_xlfn.LET(
  _xlpm.result, _xlfn.XLOOKUP($B211, Result_Database!$A$2:$A$500, Result_Database!H$2:H$500),
  _xlfn.IFNA(_xlpm.result, "")
)</f>
        <v/>
      </c>
      <c r="J211" t="str">
        <f>_xlfn.LET(
  _xlpm.result, _xlfn.XLOOKUP($B211, Result_Database!$A$2:$A$500, Result_Database!I$2:I$500),
  _xlfn.IFNA(_xlpm.result, "")
)</f>
        <v/>
      </c>
      <c r="K211" t="str">
        <f>_xlfn.LET(
  _xlpm.result, _xlfn.XLOOKUP($B211, Result_Database!$A$2:$A$500, Result_Database!J$2:J$500),
  _xlfn.IFNA(_xlpm.result, "")
)</f>
        <v/>
      </c>
      <c r="L211" t="str">
        <f>_xlfn.LET(
  _xlpm.result, _xlfn.XLOOKUP($B211, Result_Database!$A$2:$A$500, Result_Database!K$2:K$500),
  _xlfn.IFNA(_xlpm.result, "")
)</f>
        <v/>
      </c>
      <c r="M211" t="str">
        <f>_xlfn.LET(
  _xlpm.result, _xlfn.XLOOKUP($B211, Result_Database!$A$2:$A$500, Result_Database!L$2:L$500),
  _xlfn.IFNA(_xlpm.result, "")
)</f>
        <v/>
      </c>
      <c r="N211" t="str">
        <f>_xlfn.LET(
  _xlpm.result, _xlfn.XLOOKUP($B211, Result_Database!$A$2:$A$500, Result_Database!M$2:M$500),
  _xlfn.IFNA(_xlpm.result, "")
)</f>
        <v/>
      </c>
      <c r="O211" t="str">
        <f>_xlfn.LET(
  _xlpm.result, _xlfn.XLOOKUP($B211, Result_Database!$A$2:$A$500, Result_Database!N$2:N$500),
  _xlfn.IFNA(_xlpm.result, "")
)</f>
        <v/>
      </c>
      <c r="P211" t="str">
        <f>_xlfn.LET(
  _xlpm.result, _xlfn.XLOOKUP($B211, Result_Database!$A$2:$A$500, Result_Database!O$2:O$500),
  _xlfn.IFNA(_xlpm.result, "")
)</f>
        <v/>
      </c>
      <c r="Q211" t="str">
        <f>_xlfn.LET(
  _xlpm.result, _xlfn.XLOOKUP($B211, Result_Database!$A$2:$A$500, Result_Database!P$2:P$500),
  _xlfn.IFNA(_xlpm.result, "")
)</f>
        <v/>
      </c>
      <c r="R211" t="str">
        <f>_xlfn.LET(
  _xlpm.result, _xlfn.XLOOKUP($B211, Result_Database!$A$2:$A$500, Result_Database!Q$2:Q$500),
  _xlfn.IFNA(_xlpm.result, "")
)</f>
        <v/>
      </c>
      <c r="S211" t="str">
        <f>_xlfn.LET(
  _xlpm.result, _xlfn.XLOOKUP($B211, Result_Database!$A$2:$A$500, Result_Database!R$2:R$500),
  _xlfn.IFNA(_xlpm.result, "")
)</f>
        <v/>
      </c>
      <c r="T211" t="str">
        <f>_xlfn.LET(
  _xlpm.result, _xlfn.XLOOKUP($B211, Result_Database!$A$2:$A$500, Result_Database!S$2:S$500),
  _xlfn.IFNA(_xlpm.result, "")
)</f>
        <v/>
      </c>
      <c r="U211" t="str">
        <f>_xlfn.LET(
  _xlpm.result, _xlfn.XLOOKUP($B211, Result_Database!$A$2:$A$500, Result_Database!T$2:T$500),
  _xlfn.IFNA(_xlpm.result, "")
)</f>
        <v/>
      </c>
      <c r="V211" t="str">
        <f>_xlfn.LET(
  _xlpm.result, _xlfn.XLOOKUP($B211, Result_Database!$A$2:$A$500, Result_Database!U$2:U$500),
  _xlfn.IFNA(_xlpm.result, "")
)</f>
        <v/>
      </c>
      <c r="W211" t="str">
        <f>_xlfn.LET(
  _xlpm.result, _xlfn.XLOOKUP($B211, Result_Database!$A$2:$A$500, Result_Database!V$2:V$500),
  _xlfn.IFNA(_xlpm.result, "")
)</f>
        <v/>
      </c>
      <c r="X211" t="str">
        <f>_xlfn.LET(
  _xlpm.result, _xlfn.XLOOKUP($B211, Result_Database!$A$2:$A$500, Result_Database!W$2:W$500),
  _xlfn.IFNA(_xlpm.result, "")
)</f>
        <v/>
      </c>
      <c r="Y211" t="str">
        <f>_xlfn.LET(
  _xlpm.result, _xlfn.XLOOKUP($B211, Result_Database!$A$2:$A$500, Result_Database!X$2:X$500),
  _xlfn.IFNA(_xlpm.result, "")
)</f>
        <v/>
      </c>
      <c r="Z211" t="str">
        <f>_xlfn.LET(
  _xlpm.result, _xlfn.XLOOKUP($B211, Result_Database!$A$2:$A$500, Result_Database!Y$2:Y$500),
  _xlfn.IFNA(_xlpm.result, "")
)</f>
        <v/>
      </c>
      <c r="AA211" t="str">
        <f>_xlfn.LET(
  _xlpm.result, _xlfn.XLOOKUP($B211, Result_Database!$A$2:$A$500, Result_Database!Z$2:Z$500),
  _xlfn.IFNA(_xlpm.result, "")
)</f>
        <v/>
      </c>
      <c r="AB211" t="str">
        <f>_xlfn.LET(
  _xlpm.result, _xlfn.XLOOKUP($B211, Result_Database!$A$2:$A$500, Result_Database!AA$2:AA$500),
  _xlfn.IFNA(_xlpm.result, "")
)</f>
        <v/>
      </c>
      <c r="AC211" t="str">
        <f>_xlfn.LET(
  _xlpm.result, _xlfn.XLOOKUP($B211, Result_Database!$A$2:$A$500, Result_Database!AB$2:AB$500),
  _xlfn.IFNA(_xlpm.result, "")
)</f>
        <v/>
      </c>
      <c r="AD211" t="str">
        <f>_xlfn.LET(
  _xlpm.result, _xlfn.XLOOKUP($B211, Result_Database!$A$2:$A$500, Result_Database!AC$2:AC$500),
  _xlfn.IFNA(_xlpm.result, "")
)</f>
        <v/>
      </c>
      <c r="AE211" t="str">
        <f>_xlfn.LET(
  _xlpm.result, _xlfn.XLOOKUP($B211, Result_Database!$A$2:$A$500, Result_Database!AD$2:AD$500),
  _xlfn.IFNA(_xlpm.result, "")
)</f>
        <v/>
      </c>
      <c r="AF211" t="str">
        <f>_xlfn.LET(
  _xlpm.result, _xlfn.XLOOKUP($B211, Result_Database!$A$2:$A$500, Result_Database!AE$2:AE$500),
  _xlfn.IFNA(_xlpm.result, "")
)</f>
        <v/>
      </c>
      <c r="AG211" t="str">
        <f>_xlfn.LET(
  _xlpm.result, _xlfn.XLOOKUP($B211, Result_Database!$A$2:$A$500, Result_Database!AF$2:AF$500),
  _xlfn.IFNA(_xlpm.result, "")
)</f>
        <v/>
      </c>
      <c r="AH211" t="str">
        <f>_xlfn.LET(
  _xlpm.result, _xlfn.XLOOKUP($B211, Result_Database!$A$2:$A$500, Result_Database!AG$2:AG$500),
  _xlfn.IFNA(_xlpm.result, "")
)</f>
        <v/>
      </c>
      <c r="AI211" t="str">
        <f>_xlfn.LET(
  _xlpm.result, _xlfn.XLOOKUP($B211, Result_Database!$A$2:$A$500, Result_Database!AH$2:AH$500),
  _xlfn.IFNA(_xlpm.result, "")
)</f>
        <v/>
      </c>
      <c r="AJ211" t="str">
        <f>_xlfn.LET(
  _xlpm.result, _xlfn.XLOOKUP($B211, Result_Database!$A$2:$A$500, Result_Database!AI$2:AI$500),
  _xlfn.IFNA(_xlpm.result, "")
)</f>
        <v/>
      </c>
      <c r="AK211" t="str">
        <f>_xlfn.LET(
  _xlpm.result, _xlfn.XLOOKUP($B211, Result_Database!$A$2:$A$500, Result_Database!AJ$2:AJ$500),
  _xlfn.IFNA(_xlpm.result, "")
)</f>
        <v/>
      </c>
      <c r="AL211" t="str">
        <f>_xlfn.LET(
  _xlpm.result, _xlfn.XLOOKUP($B211, Result_Database!$A$2:$A$500, Result_Database!AK$2:AK$500),
  _xlfn.IFNA(_xlpm.result, "")
)</f>
        <v/>
      </c>
      <c r="AM21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1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1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1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1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1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1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1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1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11" t="str">
        <f>IF(SUM(Table5[[#This Row],[A1]:[C6]])&lt;&gt;0,SUM(Table5[[#This Row],[A1]:[C6]]),"")</f>
        <v/>
      </c>
      <c r="AW211" t="str">
        <f>IF(SUM(Table5[[#This Row],[D7]:[F9]])=0,"",SUM(Table5[[#This Row],[D7]:[F9]]))</f>
        <v/>
      </c>
      <c r="AX21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1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1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1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1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1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11" t="str">
        <f>IF(COUNTIF(Table5[[#This Row],[English Language]:[Electrical/ Electronics]],"WITHHELD")=0,"",COUNTIF(Table5[[#This Row],[English Language]:[Electrical/ Electronics]],"WITHHELD"))</f>
        <v/>
      </c>
      <c r="BE211" t="str">
        <f>IF(SUM(Table5[[#This Row],[NO OF CREDITS]:[BELOW CREDITS]])=0,"",SUM(Table5[[#This Row],[NO OF CREDITS]:[BELOW CREDITS]]))</f>
        <v/>
      </c>
    </row>
    <row r="212" spans="1:57" x14ac:dyDescent="0.3">
      <c r="A212" t="str">
        <f>IF(B212&lt;&gt;"",COUNTA($B$6:B212),"")</f>
        <v/>
      </c>
      <c r="B212" t="str">
        <f>IF(Result_Database!A208="","",Result_Database!A208)</f>
        <v/>
      </c>
      <c r="C212" t="str">
        <f>_xlfn.LET(
_xlpm.result,_xlfn.XLOOKUP($B212,Result_Database!$A$2:$A$500,Result_Database!$B$2:$B$500),
_xlfn.IFNA(_xlpm.result,"")
)</f>
        <v/>
      </c>
      <c r="D212" t="str">
        <f>_xlfn.LET(
  _xlpm.result, _xlfn.XLOOKUP($B212, Result_Database!$A$2:$A$500, Result_Database!C$2:C$500),
  _xlfn.IFNA(_xlpm.result, "")
)</f>
        <v/>
      </c>
      <c r="E212" t="str">
        <f>_xlfn.LET(
  _xlpm.result, _xlfn.XLOOKUP($B212, Result_Database!$A$2:$A$500, Result_Database!D$2:D$500),
  _xlfn.IFNA(_xlpm.result, "")
)</f>
        <v/>
      </c>
      <c r="F212" t="str">
        <f>_xlfn.LET(
  _xlpm.result, _xlfn.XLOOKUP($B212, Result_Database!$A$2:$A$500, Result_Database!E$2:E$500),
  _xlfn.IFNA(_xlpm.result, "")
)</f>
        <v/>
      </c>
      <c r="G212" t="str">
        <f>_xlfn.LET(
  _xlpm.result, _xlfn.XLOOKUP($B212, Result_Database!$A$2:$A$500, Result_Database!F$2:F$500),
  _xlfn.IFNA(_xlpm.result, "")
)</f>
        <v/>
      </c>
      <c r="H212" t="str">
        <f>_xlfn.LET(
  _xlpm.result, _xlfn.XLOOKUP($B212, Result_Database!$A$2:$A$500, Result_Database!G$2:G$500),
  _xlfn.IFNA(_xlpm.result, "")
)</f>
        <v/>
      </c>
      <c r="I212" t="str">
        <f>_xlfn.LET(
  _xlpm.result, _xlfn.XLOOKUP($B212, Result_Database!$A$2:$A$500, Result_Database!H$2:H$500),
  _xlfn.IFNA(_xlpm.result, "")
)</f>
        <v/>
      </c>
      <c r="J212" t="str">
        <f>_xlfn.LET(
  _xlpm.result, _xlfn.XLOOKUP($B212, Result_Database!$A$2:$A$500, Result_Database!I$2:I$500),
  _xlfn.IFNA(_xlpm.result, "")
)</f>
        <v/>
      </c>
      <c r="K212" t="str">
        <f>_xlfn.LET(
  _xlpm.result, _xlfn.XLOOKUP($B212, Result_Database!$A$2:$A$500, Result_Database!J$2:J$500),
  _xlfn.IFNA(_xlpm.result, "")
)</f>
        <v/>
      </c>
      <c r="L212" t="str">
        <f>_xlfn.LET(
  _xlpm.result, _xlfn.XLOOKUP($B212, Result_Database!$A$2:$A$500, Result_Database!K$2:K$500),
  _xlfn.IFNA(_xlpm.result, "")
)</f>
        <v/>
      </c>
      <c r="M212" t="str">
        <f>_xlfn.LET(
  _xlpm.result, _xlfn.XLOOKUP($B212, Result_Database!$A$2:$A$500, Result_Database!L$2:L$500),
  _xlfn.IFNA(_xlpm.result, "")
)</f>
        <v/>
      </c>
      <c r="N212" t="str">
        <f>_xlfn.LET(
  _xlpm.result, _xlfn.XLOOKUP($B212, Result_Database!$A$2:$A$500, Result_Database!M$2:M$500),
  _xlfn.IFNA(_xlpm.result, "")
)</f>
        <v/>
      </c>
      <c r="O212" t="str">
        <f>_xlfn.LET(
  _xlpm.result, _xlfn.XLOOKUP($B212, Result_Database!$A$2:$A$500, Result_Database!N$2:N$500),
  _xlfn.IFNA(_xlpm.result, "")
)</f>
        <v/>
      </c>
      <c r="P212" t="str">
        <f>_xlfn.LET(
  _xlpm.result, _xlfn.XLOOKUP($B212, Result_Database!$A$2:$A$500, Result_Database!O$2:O$500),
  _xlfn.IFNA(_xlpm.result, "")
)</f>
        <v/>
      </c>
      <c r="Q212" t="str">
        <f>_xlfn.LET(
  _xlpm.result, _xlfn.XLOOKUP($B212, Result_Database!$A$2:$A$500, Result_Database!P$2:P$500),
  _xlfn.IFNA(_xlpm.result, "")
)</f>
        <v/>
      </c>
      <c r="R212" t="str">
        <f>_xlfn.LET(
  _xlpm.result, _xlfn.XLOOKUP($B212, Result_Database!$A$2:$A$500, Result_Database!Q$2:Q$500),
  _xlfn.IFNA(_xlpm.result, "")
)</f>
        <v/>
      </c>
      <c r="S212" t="str">
        <f>_xlfn.LET(
  _xlpm.result, _xlfn.XLOOKUP($B212, Result_Database!$A$2:$A$500, Result_Database!R$2:R$500),
  _xlfn.IFNA(_xlpm.result, "")
)</f>
        <v/>
      </c>
      <c r="T212" t="str">
        <f>_xlfn.LET(
  _xlpm.result, _xlfn.XLOOKUP($B212, Result_Database!$A$2:$A$500, Result_Database!S$2:S$500),
  _xlfn.IFNA(_xlpm.result, "")
)</f>
        <v/>
      </c>
      <c r="U212" t="str">
        <f>_xlfn.LET(
  _xlpm.result, _xlfn.XLOOKUP($B212, Result_Database!$A$2:$A$500, Result_Database!T$2:T$500),
  _xlfn.IFNA(_xlpm.result, "")
)</f>
        <v/>
      </c>
      <c r="V212" t="str">
        <f>_xlfn.LET(
  _xlpm.result, _xlfn.XLOOKUP($B212, Result_Database!$A$2:$A$500, Result_Database!U$2:U$500),
  _xlfn.IFNA(_xlpm.result, "")
)</f>
        <v/>
      </c>
      <c r="W212" t="str">
        <f>_xlfn.LET(
  _xlpm.result, _xlfn.XLOOKUP($B212, Result_Database!$A$2:$A$500, Result_Database!V$2:V$500),
  _xlfn.IFNA(_xlpm.result, "")
)</f>
        <v/>
      </c>
      <c r="X212" t="str">
        <f>_xlfn.LET(
  _xlpm.result, _xlfn.XLOOKUP($B212, Result_Database!$A$2:$A$500, Result_Database!W$2:W$500),
  _xlfn.IFNA(_xlpm.result, "")
)</f>
        <v/>
      </c>
      <c r="Y212" t="str">
        <f>_xlfn.LET(
  _xlpm.result, _xlfn.XLOOKUP($B212, Result_Database!$A$2:$A$500, Result_Database!X$2:X$500),
  _xlfn.IFNA(_xlpm.result, "")
)</f>
        <v/>
      </c>
      <c r="Z212" t="str">
        <f>_xlfn.LET(
  _xlpm.result, _xlfn.XLOOKUP($B212, Result_Database!$A$2:$A$500, Result_Database!Y$2:Y$500),
  _xlfn.IFNA(_xlpm.result, "")
)</f>
        <v/>
      </c>
      <c r="AA212" t="str">
        <f>_xlfn.LET(
  _xlpm.result, _xlfn.XLOOKUP($B212, Result_Database!$A$2:$A$500, Result_Database!Z$2:Z$500),
  _xlfn.IFNA(_xlpm.result, "")
)</f>
        <v/>
      </c>
      <c r="AB212" t="str">
        <f>_xlfn.LET(
  _xlpm.result, _xlfn.XLOOKUP($B212, Result_Database!$A$2:$A$500, Result_Database!AA$2:AA$500),
  _xlfn.IFNA(_xlpm.result, "")
)</f>
        <v/>
      </c>
      <c r="AC212" t="str">
        <f>_xlfn.LET(
  _xlpm.result, _xlfn.XLOOKUP($B212, Result_Database!$A$2:$A$500, Result_Database!AB$2:AB$500),
  _xlfn.IFNA(_xlpm.result, "")
)</f>
        <v/>
      </c>
      <c r="AD212" t="str">
        <f>_xlfn.LET(
  _xlpm.result, _xlfn.XLOOKUP($B212, Result_Database!$A$2:$A$500, Result_Database!AC$2:AC$500),
  _xlfn.IFNA(_xlpm.result, "")
)</f>
        <v/>
      </c>
      <c r="AE212" t="str">
        <f>_xlfn.LET(
  _xlpm.result, _xlfn.XLOOKUP($B212, Result_Database!$A$2:$A$500, Result_Database!AD$2:AD$500),
  _xlfn.IFNA(_xlpm.result, "")
)</f>
        <v/>
      </c>
      <c r="AF212" t="str">
        <f>_xlfn.LET(
  _xlpm.result, _xlfn.XLOOKUP($B212, Result_Database!$A$2:$A$500, Result_Database!AE$2:AE$500),
  _xlfn.IFNA(_xlpm.result, "")
)</f>
        <v/>
      </c>
      <c r="AG212" t="str">
        <f>_xlfn.LET(
  _xlpm.result, _xlfn.XLOOKUP($B212, Result_Database!$A$2:$A$500, Result_Database!AF$2:AF$500),
  _xlfn.IFNA(_xlpm.result, "")
)</f>
        <v/>
      </c>
      <c r="AH212" t="str">
        <f>_xlfn.LET(
  _xlpm.result, _xlfn.XLOOKUP($B212, Result_Database!$A$2:$A$500, Result_Database!AG$2:AG$500),
  _xlfn.IFNA(_xlpm.result, "")
)</f>
        <v/>
      </c>
      <c r="AI212" t="str">
        <f>_xlfn.LET(
  _xlpm.result, _xlfn.XLOOKUP($B212, Result_Database!$A$2:$A$500, Result_Database!AH$2:AH$500),
  _xlfn.IFNA(_xlpm.result, "")
)</f>
        <v/>
      </c>
      <c r="AJ212" t="str">
        <f>_xlfn.LET(
  _xlpm.result, _xlfn.XLOOKUP($B212, Result_Database!$A$2:$A$500, Result_Database!AI$2:AI$500),
  _xlfn.IFNA(_xlpm.result, "")
)</f>
        <v/>
      </c>
      <c r="AK212" t="str">
        <f>_xlfn.LET(
  _xlpm.result, _xlfn.XLOOKUP($B212, Result_Database!$A$2:$A$500, Result_Database!AJ$2:AJ$500),
  _xlfn.IFNA(_xlpm.result, "")
)</f>
        <v/>
      </c>
      <c r="AL212" t="str">
        <f>_xlfn.LET(
  _xlpm.result, _xlfn.XLOOKUP($B212, Result_Database!$A$2:$A$500, Result_Database!AK$2:AK$500),
  _xlfn.IFNA(_xlpm.result, "")
)</f>
        <v/>
      </c>
      <c r="AM21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1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1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1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1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1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1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1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1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12" t="str">
        <f>IF(SUM(Table5[[#This Row],[A1]:[C6]])&lt;&gt;0,SUM(Table5[[#This Row],[A1]:[C6]]),"")</f>
        <v/>
      </c>
      <c r="AW212" t="str">
        <f>IF(SUM(Table5[[#This Row],[D7]:[F9]])=0,"",SUM(Table5[[#This Row],[D7]:[F9]]))</f>
        <v/>
      </c>
      <c r="AX21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1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1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1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1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1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12" t="str">
        <f>IF(COUNTIF(Table5[[#This Row],[English Language]:[Electrical/ Electronics]],"WITHHELD")=0,"",COUNTIF(Table5[[#This Row],[English Language]:[Electrical/ Electronics]],"WITHHELD"))</f>
        <v/>
      </c>
      <c r="BE212" t="str">
        <f>IF(SUM(Table5[[#This Row],[NO OF CREDITS]:[BELOW CREDITS]])=0,"",SUM(Table5[[#This Row],[NO OF CREDITS]:[BELOW CREDITS]]))</f>
        <v/>
      </c>
    </row>
    <row r="213" spans="1:57" x14ac:dyDescent="0.3">
      <c r="A213" t="str">
        <f>IF(B213&lt;&gt;"",COUNTA($B$6:B213),"")</f>
        <v/>
      </c>
      <c r="B213" t="str">
        <f>IF(Result_Database!A209="","",Result_Database!A209)</f>
        <v/>
      </c>
      <c r="C213" t="str">
        <f>_xlfn.LET(
_xlpm.result,_xlfn.XLOOKUP($B213,Result_Database!$A$2:$A$500,Result_Database!$B$2:$B$500),
_xlfn.IFNA(_xlpm.result,"")
)</f>
        <v/>
      </c>
      <c r="D213" t="str">
        <f>_xlfn.LET(
  _xlpm.result, _xlfn.XLOOKUP($B213, Result_Database!$A$2:$A$500, Result_Database!C$2:C$500),
  _xlfn.IFNA(_xlpm.result, "")
)</f>
        <v/>
      </c>
      <c r="E213" t="str">
        <f>_xlfn.LET(
  _xlpm.result, _xlfn.XLOOKUP($B213, Result_Database!$A$2:$A$500, Result_Database!D$2:D$500),
  _xlfn.IFNA(_xlpm.result, "")
)</f>
        <v/>
      </c>
      <c r="F213" t="str">
        <f>_xlfn.LET(
  _xlpm.result, _xlfn.XLOOKUP($B213, Result_Database!$A$2:$A$500, Result_Database!E$2:E$500),
  _xlfn.IFNA(_xlpm.result, "")
)</f>
        <v/>
      </c>
      <c r="G213" t="str">
        <f>_xlfn.LET(
  _xlpm.result, _xlfn.XLOOKUP($B213, Result_Database!$A$2:$A$500, Result_Database!F$2:F$500),
  _xlfn.IFNA(_xlpm.result, "")
)</f>
        <v/>
      </c>
      <c r="H213" t="str">
        <f>_xlfn.LET(
  _xlpm.result, _xlfn.XLOOKUP($B213, Result_Database!$A$2:$A$500, Result_Database!G$2:G$500),
  _xlfn.IFNA(_xlpm.result, "")
)</f>
        <v/>
      </c>
      <c r="I213" t="str">
        <f>_xlfn.LET(
  _xlpm.result, _xlfn.XLOOKUP($B213, Result_Database!$A$2:$A$500, Result_Database!H$2:H$500),
  _xlfn.IFNA(_xlpm.result, "")
)</f>
        <v/>
      </c>
      <c r="J213" t="str">
        <f>_xlfn.LET(
  _xlpm.result, _xlfn.XLOOKUP($B213, Result_Database!$A$2:$A$500, Result_Database!I$2:I$500),
  _xlfn.IFNA(_xlpm.result, "")
)</f>
        <v/>
      </c>
      <c r="K213" t="str">
        <f>_xlfn.LET(
  _xlpm.result, _xlfn.XLOOKUP($B213, Result_Database!$A$2:$A$500, Result_Database!J$2:J$500),
  _xlfn.IFNA(_xlpm.result, "")
)</f>
        <v/>
      </c>
      <c r="L213" t="str">
        <f>_xlfn.LET(
  _xlpm.result, _xlfn.XLOOKUP($B213, Result_Database!$A$2:$A$500, Result_Database!K$2:K$500),
  _xlfn.IFNA(_xlpm.result, "")
)</f>
        <v/>
      </c>
      <c r="M213" t="str">
        <f>_xlfn.LET(
  _xlpm.result, _xlfn.XLOOKUP($B213, Result_Database!$A$2:$A$500, Result_Database!L$2:L$500),
  _xlfn.IFNA(_xlpm.result, "")
)</f>
        <v/>
      </c>
      <c r="N213" t="str">
        <f>_xlfn.LET(
  _xlpm.result, _xlfn.XLOOKUP($B213, Result_Database!$A$2:$A$500, Result_Database!M$2:M$500),
  _xlfn.IFNA(_xlpm.result, "")
)</f>
        <v/>
      </c>
      <c r="O213" t="str">
        <f>_xlfn.LET(
  _xlpm.result, _xlfn.XLOOKUP($B213, Result_Database!$A$2:$A$500, Result_Database!N$2:N$500),
  _xlfn.IFNA(_xlpm.result, "")
)</f>
        <v/>
      </c>
      <c r="P213" t="str">
        <f>_xlfn.LET(
  _xlpm.result, _xlfn.XLOOKUP($B213, Result_Database!$A$2:$A$500, Result_Database!O$2:O$500),
  _xlfn.IFNA(_xlpm.result, "")
)</f>
        <v/>
      </c>
      <c r="Q213" t="str">
        <f>_xlfn.LET(
  _xlpm.result, _xlfn.XLOOKUP($B213, Result_Database!$A$2:$A$500, Result_Database!P$2:P$500),
  _xlfn.IFNA(_xlpm.result, "")
)</f>
        <v/>
      </c>
      <c r="R213" t="str">
        <f>_xlfn.LET(
  _xlpm.result, _xlfn.XLOOKUP($B213, Result_Database!$A$2:$A$500, Result_Database!Q$2:Q$500),
  _xlfn.IFNA(_xlpm.result, "")
)</f>
        <v/>
      </c>
      <c r="S213" t="str">
        <f>_xlfn.LET(
  _xlpm.result, _xlfn.XLOOKUP($B213, Result_Database!$A$2:$A$500, Result_Database!R$2:R$500),
  _xlfn.IFNA(_xlpm.result, "")
)</f>
        <v/>
      </c>
      <c r="T213" t="str">
        <f>_xlfn.LET(
  _xlpm.result, _xlfn.XLOOKUP($B213, Result_Database!$A$2:$A$500, Result_Database!S$2:S$500),
  _xlfn.IFNA(_xlpm.result, "")
)</f>
        <v/>
      </c>
      <c r="U213" t="str">
        <f>_xlfn.LET(
  _xlpm.result, _xlfn.XLOOKUP($B213, Result_Database!$A$2:$A$500, Result_Database!T$2:T$500),
  _xlfn.IFNA(_xlpm.result, "")
)</f>
        <v/>
      </c>
      <c r="V213" t="str">
        <f>_xlfn.LET(
  _xlpm.result, _xlfn.XLOOKUP($B213, Result_Database!$A$2:$A$500, Result_Database!U$2:U$500),
  _xlfn.IFNA(_xlpm.result, "")
)</f>
        <v/>
      </c>
      <c r="W213" t="str">
        <f>_xlfn.LET(
  _xlpm.result, _xlfn.XLOOKUP($B213, Result_Database!$A$2:$A$500, Result_Database!V$2:V$500),
  _xlfn.IFNA(_xlpm.result, "")
)</f>
        <v/>
      </c>
      <c r="X213" t="str">
        <f>_xlfn.LET(
  _xlpm.result, _xlfn.XLOOKUP($B213, Result_Database!$A$2:$A$500, Result_Database!W$2:W$500),
  _xlfn.IFNA(_xlpm.result, "")
)</f>
        <v/>
      </c>
      <c r="Y213" t="str">
        <f>_xlfn.LET(
  _xlpm.result, _xlfn.XLOOKUP($B213, Result_Database!$A$2:$A$500, Result_Database!X$2:X$500),
  _xlfn.IFNA(_xlpm.result, "")
)</f>
        <v/>
      </c>
      <c r="Z213" t="str">
        <f>_xlfn.LET(
  _xlpm.result, _xlfn.XLOOKUP($B213, Result_Database!$A$2:$A$500, Result_Database!Y$2:Y$500),
  _xlfn.IFNA(_xlpm.result, "")
)</f>
        <v/>
      </c>
      <c r="AA213" t="str">
        <f>_xlfn.LET(
  _xlpm.result, _xlfn.XLOOKUP($B213, Result_Database!$A$2:$A$500, Result_Database!Z$2:Z$500),
  _xlfn.IFNA(_xlpm.result, "")
)</f>
        <v/>
      </c>
      <c r="AB213" t="str">
        <f>_xlfn.LET(
  _xlpm.result, _xlfn.XLOOKUP($B213, Result_Database!$A$2:$A$500, Result_Database!AA$2:AA$500),
  _xlfn.IFNA(_xlpm.result, "")
)</f>
        <v/>
      </c>
      <c r="AC213" t="str">
        <f>_xlfn.LET(
  _xlpm.result, _xlfn.XLOOKUP($B213, Result_Database!$A$2:$A$500, Result_Database!AB$2:AB$500),
  _xlfn.IFNA(_xlpm.result, "")
)</f>
        <v/>
      </c>
      <c r="AD213" t="str">
        <f>_xlfn.LET(
  _xlpm.result, _xlfn.XLOOKUP($B213, Result_Database!$A$2:$A$500, Result_Database!AC$2:AC$500),
  _xlfn.IFNA(_xlpm.result, "")
)</f>
        <v/>
      </c>
      <c r="AE213" t="str">
        <f>_xlfn.LET(
  _xlpm.result, _xlfn.XLOOKUP($B213, Result_Database!$A$2:$A$500, Result_Database!AD$2:AD$500),
  _xlfn.IFNA(_xlpm.result, "")
)</f>
        <v/>
      </c>
      <c r="AF213" t="str">
        <f>_xlfn.LET(
  _xlpm.result, _xlfn.XLOOKUP($B213, Result_Database!$A$2:$A$500, Result_Database!AE$2:AE$500),
  _xlfn.IFNA(_xlpm.result, "")
)</f>
        <v/>
      </c>
      <c r="AG213" t="str">
        <f>_xlfn.LET(
  _xlpm.result, _xlfn.XLOOKUP($B213, Result_Database!$A$2:$A$500, Result_Database!AF$2:AF$500),
  _xlfn.IFNA(_xlpm.result, "")
)</f>
        <v/>
      </c>
      <c r="AH213" t="str">
        <f>_xlfn.LET(
  _xlpm.result, _xlfn.XLOOKUP($B213, Result_Database!$A$2:$A$500, Result_Database!AG$2:AG$500),
  _xlfn.IFNA(_xlpm.result, "")
)</f>
        <v/>
      </c>
      <c r="AI213" t="str">
        <f>_xlfn.LET(
  _xlpm.result, _xlfn.XLOOKUP($B213, Result_Database!$A$2:$A$500, Result_Database!AH$2:AH$500),
  _xlfn.IFNA(_xlpm.result, "")
)</f>
        <v/>
      </c>
      <c r="AJ213" t="str">
        <f>_xlfn.LET(
  _xlpm.result, _xlfn.XLOOKUP($B213, Result_Database!$A$2:$A$500, Result_Database!AI$2:AI$500),
  _xlfn.IFNA(_xlpm.result, "")
)</f>
        <v/>
      </c>
      <c r="AK213" t="str">
        <f>_xlfn.LET(
  _xlpm.result, _xlfn.XLOOKUP($B213, Result_Database!$A$2:$A$500, Result_Database!AJ$2:AJ$500),
  _xlfn.IFNA(_xlpm.result, "")
)</f>
        <v/>
      </c>
      <c r="AL213" t="str">
        <f>_xlfn.LET(
  _xlpm.result, _xlfn.XLOOKUP($B213, Result_Database!$A$2:$A$500, Result_Database!AK$2:AK$500),
  _xlfn.IFNA(_xlpm.result, "")
)</f>
        <v/>
      </c>
      <c r="AM21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1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1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1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1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1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1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1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1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13" t="str">
        <f>IF(SUM(Table5[[#This Row],[A1]:[C6]])&lt;&gt;0,SUM(Table5[[#This Row],[A1]:[C6]]),"")</f>
        <v/>
      </c>
      <c r="AW213" t="str">
        <f>IF(SUM(Table5[[#This Row],[D7]:[F9]])=0,"",SUM(Table5[[#This Row],[D7]:[F9]]))</f>
        <v/>
      </c>
      <c r="AX21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1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1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1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1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1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13" t="str">
        <f>IF(COUNTIF(Table5[[#This Row],[English Language]:[Electrical/ Electronics]],"WITHHELD")=0,"",COUNTIF(Table5[[#This Row],[English Language]:[Electrical/ Electronics]],"WITHHELD"))</f>
        <v/>
      </c>
      <c r="BE213" t="str">
        <f>IF(SUM(Table5[[#This Row],[NO OF CREDITS]:[BELOW CREDITS]])=0,"",SUM(Table5[[#This Row],[NO OF CREDITS]:[BELOW CREDITS]]))</f>
        <v/>
      </c>
    </row>
    <row r="214" spans="1:57" x14ac:dyDescent="0.3">
      <c r="A214" t="str">
        <f>IF(B214&lt;&gt;"",COUNTA($B$6:B214),"")</f>
        <v/>
      </c>
      <c r="B214" t="str">
        <f>IF(Result_Database!A210="","",Result_Database!A210)</f>
        <v/>
      </c>
      <c r="C214" t="str">
        <f>_xlfn.LET(
_xlpm.result,_xlfn.XLOOKUP($B214,Result_Database!$A$2:$A$500,Result_Database!$B$2:$B$500),
_xlfn.IFNA(_xlpm.result,"")
)</f>
        <v/>
      </c>
      <c r="D214" t="str">
        <f>_xlfn.LET(
  _xlpm.result, _xlfn.XLOOKUP($B214, Result_Database!$A$2:$A$500, Result_Database!C$2:C$500),
  _xlfn.IFNA(_xlpm.result, "")
)</f>
        <v/>
      </c>
      <c r="E214" t="str">
        <f>_xlfn.LET(
  _xlpm.result, _xlfn.XLOOKUP($B214, Result_Database!$A$2:$A$500, Result_Database!D$2:D$500),
  _xlfn.IFNA(_xlpm.result, "")
)</f>
        <v/>
      </c>
      <c r="F214" t="str">
        <f>_xlfn.LET(
  _xlpm.result, _xlfn.XLOOKUP($B214, Result_Database!$A$2:$A$500, Result_Database!E$2:E$500),
  _xlfn.IFNA(_xlpm.result, "")
)</f>
        <v/>
      </c>
      <c r="G214" t="str">
        <f>_xlfn.LET(
  _xlpm.result, _xlfn.XLOOKUP($B214, Result_Database!$A$2:$A$500, Result_Database!F$2:F$500),
  _xlfn.IFNA(_xlpm.result, "")
)</f>
        <v/>
      </c>
      <c r="H214" t="str">
        <f>_xlfn.LET(
  _xlpm.result, _xlfn.XLOOKUP($B214, Result_Database!$A$2:$A$500, Result_Database!G$2:G$500),
  _xlfn.IFNA(_xlpm.result, "")
)</f>
        <v/>
      </c>
      <c r="I214" t="str">
        <f>_xlfn.LET(
  _xlpm.result, _xlfn.XLOOKUP($B214, Result_Database!$A$2:$A$500, Result_Database!H$2:H$500),
  _xlfn.IFNA(_xlpm.result, "")
)</f>
        <v/>
      </c>
      <c r="J214" t="str">
        <f>_xlfn.LET(
  _xlpm.result, _xlfn.XLOOKUP($B214, Result_Database!$A$2:$A$500, Result_Database!I$2:I$500),
  _xlfn.IFNA(_xlpm.result, "")
)</f>
        <v/>
      </c>
      <c r="K214" t="str">
        <f>_xlfn.LET(
  _xlpm.result, _xlfn.XLOOKUP($B214, Result_Database!$A$2:$A$500, Result_Database!J$2:J$500),
  _xlfn.IFNA(_xlpm.result, "")
)</f>
        <v/>
      </c>
      <c r="L214" t="str">
        <f>_xlfn.LET(
  _xlpm.result, _xlfn.XLOOKUP($B214, Result_Database!$A$2:$A$500, Result_Database!K$2:K$500),
  _xlfn.IFNA(_xlpm.result, "")
)</f>
        <v/>
      </c>
      <c r="M214" t="str">
        <f>_xlfn.LET(
  _xlpm.result, _xlfn.XLOOKUP($B214, Result_Database!$A$2:$A$500, Result_Database!L$2:L$500),
  _xlfn.IFNA(_xlpm.result, "")
)</f>
        <v/>
      </c>
      <c r="N214" t="str">
        <f>_xlfn.LET(
  _xlpm.result, _xlfn.XLOOKUP($B214, Result_Database!$A$2:$A$500, Result_Database!M$2:M$500),
  _xlfn.IFNA(_xlpm.result, "")
)</f>
        <v/>
      </c>
      <c r="O214" t="str">
        <f>_xlfn.LET(
  _xlpm.result, _xlfn.XLOOKUP($B214, Result_Database!$A$2:$A$500, Result_Database!N$2:N$500),
  _xlfn.IFNA(_xlpm.result, "")
)</f>
        <v/>
      </c>
      <c r="P214" t="str">
        <f>_xlfn.LET(
  _xlpm.result, _xlfn.XLOOKUP($B214, Result_Database!$A$2:$A$500, Result_Database!O$2:O$500),
  _xlfn.IFNA(_xlpm.result, "")
)</f>
        <v/>
      </c>
      <c r="Q214" t="str">
        <f>_xlfn.LET(
  _xlpm.result, _xlfn.XLOOKUP($B214, Result_Database!$A$2:$A$500, Result_Database!P$2:P$500),
  _xlfn.IFNA(_xlpm.result, "")
)</f>
        <v/>
      </c>
      <c r="R214" t="str">
        <f>_xlfn.LET(
  _xlpm.result, _xlfn.XLOOKUP($B214, Result_Database!$A$2:$A$500, Result_Database!Q$2:Q$500),
  _xlfn.IFNA(_xlpm.result, "")
)</f>
        <v/>
      </c>
      <c r="S214" t="str">
        <f>_xlfn.LET(
  _xlpm.result, _xlfn.XLOOKUP($B214, Result_Database!$A$2:$A$500, Result_Database!R$2:R$500),
  _xlfn.IFNA(_xlpm.result, "")
)</f>
        <v/>
      </c>
      <c r="T214" t="str">
        <f>_xlfn.LET(
  _xlpm.result, _xlfn.XLOOKUP($B214, Result_Database!$A$2:$A$500, Result_Database!S$2:S$500),
  _xlfn.IFNA(_xlpm.result, "")
)</f>
        <v/>
      </c>
      <c r="U214" t="str">
        <f>_xlfn.LET(
  _xlpm.result, _xlfn.XLOOKUP($B214, Result_Database!$A$2:$A$500, Result_Database!T$2:T$500),
  _xlfn.IFNA(_xlpm.result, "")
)</f>
        <v/>
      </c>
      <c r="V214" t="str">
        <f>_xlfn.LET(
  _xlpm.result, _xlfn.XLOOKUP($B214, Result_Database!$A$2:$A$500, Result_Database!U$2:U$500),
  _xlfn.IFNA(_xlpm.result, "")
)</f>
        <v/>
      </c>
      <c r="W214" t="str">
        <f>_xlfn.LET(
  _xlpm.result, _xlfn.XLOOKUP($B214, Result_Database!$A$2:$A$500, Result_Database!V$2:V$500),
  _xlfn.IFNA(_xlpm.result, "")
)</f>
        <v/>
      </c>
      <c r="X214" t="str">
        <f>_xlfn.LET(
  _xlpm.result, _xlfn.XLOOKUP($B214, Result_Database!$A$2:$A$500, Result_Database!W$2:W$500),
  _xlfn.IFNA(_xlpm.result, "")
)</f>
        <v/>
      </c>
      <c r="Y214" t="str">
        <f>_xlfn.LET(
  _xlpm.result, _xlfn.XLOOKUP($B214, Result_Database!$A$2:$A$500, Result_Database!X$2:X$500),
  _xlfn.IFNA(_xlpm.result, "")
)</f>
        <v/>
      </c>
      <c r="Z214" t="str">
        <f>_xlfn.LET(
  _xlpm.result, _xlfn.XLOOKUP($B214, Result_Database!$A$2:$A$500, Result_Database!Y$2:Y$500),
  _xlfn.IFNA(_xlpm.result, "")
)</f>
        <v/>
      </c>
      <c r="AA214" t="str">
        <f>_xlfn.LET(
  _xlpm.result, _xlfn.XLOOKUP($B214, Result_Database!$A$2:$A$500, Result_Database!Z$2:Z$500),
  _xlfn.IFNA(_xlpm.result, "")
)</f>
        <v/>
      </c>
      <c r="AB214" t="str">
        <f>_xlfn.LET(
  _xlpm.result, _xlfn.XLOOKUP($B214, Result_Database!$A$2:$A$500, Result_Database!AA$2:AA$500),
  _xlfn.IFNA(_xlpm.result, "")
)</f>
        <v/>
      </c>
      <c r="AC214" t="str">
        <f>_xlfn.LET(
  _xlpm.result, _xlfn.XLOOKUP($B214, Result_Database!$A$2:$A$500, Result_Database!AB$2:AB$500),
  _xlfn.IFNA(_xlpm.result, "")
)</f>
        <v/>
      </c>
      <c r="AD214" t="str">
        <f>_xlfn.LET(
  _xlpm.result, _xlfn.XLOOKUP($B214, Result_Database!$A$2:$A$500, Result_Database!AC$2:AC$500),
  _xlfn.IFNA(_xlpm.result, "")
)</f>
        <v/>
      </c>
      <c r="AE214" t="str">
        <f>_xlfn.LET(
  _xlpm.result, _xlfn.XLOOKUP($B214, Result_Database!$A$2:$A$500, Result_Database!AD$2:AD$500),
  _xlfn.IFNA(_xlpm.result, "")
)</f>
        <v/>
      </c>
      <c r="AF214" t="str">
        <f>_xlfn.LET(
  _xlpm.result, _xlfn.XLOOKUP($B214, Result_Database!$A$2:$A$500, Result_Database!AE$2:AE$500),
  _xlfn.IFNA(_xlpm.result, "")
)</f>
        <v/>
      </c>
      <c r="AG214" t="str">
        <f>_xlfn.LET(
  _xlpm.result, _xlfn.XLOOKUP($B214, Result_Database!$A$2:$A$500, Result_Database!AF$2:AF$500),
  _xlfn.IFNA(_xlpm.result, "")
)</f>
        <v/>
      </c>
      <c r="AH214" t="str">
        <f>_xlfn.LET(
  _xlpm.result, _xlfn.XLOOKUP($B214, Result_Database!$A$2:$A$500, Result_Database!AG$2:AG$500),
  _xlfn.IFNA(_xlpm.result, "")
)</f>
        <v/>
      </c>
      <c r="AI214" t="str">
        <f>_xlfn.LET(
  _xlpm.result, _xlfn.XLOOKUP($B214, Result_Database!$A$2:$A$500, Result_Database!AH$2:AH$500),
  _xlfn.IFNA(_xlpm.result, "")
)</f>
        <v/>
      </c>
      <c r="AJ214" t="str">
        <f>_xlfn.LET(
  _xlpm.result, _xlfn.XLOOKUP($B214, Result_Database!$A$2:$A$500, Result_Database!AI$2:AI$500),
  _xlfn.IFNA(_xlpm.result, "")
)</f>
        <v/>
      </c>
      <c r="AK214" t="str">
        <f>_xlfn.LET(
  _xlpm.result, _xlfn.XLOOKUP($B214, Result_Database!$A$2:$A$500, Result_Database!AJ$2:AJ$500),
  _xlfn.IFNA(_xlpm.result, "")
)</f>
        <v/>
      </c>
      <c r="AL214" t="str">
        <f>_xlfn.LET(
  _xlpm.result, _xlfn.XLOOKUP($B214, Result_Database!$A$2:$A$500, Result_Database!AK$2:AK$500),
  _xlfn.IFNA(_xlpm.result, "")
)</f>
        <v/>
      </c>
      <c r="AM21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1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1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1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1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1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1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1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1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14" t="str">
        <f>IF(SUM(Table5[[#This Row],[A1]:[C6]])&lt;&gt;0,SUM(Table5[[#This Row],[A1]:[C6]]),"")</f>
        <v/>
      </c>
      <c r="AW214" t="str">
        <f>IF(SUM(Table5[[#This Row],[D7]:[F9]])=0,"",SUM(Table5[[#This Row],[D7]:[F9]]))</f>
        <v/>
      </c>
      <c r="AX21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1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1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1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1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1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14" t="str">
        <f>IF(COUNTIF(Table5[[#This Row],[English Language]:[Electrical/ Electronics]],"WITHHELD")=0,"",COUNTIF(Table5[[#This Row],[English Language]:[Electrical/ Electronics]],"WITHHELD"))</f>
        <v/>
      </c>
      <c r="BE214" t="str">
        <f>IF(SUM(Table5[[#This Row],[NO OF CREDITS]:[BELOW CREDITS]])=0,"",SUM(Table5[[#This Row],[NO OF CREDITS]:[BELOW CREDITS]]))</f>
        <v/>
      </c>
    </row>
    <row r="215" spans="1:57" x14ac:dyDescent="0.3">
      <c r="A215" t="str">
        <f>IF(B215&lt;&gt;"",COUNTA($B$6:B215),"")</f>
        <v/>
      </c>
      <c r="B215" t="str">
        <f>IF(Result_Database!A211="","",Result_Database!A211)</f>
        <v/>
      </c>
      <c r="C215" t="str">
        <f>_xlfn.LET(
_xlpm.result,_xlfn.XLOOKUP($B215,Result_Database!$A$2:$A$500,Result_Database!$B$2:$B$500),
_xlfn.IFNA(_xlpm.result,"")
)</f>
        <v/>
      </c>
      <c r="D215" t="str">
        <f>_xlfn.LET(
  _xlpm.result, _xlfn.XLOOKUP($B215, Result_Database!$A$2:$A$500, Result_Database!C$2:C$500),
  _xlfn.IFNA(_xlpm.result, "")
)</f>
        <v/>
      </c>
      <c r="E215" t="str">
        <f>_xlfn.LET(
  _xlpm.result, _xlfn.XLOOKUP($B215, Result_Database!$A$2:$A$500, Result_Database!D$2:D$500),
  _xlfn.IFNA(_xlpm.result, "")
)</f>
        <v/>
      </c>
      <c r="F215" t="str">
        <f>_xlfn.LET(
  _xlpm.result, _xlfn.XLOOKUP($B215, Result_Database!$A$2:$A$500, Result_Database!E$2:E$500),
  _xlfn.IFNA(_xlpm.result, "")
)</f>
        <v/>
      </c>
      <c r="G215" t="str">
        <f>_xlfn.LET(
  _xlpm.result, _xlfn.XLOOKUP($B215, Result_Database!$A$2:$A$500, Result_Database!F$2:F$500),
  _xlfn.IFNA(_xlpm.result, "")
)</f>
        <v/>
      </c>
      <c r="H215" t="str">
        <f>_xlfn.LET(
  _xlpm.result, _xlfn.XLOOKUP($B215, Result_Database!$A$2:$A$500, Result_Database!G$2:G$500),
  _xlfn.IFNA(_xlpm.result, "")
)</f>
        <v/>
      </c>
      <c r="I215" t="str">
        <f>_xlfn.LET(
  _xlpm.result, _xlfn.XLOOKUP($B215, Result_Database!$A$2:$A$500, Result_Database!H$2:H$500),
  _xlfn.IFNA(_xlpm.result, "")
)</f>
        <v/>
      </c>
      <c r="J215" t="str">
        <f>_xlfn.LET(
  _xlpm.result, _xlfn.XLOOKUP($B215, Result_Database!$A$2:$A$500, Result_Database!I$2:I$500),
  _xlfn.IFNA(_xlpm.result, "")
)</f>
        <v/>
      </c>
      <c r="K215" t="str">
        <f>_xlfn.LET(
  _xlpm.result, _xlfn.XLOOKUP($B215, Result_Database!$A$2:$A$500, Result_Database!J$2:J$500),
  _xlfn.IFNA(_xlpm.result, "")
)</f>
        <v/>
      </c>
      <c r="L215" t="str">
        <f>_xlfn.LET(
  _xlpm.result, _xlfn.XLOOKUP($B215, Result_Database!$A$2:$A$500, Result_Database!K$2:K$500),
  _xlfn.IFNA(_xlpm.result, "")
)</f>
        <v/>
      </c>
      <c r="M215" t="str">
        <f>_xlfn.LET(
  _xlpm.result, _xlfn.XLOOKUP($B215, Result_Database!$A$2:$A$500, Result_Database!L$2:L$500),
  _xlfn.IFNA(_xlpm.result, "")
)</f>
        <v/>
      </c>
      <c r="N215" t="str">
        <f>_xlfn.LET(
  _xlpm.result, _xlfn.XLOOKUP($B215, Result_Database!$A$2:$A$500, Result_Database!M$2:M$500),
  _xlfn.IFNA(_xlpm.result, "")
)</f>
        <v/>
      </c>
      <c r="O215" t="str">
        <f>_xlfn.LET(
  _xlpm.result, _xlfn.XLOOKUP($B215, Result_Database!$A$2:$A$500, Result_Database!N$2:N$500),
  _xlfn.IFNA(_xlpm.result, "")
)</f>
        <v/>
      </c>
      <c r="P215" t="str">
        <f>_xlfn.LET(
  _xlpm.result, _xlfn.XLOOKUP($B215, Result_Database!$A$2:$A$500, Result_Database!O$2:O$500),
  _xlfn.IFNA(_xlpm.result, "")
)</f>
        <v/>
      </c>
      <c r="Q215" t="str">
        <f>_xlfn.LET(
  _xlpm.result, _xlfn.XLOOKUP($B215, Result_Database!$A$2:$A$500, Result_Database!P$2:P$500),
  _xlfn.IFNA(_xlpm.result, "")
)</f>
        <v/>
      </c>
      <c r="R215" t="str">
        <f>_xlfn.LET(
  _xlpm.result, _xlfn.XLOOKUP($B215, Result_Database!$A$2:$A$500, Result_Database!Q$2:Q$500),
  _xlfn.IFNA(_xlpm.result, "")
)</f>
        <v/>
      </c>
      <c r="S215" t="str">
        <f>_xlfn.LET(
  _xlpm.result, _xlfn.XLOOKUP($B215, Result_Database!$A$2:$A$500, Result_Database!R$2:R$500),
  _xlfn.IFNA(_xlpm.result, "")
)</f>
        <v/>
      </c>
      <c r="T215" t="str">
        <f>_xlfn.LET(
  _xlpm.result, _xlfn.XLOOKUP($B215, Result_Database!$A$2:$A$500, Result_Database!S$2:S$500),
  _xlfn.IFNA(_xlpm.result, "")
)</f>
        <v/>
      </c>
      <c r="U215" t="str">
        <f>_xlfn.LET(
  _xlpm.result, _xlfn.XLOOKUP($B215, Result_Database!$A$2:$A$500, Result_Database!T$2:T$500),
  _xlfn.IFNA(_xlpm.result, "")
)</f>
        <v/>
      </c>
      <c r="V215" t="str">
        <f>_xlfn.LET(
  _xlpm.result, _xlfn.XLOOKUP($B215, Result_Database!$A$2:$A$500, Result_Database!U$2:U$500),
  _xlfn.IFNA(_xlpm.result, "")
)</f>
        <v/>
      </c>
      <c r="W215" t="str">
        <f>_xlfn.LET(
  _xlpm.result, _xlfn.XLOOKUP($B215, Result_Database!$A$2:$A$500, Result_Database!V$2:V$500),
  _xlfn.IFNA(_xlpm.result, "")
)</f>
        <v/>
      </c>
      <c r="X215" t="str">
        <f>_xlfn.LET(
  _xlpm.result, _xlfn.XLOOKUP($B215, Result_Database!$A$2:$A$500, Result_Database!W$2:W$500),
  _xlfn.IFNA(_xlpm.result, "")
)</f>
        <v/>
      </c>
      <c r="Y215" t="str">
        <f>_xlfn.LET(
  _xlpm.result, _xlfn.XLOOKUP($B215, Result_Database!$A$2:$A$500, Result_Database!X$2:X$500),
  _xlfn.IFNA(_xlpm.result, "")
)</f>
        <v/>
      </c>
      <c r="Z215" t="str">
        <f>_xlfn.LET(
  _xlpm.result, _xlfn.XLOOKUP($B215, Result_Database!$A$2:$A$500, Result_Database!Y$2:Y$500),
  _xlfn.IFNA(_xlpm.result, "")
)</f>
        <v/>
      </c>
      <c r="AA215" t="str">
        <f>_xlfn.LET(
  _xlpm.result, _xlfn.XLOOKUP($B215, Result_Database!$A$2:$A$500, Result_Database!Z$2:Z$500),
  _xlfn.IFNA(_xlpm.result, "")
)</f>
        <v/>
      </c>
      <c r="AB215" t="str">
        <f>_xlfn.LET(
  _xlpm.result, _xlfn.XLOOKUP($B215, Result_Database!$A$2:$A$500, Result_Database!AA$2:AA$500),
  _xlfn.IFNA(_xlpm.result, "")
)</f>
        <v/>
      </c>
      <c r="AC215" t="str">
        <f>_xlfn.LET(
  _xlpm.result, _xlfn.XLOOKUP($B215, Result_Database!$A$2:$A$500, Result_Database!AB$2:AB$500),
  _xlfn.IFNA(_xlpm.result, "")
)</f>
        <v/>
      </c>
      <c r="AD215" t="str">
        <f>_xlfn.LET(
  _xlpm.result, _xlfn.XLOOKUP($B215, Result_Database!$A$2:$A$500, Result_Database!AC$2:AC$500),
  _xlfn.IFNA(_xlpm.result, "")
)</f>
        <v/>
      </c>
      <c r="AE215" t="str">
        <f>_xlfn.LET(
  _xlpm.result, _xlfn.XLOOKUP($B215, Result_Database!$A$2:$A$500, Result_Database!AD$2:AD$500),
  _xlfn.IFNA(_xlpm.result, "")
)</f>
        <v/>
      </c>
      <c r="AF215" t="str">
        <f>_xlfn.LET(
  _xlpm.result, _xlfn.XLOOKUP($B215, Result_Database!$A$2:$A$500, Result_Database!AE$2:AE$500),
  _xlfn.IFNA(_xlpm.result, "")
)</f>
        <v/>
      </c>
      <c r="AG215" t="str">
        <f>_xlfn.LET(
  _xlpm.result, _xlfn.XLOOKUP($B215, Result_Database!$A$2:$A$500, Result_Database!AF$2:AF$500),
  _xlfn.IFNA(_xlpm.result, "")
)</f>
        <v/>
      </c>
      <c r="AH215" t="str">
        <f>_xlfn.LET(
  _xlpm.result, _xlfn.XLOOKUP($B215, Result_Database!$A$2:$A$500, Result_Database!AG$2:AG$500),
  _xlfn.IFNA(_xlpm.result, "")
)</f>
        <v/>
      </c>
      <c r="AI215" t="str">
        <f>_xlfn.LET(
  _xlpm.result, _xlfn.XLOOKUP($B215, Result_Database!$A$2:$A$500, Result_Database!AH$2:AH$500),
  _xlfn.IFNA(_xlpm.result, "")
)</f>
        <v/>
      </c>
      <c r="AJ215" t="str">
        <f>_xlfn.LET(
  _xlpm.result, _xlfn.XLOOKUP($B215, Result_Database!$A$2:$A$500, Result_Database!AI$2:AI$500),
  _xlfn.IFNA(_xlpm.result, "")
)</f>
        <v/>
      </c>
      <c r="AK215" t="str">
        <f>_xlfn.LET(
  _xlpm.result, _xlfn.XLOOKUP($B215, Result_Database!$A$2:$A$500, Result_Database!AJ$2:AJ$500),
  _xlfn.IFNA(_xlpm.result, "")
)</f>
        <v/>
      </c>
      <c r="AL215" t="str">
        <f>_xlfn.LET(
  _xlpm.result, _xlfn.XLOOKUP($B215, Result_Database!$A$2:$A$500, Result_Database!AK$2:AK$500),
  _xlfn.IFNA(_xlpm.result, "")
)</f>
        <v/>
      </c>
      <c r="AM21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1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1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1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1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1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1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1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1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15" t="str">
        <f>IF(SUM(Table5[[#This Row],[A1]:[C6]])&lt;&gt;0,SUM(Table5[[#This Row],[A1]:[C6]]),"")</f>
        <v/>
      </c>
      <c r="AW215" t="str">
        <f>IF(SUM(Table5[[#This Row],[D7]:[F9]])=0,"",SUM(Table5[[#This Row],[D7]:[F9]]))</f>
        <v/>
      </c>
      <c r="AX21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1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1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1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1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1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15" t="str">
        <f>IF(COUNTIF(Table5[[#This Row],[English Language]:[Electrical/ Electronics]],"WITHHELD")=0,"",COUNTIF(Table5[[#This Row],[English Language]:[Electrical/ Electronics]],"WITHHELD"))</f>
        <v/>
      </c>
      <c r="BE215" t="str">
        <f>IF(SUM(Table5[[#This Row],[NO OF CREDITS]:[BELOW CREDITS]])=0,"",SUM(Table5[[#This Row],[NO OF CREDITS]:[BELOW CREDITS]]))</f>
        <v/>
      </c>
    </row>
    <row r="216" spans="1:57" x14ac:dyDescent="0.3">
      <c r="A216" t="str">
        <f>IF(B216&lt;&gt;"",COUNTA($B$6:B216),"")</f>
        <v/>
      </c>
      <c r="B216" t="str">
        <f>IF(Result_Database!A212="","",Result_Database!A212)</f>
        <v/>
      </c>
      <c r="C216" t="str">
        <f>_xlfn.LET(
_xlpm.result,_xlfn.XLOOKUP($B216,Result_Database!$A$2:$A$500,Result_Database!$B$2:$B$500),
_xlfn.IFNA(_xlpm.result,"")
)</f>
        <v/>
      </c>
      <c r="D216" t="str">
        <f>_xlfn.LET(
  _xlpm.result, _xlfn.XLOOKUP($B216, Result_Database!$A$2:$A$500, Result_Database!C$2:C$500),
  _xlfn.IFNA(_xlpm.result, "")
)</f>
        <v/>
      </c>
      <c r="E216" t="str">
        <f>_xlfn.LET(
  _xlpm.result, _xlfn.XLOOKUP($B216, Result_Database!$A$2:$A$500, Result_Database!D$2:D$500),
  _xlfn.IFNA(_xlpm.result, "")
)</f>
        <v/>
      </c>
      <c r="F216" t="str">
        <f>_xlfn.LET(
  _xlpm.result, _xlfn.XLOOKUP($B216, Result_Database!$A$2:$A$500, Result_Database!E$2:E$500),
  _xlfn.IFNA(_xlpm.result, "")
)</f>
        <v/>
      </c>
      <c r="G216" t="str">
        <f>_xlfn.LET(
  _xlpm.result, _xlfn.XLOOKUP($B216, Result_Database!$A$2:$A$500, Result_Database!F$2:F$500),
  _xlfn.IFNA(_xlpm.result, "")
)</f>
        <v/>
      </c>
      <c r="H216" t="str">
        <f>_xlfn.LET(
  _xlpm.result, _xlfn.XLOOKUP($B216, Result_Database!$A$2:$A$500, Result_Database!G$2:G$500),
  _xlfn.IFNA(_xlpm.result, "")
)</f>
        <v/>
      </c>
      <c r="I216" t="str">
        <f>_xlfn.LET(
  _xlpm.result, _xlfn.XLOOKUP($B216, Result_Database!$A$2:$A$500, Result_Database!H$2:H$500),
  _xlfn.IFNA(_xlpm.result, "")
)</f>
        <v/>
      </c>
      <c r="J216" t="str">
        <f>_xlfn.LET(
  _xlpm.result, _xlfn.XLOOKUP($B216, Result_Database!$A$2:$A$500, Result_Database!I$2:I$500),
  _xlfn.IFNA(_xlpm.result, "")
)</f>
        <v/>
      </c>
      <c r="K216" t="str">
        <f>_xlfn.LET(
  _xlpm.result, _xlfn.XLOOKUP($B216, Result_Database!$A$2:$A$500, Result_Database!J$2:J$500),
  _xlfn.IFNA(_xlpm.result, "")
)</f>
        <v/>
      </c>
      <c r="L216" t="str">
        <f>_xlfn.LET(
  _xlpm.result, _xlfn.XLOOKUP($B216, Result_Database!$A$2:$A$500, Result_Database!K$2:K$500),
  _xlfn.IFNA(_xlpm.result, "")
)</f>
        <v/>
      </c>
      <c r="M216" t="str">
        <f>_xlfn.LET(
  _xlpm.result, _xlfn.XLOOKUP($B216, Result_Database!$A$2:$A$500, Result_Database!L$2:L$500),
  _xlfn.IFNA(_xlpm.result, "")
)</f>
        <v/>
      </c>
      <c r="N216" t="str">
        <f>_xlfn.LET(
  _xlpm.result, _xlfn.XLOOKUP($B216, Result_Database!$A$2:$A$500, Result_Database!M$2:M$500),
  _xlfn.IFNA(_xlpm.result, "")
)</f>
        <v/>
      </c>
      <c r="O216" t="str">
        <f>_xlfn.LET(
  _xlpm.result, _xlfn.XLOOKUP($B216, Result_Database!$A$2:$A$500, Result_Database!N$2:N$500),
  _xlfn.IFNA(_xlpm.result, "")
)</f>
        <v/>
      </c>
      <c r="P216" t="str">
        <f>_xlfn.LET(
  _xlpm.result, _xlfn.XLOOKUP($B216, Result_Database!$A$2:$A$500, Result_Database!O$2:O$500),
  _xlfn.IFNA(_xlpm.result, "")
)</f>
        <v/>
      </c>
      <c r="Q216" t="str">
        <f>_xlfn.LET(
  _xlpm.result, _xlfn.XLOOKUP($B216, Result_Database!$A$2:$A$500, Result_Database!P$2:P$500),
  _xlfn.IFNA(_xlpm.result, "")
)</f>
        <v/>
      </c>
      <c r="R216" t="str">
        <f>_xlfn.LET(
  _xlpm.result, _xlfn.XLOOKUP($B216, Result_Database!$A$2:$A$500, Result_Database!Q$2:Q$500),
  _xlfn.IFNA(_xlpm.result, "")
)</f>
        <v/>
      </c>
      <c r="S216" t="str">
        <f>_xlfn.LET(
  _xlpm.result, _xlfn.XLOOKUP($B216, Result_Database!$A$2:$A$500, Result_Database!R$2:R$500),
  _xlfn.IFNA(_xlpm.result, "")
)</f>
        <v/>
      </c>
      <c r="T216" t="str">
        <f>_xlfn.LET(
  _xlpm.result, _xlfn.XLOOKUP($B216, Result_Database!$A$2:$A$500, Result_Database!S$2:S$500),
  _xlfn.IFNA(_xlpm.result, "")
)</f>
        <v/>
      </c>
      <c r="U216" t="str">
        <f>_xlfn.LET(
  _xlpm.result, _xlfn.XLOOKUP($B216, Result_Database!$A$2:$A$500, Result_Database!T$2:T$500),
  _xlfn.IFNA(_xlpm.result, "")
)</f>
        <v/>
      </c>
      <c r="V216" t="str">
        <f>_xlfn.LET(
  _xlpm.result, _xlfn.XLOOKUP($B216, Result_Database!$A$2:$A$500, Result_Database!U$2:U$500),
  _xlfn.IFNA(_xlpm.result, "")
)</f>
        <v/>
      </c>
      <c r="W216" t="str">
        <f>_xlfn.LET(
  _xlpm.result, _xlfn.XLOOKUP($B216, Result_Database!$A$2:$A$500, Result_Database!V$2:V$500),
  _xlfn.IFNA(_xlpm.result, "")
)</f>
        <v/>
      </c>
      <c r="X216" t="str">
        <f>_xlfn.LET(
  _xlpm.result, _xlfn.XLOOKUP($B216, Result_Database!$A$2:$A$500, Result_Database!W$2:W$500),
  _xlfn.IFNA(_xlpm.result, "")
)</f>
        <v/>
      </c>
      <c r="Y216" t="str">
        <f>_xlfn.LET(
  _xlpm.result, _xlfn.XLOOKUP($B216, Result_Database!$A$2:$A$500, Result_Database!X$2:X$500),
  _xlfn.IFNA(_xlpm.result, "")
)</f>
        <v/>
      </c>
      <c r="Z216" t="str">
        <f>_xlfn.LET(
  _xlpm.result, _xlfn.XLOOKUP($B216, Result_Database!$A$2:$A$500, Result_Database!Y$2:Y$500),
  _xlfn.IFNA(_xlpm.result, "")
)</f>
        <v/>
      </c>
      <c r="AA216" t="str">
        <f>_xlfn.LET(
  _xlpm.result, _xlfn.XLOOKUP($B216, Result_Database!$A$2:$A$500, Result_Database!Z$2:Z$500),
  _xlfn.IFNA(_xlpm.result, "")
)</f>
        <v/>
      </c>
      <c r="AB216" t="str">
        <f>_xlfn.LET(
  _xlpm.result, _xlfn.XLOOKUP($B216, Result_Database!$A$2:$A$500, Result_Database!AA$2:AA$500),
  _xlfn.IFNA(_xlpm.result, "")
)</f>
        <v/>
      </c>
      <c r="AC216" t="str">
        <f>_xlfn.LET(
  _xlpm.result, _xlfn.XLOOKUP($B216, Result_Database!$A$2:$A$500, Result_Database!AB$2:AB$500),
  _xlfn.IFNA(_xlpm.result, "")
)</f>
        <v/>
      </c>
      <c r="AD216" t="str">
        <f>_xlfn.LET(
  _xlpm.result, _xlfn.XLOOKUP($B216, Result_Database!$A$2:$A$500, Result_Database!AC$2:AC$500),
  _xlfn.IFNA(_xlpm.result, "")
)</f>
        <v/>
      </c>
      <c r="AE216" t="str">
        <f>_xlfn.LET(
  _xlpm.result, _xlfn.XLOOKUP($B216, Result_Database!$A$2:$A$500, Result_Database!AD$2:AD$500),
  _xlfn.IFNA(_xlpm.result, "")
)</f>
        <v/>
      </c>
      <c r="AF216" t="str">
        <f>_xlfn.LET(
  _xlpm.result, _xlfn.XLOOKUP($B216, Result_Database!$A$2:$A$500, Result_Database!AE$2:AE$500),
  _xlfn.IFNA(_xlpm.result, "")
)</f>
        <v/>
      </c>
      <c r="AG216" t="str">
        <f>_xlfn.LET(
  _xlpm.result, _xlfn.XLOOKUP($B216, Result_Database!$A$2:$A$500, Result_Database!AF$2:AF$500),
  _xlfn.IFNA(_xlpm.result, "")
)</f>
        <v/>
      </c>
      <c r="AH216" t="str">
        <f>_xlfn.LET(
  _xlpm.result, _xlfn.XLOOKUP($B216, Result_Database!$A$2:$A$500, Result_Database!AG$2:AG$500),
  _xlfn.IFNA(_xlpm.result, "")
)</f>
        <v/>
      </c>
      <c r="AI216" t="str">
        <f>_xlfn.LET(
  _xlpm.result, _xlfn.XLOOKUP($B216, Result_Database!$A$2:$A$500, Result_Database!AH$2:AH$500),
  _xlfn.IFNA(_xlpm.result, "")
)</f>
        <v/>
      </c>
      <c r="AJ216" t="str">
        <f>_xlfn.LET(
  _xlpm.result, _xlfn.XLOOKUP($B216, Result_Database!$A$2:$A$500, Result_Database!AI$2:AI$500),
  _xlfn.IFNA(_xlpm.result, "")
)</f>
        <v/>
      </c>
      <c r="AK216" t="str">
        <f>_xlfn.LET(
  _xlpm.result, _xlfn.XLOOKUP($B216, Result_Database!$A$2:$A$500, Result_Database!AJ$2:AJ$500),
  _xlfn.IFNA(_xlpm.result, "")
)</f>
        <v/>
      </c>
      <c r="AL216" t="str">
        <f>_xlfn.LET(
  _xlpm.result, _xlfn.XLOOKUP($B216, Result_Database!$A$2:$A$500, Result_Database!AK$2:AK$500),
  _xlfn.IFNA(_xlpm.result, "")
)</f>
        <v/>
      </c>
      <c r="AM21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1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1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1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1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1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1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1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1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16" t="str">
        <f>IF(SUM(Table5[[#This Row],[A1]:[C6]])&lt;&gt;0,SUM(Table5[[#This Row],[A1]:[C6]]),"")</f>
        <v/>
      </c>
      <c r="AW216" t="str">
        <f>IF(SUM(Table5[[#This Row],[D7]:[F9]])=0,"",SUM(Table5[[#This Row],[D7]:[F9]]))</f>
        <v/>
      </c>
      <c r="AX21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1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1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1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1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1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16" t="str">
        <f>IF(COUNTIF(Table5[[#This Row],[English Language]:[Electrical/ Electronics]],"WITHHELD")=0,"",COUNTIF(Table5[[#This Row],[English Language]:[Electrical/ Electronics]],"WITHHELD"))</f>
        <v/>
      </c>
      <c r="BE216" t="str">
        <f>IF(SUM(Table5[[#This Row],[NO OF CREDITS]:[BELOW CREDITS]])=0,"",SUM(Table5[[#This Row],[NO OF CREDITS]:[BELOW CREDITS]]))</f>
        <v/>
      </c>
    </row>
    <row r="217" spans="1:57" x14ac:dyDescent="0.3">
      <c r="A217" t="str">
        <f>IF(B217&lt;&gt;"",COUNTA($B$6:B217),"")</f>
        <v/>
      </c>
      <c r="B217" t="str">
        <f>IF(Result_Database!A213="","",Result_Database!A213)</f>
        <v/>
      </c>
      <c r="C217" t="str">
        <f>_xlfn.LET(
_xlpm.result,_xlfn.XLOOKUP($B217,Result_Database!$A$2:$A$500,Result_Database!$B$2:$B$500),
_xlfn.IFNA(_xlpm.result,"")
)</f>
        <v/>
      </c>
      <c r="D217" t="str">
        <f>_xlfn.LET(
  _xlpm.result, _xlfn.XLOOKUP($B217, Result_Database!$A$2:$A$500, Result_Database!C$2:C$500),
  _xlfn.IFNA(_xlpm.result, "")
)</f>
        <v/>
      </c>
      <c r="E217" t="str">
        <f>_xlfn.LET(
  _xlpm.result, _xlfn.XLOOKUP($B217, Result_Database!$A$2:$A$500, Result_Database!D$2:D$500),
  _xlfn.IFNA(_xlpm.result, "")
)</f>
        <v/>
      </c>
      <c r="F217" t="str">
        <f>_xlfn.LET(
  _xlpm.result, _xlfn.XLOOKUP($B217, Result_Database!$A$2:$A$500, Result_Database!E$2:E$500),
  _xlfn.IFNA(_xlpm.result, "")
)</f>
        <v/>
      </c>
      <c r="G217" t="str">
        <f>_xlfn.LET(
  _xlpm.result, _xlfn.XLOOKUP($B217, Result_Database!$A$2:$A$500, Result_Database!F$2:F$500),
  _xlfn.IFNA(_xlpm.result, "")
)</f>
        <v/>
      </c>
      <c r="H217" t="str">
        <f>_xlfn.LET(
  _xlpm.result, _xlfn.XLOOKUP($B217, Result_Database!$A$2:$A$500, Result_Database!G$2:G$500),
  _xlfn.IFNA(_xlpm.result, "")
)</f>
        <v/>
      </c>
      <c r="I217" t="str">
        <f>_xlfn.LET(
  _xlpm.result, _xlfn.XLOOKUP($B217, Result_Database!$A$2:$A$500, Result_Database!H$2:H$500),
  _xlfn.IFNA(_xlpm.result, "")
)</f>
        <v/>
      </c>
      <c r="J217" t="str">
        <f>_xlfn.LET(
  _xlpm.result, _xlfn.XLOOKUP($B217, Result_Database!$A$2:$A$500, Result_Database!I$2:I$500),
  _xlfn.IFNA(_xlpm.result, "")
)</f>
        <v/>
      </c>
      <c r="K217" t="str">
        <f>_xlfn.LET(
  _xlpm.result, _xlfn.XLOOKUP($B217, Result_Database!$A$2:$A$500, Result_Database!J$2:J$500),
  _xlfn.IFNA(_xlpm.result, "")
)</f>
        <v/>
      </c>
      <c r="L217" t="str">
        <f>_xlfn.LET(
  _xlpm.result, _xlfn.XLOOKUP($B217, Result_Database!$A$2:$A$500, Result_Database!K$2:K$500),
  _xlfn.IFNA(_xlpm.result, "")
)</f>
        <v/>
      </c>
      <c r="M217" t="str">
        <f>_xlfn.LET(
  _xlpm.result, _xlfn.XLOOKUP($B217, Result_Database!$A$2:$A$500, Result_Database!L$2:L$500),
  _xlfn.IFNA(_xlpm.result, "")
)</f>
        <v/>
      </c>
      <c r="N217" t="str">
        <f>_xlfn.LET(
  _xlpm.result, _xlfn.XLOOKUP($B217, Result_Database!$A$2:$A$500, Result_Database!M$2:M$500),
  _xlfn.IFNA(_xlpm.result, "")
)</f>
        <v/>
      </c>
      <c r="O217" t="str">
        <f>_xlfn.LET(
  _xlpm.result, _xlfn.XLOOKUP($B217, Result_Database!$A$2:$A$500, Result_Database!N$2:N$500),
  _xlfn.IFNA(_xlpm.result, "")
)</f>
        <v/>
      </c>
      <c r="P217" t="str">
        <f>_xlfn.LET(
  _xlpm.result, _xlfn.XLOOKUP($B217, Result_Database!$A$2:$A$500, Result_Database!O$2:O$500),
  _xlfn.IFNA(_xlpm.result, "")
)</f>
        <v/>
      </c>
      <c r="Q217" t="str">
        <f>_xlfn.LET(
  _xlpm.result, _xlfn.XLOOKUP($B217, Result_Database!$A$2:$A$500, Result_Database!P$2:P$500),
  _xlfn.IFNA(_xlpm.result, "")
)</f>
        <v/>
      </c>
      <c r="R217" t="str">
        <f>_xlfn.LET(
  _xlpm.result, _xlfn.XLOOKUP($B217, Result_Database!$A$2:$A$500, Result_Database!Q$2:Q$500),
  _xlfn.IFNA(_xlpm.result, "")
)</f>
        <v/>
      </c>
      <c r="S217" t="str">
        <f>_xlfn.LET(
  _xlpm.result, _xlfn.XLOOKUP($B217, Result_Database!$A$2:$A$500, Result_Database!R$2:R$500),
  _xlfn.IFNA(_xlpm.result, "")
)</f>
        <v/>
      </c>
      <c r="T217" t="str">
        <f>_xlfn.LET(
  _xlpm.result, _xlfn.XLOOKUP($B217, Result_Database!$A$2:$A$500, Result_Database!S$2:S$500),
  _xlfn.IFNA(_xlpm.result, "")
)</f>
        <v/>
      </c>
      <c r="U217" t="str">
        <f>_xlfn.LET(
  _xlpm.result, _xlfn.XLOOKUP($B217, Result_Database!$A$2:$A$500, Result_Database!T$2:T$500),
  _xlfn.IFNA(_xlpm.result, "")
)</f>
        <v/>
      </c>
      <c r="V217" t="str">
        <f>_xlfn.LET(
  _xlpm.result, _xlfn.XLOOKUP($B217, Result_Database!$A$2:$A$500, Result_Database!U$2:U$500),
  _xlfn.IFNA(_xlpm.result, "")
)</f>
        <v/>
      </c>
      <c r="W217" t="str">
        <f>_xlfn.LET(
  _xlpm.result, _xlfn.XLOOKUP($B217, Result_Database!$A$2:$A$500, Result_Database!V$2:V$500),
  _xlfn.IFNA(_xlpm.result, "")
)</f>
        <v/>
      </c>
      <c r="X217" t="str">
        <f>_xlfn.LET(
  _xlpm.result, _xlfn.XLOOKUP($B217, Result_Database!$A$2:$A$500, Result_Database!W$2:W$500),
  _xlfn.IFNA(_xlpm.result, "")
)</f>
        <v/>
      </c>
      <c r="Y217" t="str">
        <f>_xlfn.LET(
  _xlpm.result, _xlfn.XLOOKUP($B217, Result_Database!$A$2:$A$500, Result_Database!X$2:X$500),
  _xlfn.IFNA(_xlpm.result, "")
)</f>
        <v/>
      </c>
      <c r="Z217" t="str">
        <f>_xlfn.LET(
  _xlpm.result, _xlfn.XLOOKUP($B217, Result_Database!$A$2:$A$500, Result_Database!Y$2:Y$500),
  _xlfn.IFNA(_xlpm.result, "")
)</f>
        <v/>
      </c>
      <c r="AA217" t="str">
        <f>_xlfn.LET(
  _xlpm.result, _xlfn.XLOOKUP($B217, Result_Database!$A$2:$A$500, Result_Database!Z$2:Z$500),
  _xlfn.IFNA(_xlpm.result, "")
)</f>
        <v/>
      </c>
      <c r="AB217" t="str">
        <f>_xlfn.LET(
  _xlpm.result, _xlfn.XLOOKUP($B217, Result_Database!$A$2:$A$500, Result_Database!AA$2:AA$500),
  _xlfn.IFNA(_xlpm.result, "")
)</f>
        <v/>
      </c>
      <c r="AC217" t="str">
        <f>_xlfn.LET(
  _xlpm.result, _xlfn.XLOOKUP($B217, Result_Database!$A$2:$A$500, Result_Database!AB$2:AB$500),
  _xlfn.IFNA(_xlpm.result, "")
)</f>
        <v/>
      </c>
      <c r="AD217" t="str">
        <f>_xlfn.LET(
  _xlpm.result, _xlfn.XLOOKUP($B217, Result_Database!$A$2:$A$500, Result_Database!AC$2:AC$500),
  _xlfn.IFNA(_xlpm.result, "")
)</f>
        <v/>
      </c>
      <c r="AE217" t="str">
        <f>_xlfn.LET(
  _xlpm.result, _xlfn.XLOOKUP($B217, Result_Database!$A$2:$A$500, Result_Database!AD$2:AD$500),
  _xlfn.IFNA(_xlpm.result, "")
)</f>
        <v/>
      </c>
      <c r="AF217" t="str">
        <f>_xlfn.LET(
  _xlpm.result, _xlfn.XLOOKUP($B217, Result_Database!$A$2:$A$500, Result_Database!AE$2:AE$500),
  _xlfn.IFNA(_xlpm.result, "")
)</f>
        <v/>
      </c>
      <c r="AG217" t="str">
        <f>_xlfn.LET(
  _xlpm.result, _xlfn.XLOOKUP($B217, Result_Database!$A$2:$A$500, Result_Database!AF$2:AF$500),
  _xlfn.IFNA(_xlpm.result, "")
)</f>
        <v/>
      </c>
      <c r="AH217" t="str">
        <f>_xlfn.LET(
  _xlpm.result, _xlfn.XLOOKUP($B217, Result_Database!$A$2:$A$500, Result_Database!AG$2:AG$500),
  _xlfn.IFNA(_xlpm.result, "")
)</f>
        <v/>
      </c>
      <c r="AI217" t="str">
        <f>_xlfn.LET(
  _xlpm.result, _xlfn.XLOOKUP($B217, Result_Database!$A$2:$A$500, Result_Database!AH$2:AH$500),
  _xlfn.IFNA(_xlpm.result, "")
)</f>
        <v/>
      </c>
      <c r="AJ217" t="str">
        <f>_xlfn.LET(
  _xlpm.result, _xlfn.XLOOKUP($B217, Result_Database!$A$2:$A$500, Result_Database!AI$2:AI$500),
  _xlfn.IFNA(_xlpm.result, "")
)</f>
        <v/>
      </c>
      <c r="AK217" t="str">
        <f>_xlfn.LET(
  _xlpm.result, _xlfn.XLOOKUP($B217, Result_Database!$A$2:$A$500, Result_Database!AJ$2:AJ$500),
  _xlfn.IFNA(_xlpm.result, "")
)</f>
        <v/>
      </c>
      <c r="AL217" t="str">
        <f>_xlfn.LET(
  _xlpm.result, _xlfn.XLOOKUP($B217, Result_Database!$A$2:$A$500, Result_Database!AK$2:AK$500),
  _xlfn.IFNA(_xlpm.result, "")
)</f>
        <v/>
      </c>
      <c r="AM21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1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1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1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1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1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1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1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1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17" t="str">
        <f>IF(SUM(Table5[[#This Row],[A1]:[C6]])&lt;&gt;0,SUM(Table5[[#This Row],[A1]:[C6]]),"")</f>
        <v/>
      </c>
      <c r="AW217" t="str">
        <f>IF(SUM(Table5[[#This Row],[D7]:[F9]])=0,"",SUM(Table5[[#This Row],[D7]:[F9]]))</f>
        <v/>
      </c>
      <c r="AX21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1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1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1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1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1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17" t="str">
        <f>IF(COUNTIF(Table5[[#This Row],[English Language]:[Electrical/ Electronics]],"WITHHELD")=0,"",COUNTIF(Table5[[#This Row],[English Language]:[Electrical/ Electronics]],"WITHHELD"))</f>
        <v/>
      </c>
      <c r="BE217" t="str">
        <f>IF(SUM(Table5[[#This Row],[NO OF CREDITS]:[BELOW CREDITS]])=0,"",SUM(Table5[[#This Row],[NO OF CREDITS]:[BELOW CREDITS]]))</f>
        <v/>
      </c>
    </row>
    <row r="218" spans="1:57" x14ac:dyDescent="0.3">
      <c r="A218" t="str">
        <f>IF(B218&lt;&gt;"",COUNTA($B$6:B218),"")</f>
        <v/>
      </c>
      <c r="B218" t="str">
        <f>IF(Result_Database!A214="","",Result_Database!A214)</f>
        <v/>
      </c>
      <c r="C218" t="str">
        <f>_xlfn.LET(
_xlpm.result,_xlfn.XLOOKUP($B218,Result_Database!$A$2:$A$500,Result_Database!$B$2:$B$500),
_xlfn.IFNA(_xlpm.result,"")
)</f>
        <v/>
      </c>
      <c r="D218" t="str">
        <f>_xlfn.LET(
  _xlpm.result, _xlfn.XLOOKUP($B218, Result_Database!$A$2:$A$500, Result_Database!C$2:C$500),
  _xlfn.IFNA(_xlpm.result, "")
)</f>
        <v/>
      </c>
      <c r="E218" t="str">
        <f>_xlfn.LET(
  _xlpm.result, _xlfn.XLOOKUP($B218, Result_Database!$A$2:$A$500, Result_Database!D$2:D$500),
  _xlfn.IFNA(_xlpm.result, "")
)</f>
        <v/>
      </c>
      <c r="F218" t="str">
        <f>_xlfn.LET(
  _xlpm.result, _xlfn.XLOOKUP($B218, Result_Database!$A$2:$A$500, Result_Database!E$2:E$500),
  _xlfn.IFNA(_xlpm.result, "")
)</f>
        <v/>
      </c>
      <c r="G218" t="str">
        <f>_xlfn.LET(
  _xlpm.result, _xlfn.XLOOKUP($B218, Result_Database!$A$2:$A$500, Result_Database!F$2:F$500),
  _xlfn.IFNA(_xlpm.result, "")
)</f>
        <v/>
      </c>
      <c r="H218" t="str">
        <f>_xlfn.LET(
  _xlpm.result, _xlfn.XLOOKUP($B218, Result_Database!$A$2:$A$500, Result_Database!G$2:G$500),
  _xlfn.IFNA(_xlpm.result, "")
)</f>
        <v/>
      </c>
      <c r="I218" t="str">
        <f>_xlfn.LET(
  _xlpm.result, _xlfn.XLOOKUP($B218, Result_Database!$A$2:$A$500, Result_Database!H$2:H$500),
  _xlfn.IFNA(_xlpm.result, "")
)</f>
        <v/>
      </c>
      <c r="J218" t="str">
        <f>_xlfn.LET(
  _xlpm.result, _xlfn.XLOOKUP($B218, Result_Database!$A$2:$A$500, Result_Database!I$2:I$500),
  _xlfn.IFNA(_xlpm.result, "")
)</f>
        <v/>
      </c>
      <c r="K218" t="str">
        <f>_xlfn.LET(
  _xlpm.result, _xlfn.XLOOKUP($B218, Result_Database!$A$2:$A$500, Result_Database!J$2:J$500),
  _xlfn.IFNA(_xlpm.result, "")
)</f>
        <v/>
      </c>
      <c r="L218" t="str">
        <f>_xlfn.LET(
  _xlpm.result, _xlfn.XLOOKUP($B218, Result_Database!$A$2:$A$500, Result_Database!K$2:K$500),
  _xlfn.IFNA(_xlpm.result, "")
)</f>
        <v/>
      </c>
      <c r="M218" t="str">
        <f>_xlfn.LET(
  _xlpm.result, _xlfn.XLOOKUP($B218, Result_Database!$A$2:$A$500, Result_Database!L$2:L$500),
  _xlfn.IFNA(_xlpm.result, "")
)</f>
        <v/>
      </c>
      <c r="N218" t="str">
        <f>_xlfn.LET(
  _xlpm.result, _xlfn.XLOOKUP($B218, Result_Database!$A$2:$A$500, Result_Database!M$2:M$500),
  _xlfn.IFNA(_xlpm.result, "")
)</f>
        <v/>
      </c>
      <c r="O218" t="str">
        <f>_xlfn.LET(
  _xlpm.result, _xlfn.XLOOKUP($B218, Result_Database!$A$2:$A$500, Result_Database!N$2:N$500),
  _xlfn.IFNA(_xlpm.result, "")
)</f>
        <v/>
      </c>
      <c r="P218" t="str">
        <f>_xlfn.LET(
  _xlpm.result, _xlfn.XLOOKUP($B218, Result_Database!$A$2:$A$500, Result_Database!O$2:O$500),
  _xlfn.IFNA(_xlpm.result, "")
)</f>
        <v/>
      </c>
      <c r="Q218" t="str">
        <f>_xlfn.LET(
  _xlpm.result, _xlfn.XLOOKUP($B218, Result_Database!$A$2:$A$500, Result_Database!P$2:P$500),
  _xlfn.IFNA(_xlpm.result, "")
)</f>
        <v/>
      </c>
      <c r="R218" t="str">
        <f>_xlfn.LET(
  _xlpm.result, _xlfn.XLOOKUP($B218, Result_Database!$A$2:$A$500, Result_Database!Q$2:Q$500),
  _xlfn.IFNA(_xlpm.result, "")
)</f>
        <v/>
      </c>
      <c r="S218" t="str">
        <f>_xlfn.LET(
  _xlpm.result, _xlfn.XLOOKUP($B218, Result_Database!$A$2:$A$500, Result_Database!R$2:R$500),
  _xlfn.IFNA(_xlpm.result, "")
)</f>
        <v/>
      </c>
      <c r="T218" t="str">
        <f>_xlfn.LET(
  _xlpm.result, _xlfn.XLOOKUP($B218, Result_Database!$A$2:$A$500, Result_Database!S$2:S$500),
  _xlfn.IFNA(_xlpm.result, "")
)</f>
        <v/>
      </c>
      <c r="U218" t="str">
        <f>_xlfn.LET(
  _xlpm.result, _xlfn.XLOOKUP($B218, Result_Database!$A$2:$A$500, Result_Database!T$2:T$500),
  _xlfn.IFNA(_xlpm.result, "")
)</f>
        <v/>
      </c>
      <c r="V218" t="str">
        <f>_xlfn.LET(
  _xlpm.result, _xlfn.XLOOKUP($B218, Result_Database!$A$2:$A$500, Result_Database!U$2:U$500),
  _xlfn.IFNA(_xlpm.result, "")
)</f>
        <v/>
      </c>
      <c r="W218" t="str">
        <f>_xlfn.LET(
  _xlpm.result, _xlfn.XLOOKUP($B218, Result_Database!$A$2:$A$500, Result_Database!V$2:V$500),
  _xlfn.IFNA(_xlpm.result, "")
)</f>
        <v/>
      </c>
      <c r="X218" t="str">
        <f>_xlfn.LET(
  _xlpm.result, _xlfn.XLOOKUP($B218, Result_Database!$A$2:$A$500, Result_Database!W$2:W$500),
  _xlfn.IFNA(_xlpm.result, "")
)</f>
        <v/>
      </c>
      <c r="Y218" t="str">
        <f>_xlfn.LET(
  _xlpm.result, _xlfn.XLOOKUP($B218, Result_Database!$A$2:$A$500, Result_Database!X$2:X$500),
  _xlfn.IFNA(_xlpm.result, "")
)</f>
        <v/>
      </c>
      <c r="Z218" t="str">
        <f>_xlfn.LET(
  _xlpm.result, _xlfn.XLOOKUP($B218, Result_Database!$A$2:$A$500, Result_Database!Y$2:Y$500),
  _xlfn.IFNA(_xlpm.result, "")
)</f>
        <v/>
      </c>
      <c r="AA218" t="str">
        <f>_xlfn.LET(
  _xlpm.result, _xlfn.XLOOKUP($B218, Result_Database!$A$2:$A$500, Result_Database!Z$2:Z$500),
  _xlfn.IFNA(_xlpm.result, "")
)</f>
        <v/>
      </c>
      <c r="AB218" t="str">
        <f>_xlfn.LET(
  _xlpm.result, _xlfn.XLOOKUP($B218, Result_Database!$A$2:$A$500, Result_Database!AA$2:AA$500),
  _xlfn.IFNA(_xlpm.result, "")
)</f>
        <v/>
      </c>
      <c r="AC218" t="str">
        <f>_xlfn.LET(
  _xlpm.result, _xlfn.XLOOKUP($B218, Result_Database!$A$2:$A$500, Result_Database!AB$2:AB$500),
  _xlfn.IFNA(_xlpm.result, "")
)</f>
        <v/>
      </c>
      <c r="AD218" t="str">
        <f>_xlfn.LET(
  _xlpm.result, _xlfn.XLOOKUP($B218, Result_Database!$A$2:$A$500, Result_Database!AC$2:AC$500),
  _xlfn.IFNA(_xlpm.result, "")
)</f>
        <v/>
      </c>
      <c r="AE218" t="str">
        <f>_xlfn.LET(
  _xlpm.result, _xlfn.XLOOKUP($B218, Result_Database!$A$2:$A$500, Result_Database!AD$2:AD$500),
  _xlfn.IFNA(_xlpm.result, "")
)</f>
        <v/>
      </c>
      <c r="AF218" t="str">
        <f>_xlfn.LET(
  _xlpm.result, _xlfn.XLOOKUP($B218, Result_Database!$A$2:$A$500, Result_Database!AE$2:AE$500),
  _xlfn.IFNA(_xlpm.result, "")
)</f>
        <v/>
      </c>
      <c r="AG218" t="str">
        <f>_xlfn.LET(
  _xlpm.result, _xlfn.XLOOKUP($B218, Result_Database!$A$2:$A$500, Result_Database!AF$2:AF$500),
  _xlfn.IFNA(_xlpm.result, "")
)</f>
        <v/>
      </c>
      <c r="AH218" t="str">
        <f>_xlfn.LET(
  _xlpm.result, _xlfn.XLOOKUP($B218, Result_Database!$A$2:$A$500, Result_Database!AG$2:AG$500),
  _xlfn.IFNA(_xlpm.result, "")
)</f>
        <v/>
      </c>
      <c r="AI218" t="str">
        <f>_xlfn.LET(
  _xlpm.result, _xlfn.XLOOKUP($B218, Result_Database!$A$2:$A$500, Result_Database!AH$2:AH$500),
  _xlfn.IFNA(_xlpm.result, "")
)</f>
        <v/>
      </c>
      <c r="AJ218" t="str">
        <f>_xlfn.LET(
  _xlpm.result, _xlfn.XLOOKUP($B218, Result_Database!$A$2:$A$500, Result_Database!AI$2:AI$500),
  _xlfn.IFNA(_xlpm.result, "")
)</f>
        <v/>
      </c>
      <c r="AK218" t="str">
        <f>_xlfn.LET(
  _xlpm.result, _xlfn.XLOOKUP($B218, Result_Database!$A$2:$A$500, Result_Database!AJ$2:AJ$500),
  _xlfn.IFNA(_xlpm.result, "")
)</f>
        <v/>
      </c>
      <c r="AL218" t="str">
        <f>_xlfn.LET(
  _xlpm.result, _xlfn.XLOOKUP($B218, Result_Database!$A$2:$A$500, Result_Database!AK$2:AK$500),
  _xlfn.IFNA(_xlpm.result, "")
)</f>
        <v/>
      </c>
      <c r="AM21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1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1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1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1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1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1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1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1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18" t="str">
        <f>IF(SUM(Table5[[#This Row],[A1]:[C6]])&lt;&gt;0,SUM(Table5[[#This Row],[A1]:[C6]]),"")</f>
        <v/>
      </c>
      <c r="AW218" t="str">
        <f>IF(SUM(Table5[[#This Row],[D7]:[F9]])=0,"",SUM(Table5[[#This Row],[D7]:[F9]]))</f>
        <v/>
      </c>
      <c r="AX21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1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1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1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1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1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18" t="str">
        <f>IF(COUNTIF(Table5[[#This Row],[English Language]:[Electrical/ Electronics]],"WITHHELD")=0,"",COUNTIF(Table5[[#This Row],[English Language]:[Electrical/ Electronics]],"WITHHELD"))</f>
        <v/>
      </c>
      <c r="BE218" t="str">
        <f>IF(SUM(Table5[[#This Row],[NO OF CREDITS]:[BELOW CREDITS]])=0,"",SUM(Table5[[#This Row],[NO OF CREDITS]:[BELOW CREDITS]]))</f>
        <v/>
      </c>
    </row>
    <row r="219" spans="1:57" x14ac:dyDescent="0.3">
      <c r="A219" t="str">
        <f>IF(B219&lt;&gt;"",COUNTA($B$6:B219),"")</f>
        <v/>
      </c>
      <c r="B219" t="str">
        <f>IF(Result_Database!A215="","",Result_Database!A215)</f>
        <v/>
      </c>
      <c r="C219" t="str">
        <f>_xlfn.LET(
_xlpm.result,_xlfn.XLOOKUP($B219,Result_Database!$A$2:$A$500,Result_Database!$B$2:$B$500),
_xlfn.IFNA(_xlpm.result,"")
)</f>
        <v/>
      </c>
      <c r="D219" t="str">
        <f>_xlfn.LET(
  _xlpm.result, _xlfn.XLOOKUP($B219, Result_Database!$A$2:$A$500, Result_Database!C$2:C$500),
  _xlfn.IFNA(_xlpm.result, "")
)</f>
        <v/>
      </c>
      <c r="E219" t="str">
        <f>_xlfn.LET(
  _xlpm.result, _xlfn.XLOOKUP($B219, Result_Database!$A$2:$A$500, Result_Database!D$2:D$500),
  _xlfn.IFNA(_xlpm.result, "")
)</f>
        <v/>
      </c>
      <c r="F219" t="str">
        <f>_xlfn.LET(
  _xlpm.result, _xlfn.XLOOKUP($B219, Result_Database!$A$2:$A$500, Result_Database!E$2:E$500),
  _xlfn.IFNA(_xlpm.result, "")
)</f>
        <v/>
      </c>
      <c r="G219" t="str">
        <f>_xlfn.LET(
  _xlpm.result, _xlfn.XLOOKUP($B219, Result_Database!$A$2:$A$500, Result_Database!F$2:F$500),
  _xlfn.IFNA(_xlpm.result, "")
)</f>
        <v/>
      </c>
      <c r="H219" t="str">
        <f>_xlfn.LET(
  _xlpm.result, _xlfn.XLOOKUP($B219, Result_Database!$A$2:$A$500, Result_Database!G$2:G$500),
  _xlfn.IFNA(_xlpm.result, "")
)</f>
        <v/>
      </c>
      <c r="I219" t="str">
        <f>_xlfn.LET(
  _xlpm.result, _xlfn.XLOOKUP($B219, Result_Database!$A$2:$A$500, Result_Database!H$2:H$500),
  _xlfn.IFNA(_xlpm.result, "")
)</f>
        <v/>
      </c>
      <c r="J219" t="str">
        <f>_xlfn.LET(
  _xlpm.result, _xlfn.XLOOKUP($B219, Result_Database!$A$2:$A$500, Result_Database!I$2:I$500),
  _xlfn.IFNA(_xlpm.result, "")
)</f>
        <v/>
      </c>
      <c r="K219" t="str">
        <f>_xlfn.LET(
  _xlpm.result, _xlfn.XLOOKUP($B219, Result_Database!$A$2:$A$500, Result_Database!J$2:J$500),
  _xlfn.IFNA(_xlpm.result, "")
)</f>
        <v/>
      </c>
      <c r="L219" t="str">
        <f>_xlfn.LET(
  _xlpm.result, _xlfn.XLOOKUP($B219, Result_Database!$A$2:$A$500, Result_Database!K$2:K$500),
  _xlfn.IFNA(_xlpm.result, "")
)</f>
        <v/>
      </c>
      <c r="M219" t="str">
        <f>_xlfn.LET(
  _xlpm.result, _xlfn.XLOOKUP($B219, Result_Database!$A$2:$A$500, Result_Database!L$2:L$500),
  _xlfn.IFNA(_xlpm.result, "")
)</f>
        <v/>
      </c>
      <c r="N219" t="str">
        <f>_xlfn.LET(
  _xlpm.result, _xlfn.XLOOKUP($B219, Result_Database!$A$2:$A$500, Result_Database!M$2:M$500),
  _xlfn.IFNA(_xlpm.result, "")
)</f>
        <v/>
      </c>
      <c r="O219" t="str">
        <f>_xlfn.LET(
  _xlpm.result, _xlfn.XLOOKUP($B219, Result_Database!$A$2:$A$500, Result_Database!N$2:N$500),
  _xlfn.IFNA(_xlpm.result, "")
)</f>
        <v/>
      </c>
      <c r="P219" t="str">
        <f>_xlfn.LET(
  _xlpm.result, _xlfn.XLOOKUP($B219, Result_Database!$A$2:$A$500, Result_Database!O$2:O$500),
  _xlfn.IFNA(_xlpm.result, "")
)</f>
        <v/>
      </c>
      <c r="Q219" t="str">
        <f>_xlfn.LET(
  _xlpm.result, _xlfn.XLOOKUP($B219, Result_Database!$A$2:$A$500, Result_Database!P$2:P$500),
  _xlfn.IFNA(_xlpm.result, "")
)</f>
        <v/>
      </c>
      <c r="R219" t="str">
        <f>_xlfn.LET(
  _xlpm.result, _xlfn.XLOOKUP($B219, Result_Database!$A$2:$A$500, Result_Database!Q$2:Q$500),
  _xlfn.IFNA(_xlpm.result, "")
)</f>
        <v/>
      </c>
      <c r="S219" t="str">
        <f>_xlfn.LET(
  _xlpm.result, _xlfn.XLOOKUP($B219, Result_Database!$A$2:$A$500, Result_Database!R$2:R$500),
  _xlfn.IFNA(_xlpm.result, "")
)</f>
        <v/>
      </c>
      <c r="T219" t="str">
        <f>_xlfn.LET(
  _xlpm.result, _xlfn.XLOOKUP($B219, Result_Database!$A$2:$A$500, Result_Database!S$2:S$500),
  _xlfn.IFNA(_xlpm.result, "")
)</f>
        <v/>
      </c>
      <c r="U219" t="str">
        <f>_xlfn.LET(
  _xlpm.result, _xlfn.XLOOKUP($B219, Result_Database!$A$2:$A$500, Result_Database!T$2:T$500),
  _xlfn.IFNA(_xlpm.result, "")
)</f>
        <v/>
      </c>
      <c r="V219" t="str">
        <f>_xlfn.LET(
  _xlpm.result, _xlfn.XLOOKUP($B219, Result_Database!$A$2:$A$500, Result_Database!U$2:U$500),
  _xlfn.IFNA(_xlpm.result, "")
)</f>
        <v/>
      </c>
      <c r="W219" t="str">
        <f>_xlfn.LET(
  _xlpm.result, _xlfn.XLOOKUP($B219, Result_Database!$A$2:$A$500, Result_Database!V$2:V$500),
  _xlfn.IFNA(_xlpm.result, "")
)</f>
        <v/>
      </c>
      <c r="X219" t="str">
        <f>_xlfn.LET(
  _xlpm.result, _xlfn.XLOOKUP($B219, Result_Database!$A$2:$A$500, Result_Database!W$2:W$500),
  _xlfn.IFNA(_xlpm.result, "")
)</f>
        <v/>
      </c>
      <c r="Y219" t="str">
        <f>_xlfn.LET(
  _xlpm.result, _xlfn.XLOOKUP($B219, Result_Database!$A$2:$A$500, Result_Database!X$2:X$500),
  _xlfn.IFNA(_xlpm.result, "")
)</f>
        <v/>
      </c>
      <c r="Z219" t="str">
        <f>_xlfn.LET(
  _xlpm.result, _xlfn.XLOOKUP($B219, Result_Database!$A$2:$A$500, Result_Database!Y$2:Y$500),
  _xlfn.IFNA(_xlpm.result, "")
)</f>
        <v/>
      </c>
      <c r="AA219" t="str">
        <f>_xlfn.LET(
  _xlpm.result, _xlfn.XLOOKUP($B219, Result_Database!$A$2:$A$500, Result_Database!Z$2:Z$500),
  _xlfn.IFNA(_xlpm.result, "")
)</f>
        <v/>
      </c>
      <c r="AB219" t="str">
        <f>_xlfn.LET(
  _xlpm.result, _xlfn.XLOOKUP($B219, Result_Database!$A$2:$A$500, Result_Database!AA$2:AA$500),
  _xlfn.IFNA(_xlpm.result, "")
)</f>
        <v/>
      </c>
      <c r="AC219" t="str">
        <f>_xlfn.LET(
  _xlpm.result, _xlfn.XLOOKUP($B219, Result_Database!$A$2:$A$500, Result_Database!AB$2:AB$500),
  _xlfn.IFNA(_xlpm.result, "")
)</f>
        <v/>
      </c>
      <c r="AD219" t="str">
        <f>_xlfn.LET(
  _xlpm.result, _xlfn.XLOOKUP($B219, Result_Database!$A$2:$A$500, Result_Database!AC$2:AC$500),
  _xlfn.IFNA(_xlpm.result, "")
)</f>
        <v/>
      </c>
      <c r="AE219" t="str">
        <f>_xlfn.LET(
  _xlpm.result, _xlfn.XLOOKUP($B219, Result_Database!$A$2:$A$500, Result_Database!AD$2:AD$500),
  _xlfn.IFNA(_xlpm.result, "")
)</f>
        <v/>
      </c>
      <c r="AF219" t="str">
        <f>_xlfn.LET(
  _xlpm.result, _xlfn.XLOOKUP($B219, Result_Database!$A$2:$A$500, Result_Database!AE$2:AE$500),
  _xlfn.IFNA(_xlpm.result, "")
)</f>
        <v/>
      </c>
      <c r="AG219" t="str">
        <f>_xlfn.LET(
  _xlpm.result, _xlfn.XLOOKUP($B219, Result_Database!$A$2:$A$500, Result_Database!AF$2:AF$500),
  _xlfn.IFNA(_xlpm.result, "")
)</f>
        <v/>
      </c>
      <c r="AH219" t="str">
        <f>_xlfn.LET(
  _xlpm.result, _xlfn.XLOOKUP($B219, Result_Database!$A$2:$A$500, Result_Database!AG$2:AG$500),
  _xlfn.IFNA(_xlpm.result, "")
)</f>
        <v/>
      </c>
      <c r="AI219" t="str">
        <f>_xlfn.LET(
  _xlpm.result, _xlfn.XLOOKUP($B219, Result_Database!$A$2:$A$500, Result_Database!AH$2:AH$500),
  _xlfn.IFNA(_xlpm.result, "")
)</f>
        <v/>
      </c>
      <c r="AJ219" t="str">
        <f>_xlfn.LET(
  _xlpm.result, _xlfn.XLOOKUP($B219, Result_Database!$A$2:$A$500, Result_Database!AI$2:AI$500),
  _xlfn.IFNA(_xlpm.result, "")
)</f>
        <v/>
      </c>
      <c r="AK219" t="str">
        <f>_xlfn.LET(
  _xlpm.result, _xlfn.XLOOKUP($B219, Result_Database!$A$2:$A$500, Result_Database!AJ$2:AJ$500),
  _xlfn.IFNA(_xlpm.result, "")
)</f>
        <v/>
      </c>
      <c r="AL219" t="str">
        <f>_xlfn.LET(
  _xlpm.result, _xlfn.XLOOKUP($B219, Result_Database!$A$2:$A$500, Result_Database!AK$2:AK$500),
  _xlfn.IFNA(_xlpm.result, "")
)</f>
        <v/>
      </c>
      <c r="AM21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1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1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1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1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1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1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1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1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19" t="str">
        <f>IF(SUM(Table5[[#This Row],[A1]:[C6]])&lt;&gt;0,SUM(Table5[[#This Row],[A1]:[C6]]),"")</f>
        <v/>
      </c>
      <c r="AW219" t="str">
        <f>IF(SUM(Table5[[#This Row],[D7]:[F9]])=0,"",SUM(Table5[[#This Row],[D7]:[F9]]))</f>
        <v/>
      </c>
      <c r="AX21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1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1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1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1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1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19" t="str">
        <f>IF(COUNTIF(Table5[[#This Row],[English Language]:[Electrical/ Electronics]],"WITHHELD")=0,"",COUNTIF(Table5[[#This Row],[English Language]:[Electrical/ Electronics]],"WITHHELD"))</f>
        <v/>
      </c>
      <c r="BE219" t="str">
        <f>IF(SUM(Table5[[#This Row],[NO OF CREDITS]:[BELOW CREDITS]])=0,"",SUM(Table5[[#This Row],[NO OF CREDITS]:[BELOW CREDITS]]))</f>
        <v/>
      </c>
    </row>
    <row r="220" spans="1:57" x14ac:dyDescent="0.3">
      <c r="A220" t="str">
        <f>IF(B220&lt;&gt;"",COUNTA($B$6:B220),"")</f>
        <v/>
      </c>
      <c r="B220" t="str">
        <f>IF(Result_Database!A216="","",Result_Database!A216)</f>
        <v/>
      </c>
      <c r="C220" t="str">
        <f>_xlfn.LET(
_xlpm.result,_xlfn.XLOOKUP($B220,Result_Database!$A$2:$A$500,Result_Database!$B$2:$B$500),
_xlfn.IFNA(_xlpm.result,"")
)</f>
        <v/>
      </c>
      <c r="D220" t="str">
        <f>_xlfn.LET(
  _xlpm.result, _xlfn.XLOOKUP($B220, Result_Database!$A$2:$A$500, Result_Database!C$2:C$500),
  _xlfn.IFNA(_xlpm.result, "")
)</f>
        <v/>
      </c>
      <c r="E220" t="str">
        <f>_xlfn.LET(
  _xlpm.result, _xlfn.XLOOKUP($B220, Result_Database!$A$2:$A$500, Result_Database!D$2:D$500),
  _xlfn.IFNA(_xlpm.result, "")
)</f>
        <v/>
      </c>
      <c r="F220" t="str">
        <f>_xlfn.LET(
  _xlpm.result, _xlfn.XLOOKUP($B220, Result_Database!$A$2:$A$500, Result_Database!E$2:E$500),
  _xlfn.IFNA(_xlpm.result, "")
)</f>
        <v/>
      </c>
      <c r="G220" t="str">
        <f>_xlfn.LET(
  _xlpm.result, _xlfn.XLOOKUP($B220, Result_Database!$A$2:$A$500, Result_Database!F$2:F$500),
  _xlfn.IFNA(_xlpm.result, "")
)</f>
        <v/>
      </c>
      <c r="H220" t="str">
        <f>_xlfn.LET(
  _xlpm.result, _xlfn.XLOOKUP($B220, Result_Database!$A$2:$A$500, Result_Database!G$2:G$500),
  _xlfn.IFNA(_xlpm.result, "")
)</f>
        <v/>
      </c>
      <c r="I220" t="str">
        <f>_xlfn.LET(
  _xlpm.result, _xlfn.XLOOKUP($B220, Result_Database!$A$2:$A$500, Result_Database!H$2:H$500),
  _xlfn.IFNA(_xlpm.result, "")
)</f>
        <v/>
      </c>
      <c r="J220" t="str">
        <f>_xlfn.LET(
  _xlpm.result, _xlfn.XLOOKUP($B220, Result_Database!$A$2:$A$500, Result_Database!I$2:I$500),
  _xlfn.IFNA(_xlpm.result, "")
)</f>
        <v/>
      </c>
      <c r="K220" t="str">
        <f>_xlfn.LET(
  _xlpm.result, _xlfn.XLOOKUP($B220, Result_Database!$A$2:$A$500, Result_Database!J$2:J$500),
  _xlfn.IFNA(_xlpm.result, "")
)</f>
        <v/>
      </c>
      <c r="L220" t="str">
        <f>_xlfn.LET(
  _xlpm.result, _xlfn.XLOOKUP($B220, Result_Database!$A$2:$A$500, Result_Database!K$2:K$500),
  _xlfn.IFNA(_xlpm.result, "")
)</f>
        <v/>
      </c>
      <c r="M220" t="str">
        <f>_xlfn.LET(
  _xlpm.result, _xlfn.XLOOKUP($B220, Result_Database!$A$2:$A$500, Result_Database!L$2:L$500),
  _xlfn.IFNA(_xlpm.result, "")
)</f>
        <v/>
      </c>
      <c r="N220" t="str">
        <f>_xlfn.LET(
  _xlpm.result, _xlfn.XLOOKUP($B220, Result_Database!$A$2:$A$500, Result_Database!M$2:M$500),
  _xlfn.IFNA(_xlpm.result, "")
)</f>
        <v/>
      </c>
      <c r="O220" t="str">
        <f>_xlfn.LET(
  _xlpm.result, _xlfn.XLOOKUP($B220, Result_Database!$A$2:$A$500, Result_Database!N$2:N$500),
  _xlfn.IFNA(_xlpm.result, "")
)</f>
        <v/>
      </c>
      <c r="P220" t="str">
        <f>_xlfn.LET(
  _xlpm.result, _xlfn.XLOOKUP($B220, Result_Database!$A$2:$A$500, Result_Database!O$2:O$500),
  _xlfn.IFNA(_xlpm.result, "")
)</f>
        <v/>
      </c>
      <c r="Q220" t="str">
        <f>_xlfn.LET(
  _xlpm.result, _xlfn.XLOOKUP($B220, Result_Database!$A$2:$A$500, Result_Database!P$2:P$500),
  _xlfn.IFNA(_xlpm.result, "")
)</f>
        <v/>
      </c>
      <c r="R220" t="str">
        <f>_xlfn.LET(
  _xlpm.result, _xlfn.XLOOKUP($B220, Result_Database!$A$2:$A$500, Result_Database!Q$2:Q$500),
  _xlfn.IFNA(_xlpm.result, "")
)</f>
        <v/>
      </c>
      <c r="S220" t="str">
        <f>_xlfn.LET(
  _xlpm.result, _xlfn.XLOOKUP($B220, Result_Database!$A$2:$A$500, Result_Database!R$2:R$500),
  _xlfn.IFNA(_xlpm.result, "")
)</f>
        <v/>
      </c>
      <c r="T220" t="str">
        <f>_xlfn.LET(
  _xlpm.result, _xlfn.XLOOKUP($B220, Result_Database!$A$2:$A$500, Result_Database!S$2:S$500),
  _xlfn.IFNA(_xlpm.result, "")
)</f>
        <v/>
      </c>
      <c r="U220" t="str">
        <f>_xlfn.LET(
  _xlpm.result, _xlfn.XLOOKUP($B220, Result_Database!$A$2:$A$500, Result_Database!T$2:T$500),
  _xlfn.IFNA(_xlpm.result, "")
)</f>
        <v/>
      </c>
      <c r="V220" t="str">
        <f>_xlfn.LET(
  _xlpm.result, _xlfn.XLOOKUP($B220, Result_Database!$A$2:$A$500, Result_Database!U$2:U$500),
  _xlfn.IFNA(_xlpm.result, "")
)</f>
        <v/>
      </c>
      <c r="W220" t="str">
        <f>_xlfn.LET(
  _xlpm.result, _xlfn.XLOOKUP($B220, Result_Database!$A$2:$A$500, Result_Database!V$2:V$500),
  _xlfn.IFNA(_xlpm.result, "")
)</f>
        <v/>
      </c>
      <c r="X220" t="str">
        <f>_xlfn.LET(
  _xlpm.result, _xlfn.XLOOKUP($B220, Result_Database!$A$2:$A$500, Result_Database!W$2:W$500),
  _xlfn.IFNA(_xlpm.result, "")
)</f>
        <v/>
      </c>
      <c r="Y220" t="str">
        <f>_xlfn.LET(
  _xlpm.result, _xlfn.XLOOKUP($B220, Result_Database!$A$2:$A$500, Result_Database!X$2:X$500),
  _xlfn.IFNA(_xlpm.result, "")
)</f>
        <v/>
      </c>
      <c r="Z220" t="str">
        <f>_xlfn.LET(
  _xlpm.result, _xlfn.XLOOKUP($B220, Result_Database!$A$2:$A$500, Result_Database!Y$2:Y$500),
  _xlfn.IFNA(_xlpm.result, "")
)</f>
        <v/>
      </c>
      <c r="AA220" t="str">
        <f>_xlfn.LET(
  _xlpm.result, _xlfn.XLOOKUP($B220, Result_Database!$A$2:$A$500, Result_Database!Z$2:Z$500),
  _xlfn.IFNA(_xlpm.result, "")
)</f>
        <v/>
      </c>
      <c r="AB220" t="str">
        <f>_xlfn.LET(
  _xlpm.result, _xlfn.XLOOKUP($B220, Result_Database!$A$2:$A$500, Result_Database!AA$2:AA$500),
  _xlfn.IFNA(_xlpm.result, "")
)</f>
        <v/>
      </c>
      <c r="AC220" t="str">
        <f>_xlfn.LET(
  _xlpm.result, _xlfn.XLOOKUP($B220, Result_Database!$A$2:$A$500, Result_Database!AB$2:AB$500),
  _xlfn.IFNA(_xlpm.result, "")
)</f>
        <v/>
      </c>
      <c r="AD220" t="str">
        <f>_xlfn.LET(
  _xlpm.result, _xlfn.XLOOKUP($B220, Result_Database!$A$2:$A$500, Result_Database!AC$2:AC$500),
  _xlfn.IFNA(_xlpm.result, "")
)</f>
        <v/>
      </c>
      <c r="AE220" t="str">
        <f>_xlfn.LET(
  _xlpm.result, _xlfn.XLOOKUP($B220, Result_Database!$A$2:$A$500, Result_Database!AD$2:AD$500),
  _xlfn.IFNA(_xlpm.result, "")
)</f>
        <v/>
      </c>
      <c r="AF220" t="str">
        <f>_xlfn.LET(
  _xlpm.result, _xlfn.XLOOKUP($B220, Result_Database!$A$2:$A$500, Result_Database!AE$2:AE$500),
  _xlfn.IFNA(_xlpm.result, "")
)</f>
        <v/>
      </c>
      <c r="AG220" t="str">
        <f>_xlfn.LET(
  _xlpm.result, _xlfn.XLOOKUP($B220, Result_Database!$A$2:$A$500, Result_Database!AF$2:AF$500),
  _xlfn.IFNA(_xlpm.result, "")
)</f>
        <v/>
      </c>
      <c r="AH220" t="str">
        <f>_xlfn.LET(
  _xlpm.result, _xlfn.XLOOKUP($B220, Result_Database!$A$2:$A$500, Result_Database!AG$2:AG$500),
  _xlfn.IFNA(_xlpm.result, "")
)</f>
        <v/>
      </c>
      <c r="AI220" t="str">
        <f>_xlfn.LET(
  _xlpm.result, _xlfn.XLOOKUP($B220, Result_Database!$A$2:$A$500, Result_Database!AH$2:AH$500),
  _xlfn.IFNA(_xlpm.result, "")
)</f>
        <v/>
      </c>
      <c r="AJ220" t="str">
        <f>_xlfn.LET(
  _xlpm.result, _xlfn.XLOOKUP($B220, Result_Database!$A$2:$A$500, Result_Database!AI$2:AI$500),
  _xlfn.IFNA(_xlpm.result, "")
)</f>
        <v/>
      </c>
      <c r="AK220" t="str">
        <f>_xlfn.LET(
  _xlpm.result, _xlfn.XLOOKUP($B220, Result_Database!$A$2:$A$500, Result_Database!AJ$2:AJ$500),
  _xlfn.IFNA(_xlpm.result, "")
)</f>
        <v/>
      </c>
      <c r="AL220" t="str">
        <f>_xlfn.LET(
  _xlpm.result, _xlfn.XLOOKUP($B220, Result_Database!$A$2:$A$500, Result_Database!AK$2:AK$500),
  _xlfn.IFNA(_xlpm.result, "")
)</f>
        <v/>
      </c>
      <c r="AM22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2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2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2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2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2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2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2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2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20" t="str">
        <f>IF(SUM(Table5[[#This Row],[A1]:[C6]])&lt;&gt;0,SUM(Table5[[#This Row],[A1]:[C6]]),"")</f>
        <v/>
      </c>
      <c r="AW220" t="str">
        <f>IF(SUM(Table5[[#This Row],[D7]:[F9]])=0,"",SUM(Table5[[#This Row],[D7]:[F9]]))</f>
        <v/>
      </c>
      <c r="AX22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2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2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2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2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2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20" t="str">
        <f>IF(COUNTIF(Table5[[#This Row],[English Language]:[Electrical/ Electronics]],"WITHHELD")=0,"",COUNTIF(Table5[[#This Row],[English Language]:[Electrical/ Electronics]],"WITHHELD"))</f>
        <v/>
      </c>
      <c r="BE220" t="str">
        <f>IF(SUM(Table5[[#This Row],[NO OF CREDITS]:[BELOW CREDITS]])=0,"",SUM(Table5[[#This Row],[NO OF CREDITS]:[BELOW CREDITS]]))</f>
        <v/>
      </c>
    </row>
    <row r="221" spans="1:57" x14ac:dyDescent="0.3">
      <c r="A221" t="str">
        <f>IF(B221&lt;&gt;"",COUNTA($B$6:B221),"")</f>
        <v/>
      </c>
      <c r="B221" t="str">
        <f>IF(Result_Database!A217="","",Result_Database!A217)</f>
        <v/>
      </c>
      <c r="C221" t="str">
        <f>_xlfn.LET(
_xlpm.result,_xlfn.XLOOKUP($B221,Result_Database!$A$2:$A$500,Result_Database!$B$2:$B$500),
_xlfn.IFNA(_xlpm.result,"")
)</f>
        <v/>
      </c>
      <c r="D221" t="str">
        <f>_xlfn.LET(
  _xlpm.result, _xlfn.XLOOKUP($B221, Result_Database!$A$2:$A$500, Result_Database!C$2:C$500),
  _xlfn.IFNA(_xlpm.result, "")
)</f>
        <v/>
      </c>
      <c r="E221" t="str">
        <f>_xlfn.LET(
  _xlpm.result, _xlfn.XLOOKUP($B221, Result_Database!$A$2:$A$500, Result_Database!D$2:D$500),
  _xlfn.IFNA(_xlpm.result, "")
)</f>
        <v/>
      </c>
      <c r="F221" t="str">
        <f>_xlfn.LET(
  _xlpm.result, _xlfn.XLOOKUP($B221, Result_Database!$A$2:$A$500, Result_Database!E$2:E$500),
  _xlfn.IFNA(_xlpm.result, "")
)</f>
        <v/>
      </c>
      <c r="G221" t="str">
        <f>_xlfn.LET(
  _xlpm.result, _xlfn.XLOOKUP($B221, Result_Database!$A$2:$A$500, Result_Database!F$2:F$500),
  _xlfn.IFNA(_xlpm.result, "")
)</f>
        <v/>
      </c>
      <c r="H221" t="str">
        <f>_xlfn.LET(
  _xlpm.result, _xlfn.XLOOKUP($B221, Result_Database!$A$2:$A$500, Result_Database!G$2:G$500),
  _xlfn.IFNA(_xlpm.result, "")
)</f>
        <v/>
      </c>
      <c r="I221" t="str">
        <f>_xlfn.LET(
  _xlpm.result, _xlfn.XLOOKUP($B221, Result_Database!$A$2:$A$500, Result_Database!H$2:H$500),
  _xlfn.IFNA(_xlpm.result, "")
)</f>
        <v/>
      </c>
      <c r="J221" t="str">
        <f>_xlfn.LET(
  _xlpm.result, _xlfn.XLOOKUP($B221, Result_Database!$A$2:$A$500, Result_Database!I$2:I$500),
  _xlfn.IFNA(_xlpm.result, "")
)</f>
        <v/>
      </c>
      <c r="K221" t="str">
        <f>_xlfn.LET(
  _xlpm.result, _xlfn.XLOOKUP($B221, Result_Database!$A$2:$A$500, Result_Database!J$2:J$500),
  _xlfn.IFNA(_xlpm.result, "")
)</f>
        <v/>
      </c>
      <c r="L221" t="str">
        <f>_xlfn.LET(
  _xlpm.result, _xlfn.XLOOKUP($B221, Result_Database!$A$2:$A$500, Result_Database!K$2:K$500),
  _xlfn.IFNA(_xlpm.result, "")
)</f>
        <v/>
      </c>
      <c r="M221" t="str">
        <f>_xlfn.LET(
  _xlpm.result, _xlfn.XLOOKUP($B221, Result_Database!$A$2:$A$500, Result_Database!L$2:L$500),
  _xlfn.IFNA(_xlpm.result, "")
)</f>
        <v/>
      </c>
      <c r="N221" t="str">
        <f>_xlfn.LET(
  _xlpm.result, _xlfn.XLOOKUP($B221, Result_Database!$A$2:$A$500, Result_Database!M$2:M$500),
  _xlfn.IFNA(_xlpm.result, "")
)</f>
        <v/>
      </c>
      <c r="O221" t="str">
        <f>_xlfn.LET(
  _xlpm.result, _xlfn.XLOOKUP($B221, Result_Database!$A$2:$A$500, Result_Database!N$2:N$500),
  _xlfn.IFNA(_xlpm.result, "")
)</f>
        <v/>
      </c>
      <c r="P221" t="str">
        <f>_xlfn.LET(
  _xlpm.result, _xlfn.XLOOKUP($B221, Result_Database!$A$2:$A$500, Result_Database!O$2:O$500),
  _xlfn.IFNA(_xlpm.result, "")
)</f>
        <v/>
      </c>
      <c r="Q221" t="str">
        <f>_xlfn.LET(
  _xlpm.result, _xlfn.XLOOKUP($B221, Result_Database!$A$2:$A$500, Result_Database!P$2:P$500),
  _xlfn.IFNA(_xlpm.result, "")
)</f>
        <v/>
      </c>
      <c r="R221" t="str">
        <f>_xlfn.LET(
  _xlpm.result, _xlfn.XLOOKUP($B221, Result_Database!$A$2:$A$500, Result_Database!Q$2:Q$500),
  _xlfn.IFNA(_xlpm.result, "")
)</f>
        <v/>
      </c>
      <c r="S221" t="str">
        <f>_xlfn.LET(
  _xlpm.result, _xlfn.XLOOKUP($B221, Result_Database!$A$2:$A$500, Result_Database!R$2:R$500),
  _xlfn.IFNA(_xlpm.result, "")
)</f>
        <v/>
      </c>
      <c r="T221" t="str">
        <f>_xlfn.LET(
  _xlpm.result, _xlfn.XLOOKUP($B221, Result_Database!$A$2:$A$500, Result_Database!S$2:S$500),
  _xlfn.IFNA(_xlpm.result, "")
)</f>
        <v/>
      </c>
      <c r="U221" t="str">
        <f>_xlfn.LET(
  _xlpm.result, _xlfn.XLOOKUP($B221, Result_Database!$A$2:$A$500, Result_Database!T$2:T$500),
  _xlfn.IFNA(_xlpm.result, "")
)</f>
        <v/>
      </c>
      <c r="V221" t="str">
        <f>_xlfn.LET(
  _xlpm.result, _xlfn.XLOOKUP($B221, Result_Database!$A$2:$A$500, Result_Database!U$2:U$500),
  _xlfn.IFNA(_xlpm.result, "")
)</f>
        <v/>
      </c>
      <c r="W221" t="str">
        <f>_xlfn.LET(
  _xlpm.result, _xlfn.XLOOKUP($B221, Result_Database!$A$2:$A$500, Result_Database!V$2:V$500),
  _xlfn.IFNA(_xlpm.result, "")
)</f>
        <v/>
      </c>
      <c r="X221" t="str">
        <f>_xlfn.LET(
  _xlpm.result, _xlfn.XLOOKUP($B221, Result_Database!$A$2:$A$500, Result_Database!W$2:W$500),
  _xlfn.IFNA(_xlpm.result, "")
)</f>
        <v/>
      </c>
      <c r="Y221" t="str">
        <f>_xlfn.LET(
  _xlpm.result, _xlfn.XLOOKUP($B221, Result_Database!$A$2:$A$500, Result_Database!X$2:X$500),
  _xlfn.IFNA(_xlpm.result, "")
)</f>
        <v/>
      </c>
      <c r="Z221" t="str">
        <f>_xlfn.LET(
  _xlpm.result, _xlfn.XLOOKUP($B221, Result_Database!$A$2:$A$500, Result_Database!Y$2:Y$500),
  _xlfn.IFNA(_xlpm.result, "")
)</f>
        <v/>
      </c>
      <c r="AA221" t="str">
        <f>_xlfn.LET(
  _xlpm.result, _xlfn.XLOOKUP($B221, Result_Database!$A$2:$A$500, Result_Database!Z$2:Z$500),
  _xlfn.IFNA(_xlpm.result, "")
)</f>
        <v/>
      </c>
      <c r="AB221" t="str">
        <f>_xlfn.LET(
  _xlpm.result, _xlfn.XLOOKUP($B221, Result_Database!$A$2:$A$500, Result_Database!AA$2:AA$500),
  _xlfn.IFNA(_xlpm.result, "")
)</f>
        <v/>
      </c>
      <c r="AC221" t="str">
        <f>_xlfn.LET(
  _xlpm.result, _xlfn.XLOOKUP($B221, Result_Database!$A$2:$A$500, Result_Database!AB$2:AB$500),
  _xlfn.IFNA(_xlpm.result, "")
)</f>
        <v/>
      </c>
      <c r="AD221" t="str">
        <f>_xlfn.LET(
  _xlpm.result, _xlfn.XLOOKUP($B221, Result_Database!$A$2:$A$500, Result_Database!AC$2:AC$500),
  _xlfn.IFNA(_xlpm.result, "")
)</f>
        <v/>
      </c>
      <c r="AE221" t="str">
        <f>_xlfn.LET(
  _xlpm.result, _xlfn.XLOOKUP($B221, Result_Database!$A$2:$A$500, Result_Database!AD$2:AD$500),
  _xlfn.IFNA(_xlpm.result, "")
)</f>
        <v/>
      </c>
      <c r="AF221" t="str">
        <f>_xlfn.LET(
  _xlpm.result, _xlfn.XLOOKUP($B221, Result_Database!$A$2:$A$500, Result_Database!AE$2:AE$500),
  _xlfn.IFNA(_xlpm.result, "")
)</f>
        <v/>
      </c>
      <c r="AG221" t="str">
        <f>_xlfn.LET(
  _xlpm.result, _xlfn.XLOOKUP($B221, Result_Database!$A$2:$A$500, Result_Database!AF$2:AF$500),
  _xlfn.IFNA(_xlpm.result, "")
)</f>
        <v/>
      </c>
      <c r="AH221" t="str">
        <f>_xlfn.LET(
  _xlpm.result, _xlfn.XLOOKUP($B221, Result_Database!$A$2:$A$500, Result_Database!AG$2:AG$500),
  _xlfn.IFNA(_xlpm.result, "")
)</f>
        <v/>
      </c>
      <c r="AI221" t="str">
        <f>_xlfn.LET(
  _xlpm.result, _xlfn.XLOOKUP($B221, Result_Database!$A$2:$A$500, Result_Database!AH$2:AH$500),
  _xlfn.IFNA(_xlpm.result, "")
)</f>
        <v/>
      </c>
      <c r="AJ221" t="str">
        <f>_xlfn.LET(
  _xlpm.result, _xlfn.XLOOKUP($B221, Result_Database!$A$2:$A$500, Result_Database!AI$2:AI$500),
  _xlfn.IFNA(_xlpm.result, "")
)</f>
        <v/>
      </c>
      <c r="AK221" t="str">
        <f>_xlfn.LET(
  _xlpm.result, _xlfn.XLOOKUP($B221, Result_Database!$A$2:$A$500, Result_Database!AJ$2:AJ$500),
  _xlfn.IFNA(_xlpm.result, "")
)</f>
        <v/>
      </c>
      <c r="AL221" t="str">
        <f>_xlfn.LET(
  _xlpm.result, _xlfn.XLOOKUP($B221, Result_Database!$A$2:$A$500, Result_Database!AK$2:AK$500),
  _xlfn.IFNA(_xlpm.result, "")
)</f>
        <v/>
      </c>
      <c r="AM22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2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2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2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2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2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2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2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2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21" t="str">
        <f>IF(SUM(Table5[[#This Row],[A1]:[C6]])&lt;&gt;0,SUM(Table5[[#This Row],[A1]:[C6]]),"")</f>
        <v/>
      </c>
      <c r="AW221" t="str">
        <f>IF(SUM(Table5[[#This Row],[D7]:[F9]])=0,"",SUM(Table5[[#This Row],[D7]:[F9]]))</f>
        <v/>
      </c>
      <c r="AX22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2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2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2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2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2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21" t="str">
        <f>IF(COUNTIF(Table5[[#This Row],[English Language]:[Electrical/ Electronics]],"WITHHELD")=0,"",COUNTIF(Table5[[#This Row],[English Language]:[Electrical/ Electronics]],"WITHHELD"))</f>
        <v/>
      </c>
      <c r="BE221" t="str">
        <f>IF(SUM(Table5[[#This Row],[NO OF CREDITS]:[BELOW CREDITS]])=0,"",SUM(Table5[[#This Row],[NO OF CREDITS]:[BELOW CREDITS]]))</f>
        <v/>
      </c>
    </row>
    <row r="222" spans="1:57" x14ac:dyDescent="0.3">
      <c r="A222" t="str">
        <f>IF(B222&lt;&gt;"",COUNTA($B$6:B222),"")</f>
        <v/>
      </c>
      <c r="B222" t="str">
        <f>IF(Result_Database!A218="","",Result_Database!A218)</f>
        <v/>
      </c>
      <c r="C222" t="str">
        <f>_xlfn.LET(
_xlpm.result,_xlfn.XLOOKUP($B222,Result_Database!$A$2:$A$500,Result_Database!$B$2:$B$500),
_xlfn.IFNA(_xlpm.result,"")
)</f>
        <v/>
      </c>
      <c r="D222" t="str">
        <f>_xlfn.LET(
  _xlpm.result, _xlfn.XLOOKUP($B222, Result_Database!$A$2:$A$500, Result_Database!C$2:C$500),
  _xlfn.IFNA(_xlpm.result, "")
)</f>
        <v/>
      </c>
      <c r="E222" t="str">
        <f>_xlfn.LET(
  _xlpm.result, _xlfn.XLOOKUP($B222, Result_Database!$A$2:$A$500, Result_Database!D$2:D$500),
  _xlfn.IFNA(_xlpm.result, "")
)</f>
        <v/>
      </c>
      <c r="F222" t="str">
        <f>_xlfn.LET(
  _xlpm.result, _xlfn.XLOOKUP($B222, Result_Database!$A$2:$A$500, Result_Database!E$2:E$500),
  _xlfn.IFNA(_xlpm.result, "")
)</f>
        <v/>
      </c>
      <c r="G222" t="str">
        <f>_xlfn.LET(
  _xlpm.result, _xlfn.XLOOKUP($B222, Result_Database!$A$2:$A$500, Result_Database!F$2:F$500),
  _xlfn.IFNA(_xlpm.result, "")
)</f>
        <v/>
      </c>
      <c r="H222" t="str">
        <f>_xlfn.LET(
  _xlpm.result, _xlfn.XLOOKUP($B222, Result_Database!$A$2:$A$500, Result_Database!G$2:G$500),
  _xlfn.IFNA(_xlpm.result, "")
)</f>
        <v/>
      </c>
      <c r="I222" t="str">
        <f>_xlfn.LET(
  _xlpm.result, _xlfn.XLOOKUP($B222, Result_Database!$A$2:$A$500, Result_Database!H$2:H$500),
  _xlfn.IFNA(_xlpm.result, "")
)</f>
        <v/>
      </c>
      <c r="J222" t="str">
        <f>_xlfn.LET(
  _xlpm.result, _xlfn.XLOOKUP($B222, Result_Database!$A$2:$A$500, Result_Database!I$2:I$500),
  _xlfn.IFNA(_xlpm.result, "")
)</f>
        <v/>
      </c>
      <c r="K222" t="str">
        <f>_xlfn.LET(
  _xlpm.result, _xlfn.XLOOKUP($B222, Result_Database!$A$2:$A$500, Result_Database!J$2:J$500),
  _xlfn.IFNA(_xlpm.result, "")
)</f>
        <v/>
      </c>
      <c r="L222" t="str">
        <f>_xlfn.LET(
  _xlpm.result, _xlfn.XLOOKUP($B222, Result_Database!$A$2:$A$500, Result_Database!K$2:K$500),
  _xlfn.IFNA(_xlpm.result, "")
)</f>
        <v/>
      </c>
      <c r="M222" t="str">
        <f>_xlfn.LET(
  _xlpm.result, _xlfn.XLOOKUP($B222, Result_Database!$A$2:$A$500, Result_Database!L$2:L$500),
  _xlfn.IFNA(_xlpm.result, "")
)</f>
        <v/>
      </c>
      <c r="N222" t="str">
        <f>_xlfn.LET(
  _xlpm.result, _xlfn.XLOOKUP($B222, Result_Database!$A$2:$A$500, Result_Database!M$2:M$500),
  _xlfn.IFNA(_xlpm.result, "")
)</f>
        <v/>
      </c>
      <c r="O222" t="str">
        <f>_xlfn.LET(
  _xlpm.result, _xlfn.XLOOKUP($B222, Result_Database!$A$2:$A$500, Result_Database!N$2:N$500),
  _xlfn.IFNA(_xlpm.result, "")
)</f>
        <v/>
      </c>
      <c r="P222" t="str">
        <f>_xlfn.LET(
  _xlpm.result, _xlfn.XLOOKUP($B222, Result_Database!$A$2:$A$500, Result_Database!O$2:O$500),
  _xlfn.IFNA(_xlpm.result, "")
)</f>
        <v/>
      </c>
      <c r="Q222" t="str">
        <f>_xlfn.LET(
  _xlpm.result, _xlfn.XLOOKUP($B222, Result_Database!$A$2:$A$500, Result_Database!P$2:P$500),
  _xlfn.IFNA(_xlpm.result, "")
)</f>
        <v/>
      </c>
      <c r="R222" t="str">
        <f>_xlfn.LET(
  _xlpm.result, _xlfn.XLOOKUP($B222, Result_Database!$A$2:$A$500, Result_Database!Q$2:Q$500),
  _xlfn.IFNA(_xlpm.result, "")
)</f>
        <v/>
      </c>
      <c r="S222" t="str">
        <f>_xlfn.LET(
  _xlpm.result, _xlfn.XLOOKUP($B222, Result_Database!$A$2:$A$500, Result_Database!R$2:R$500),
  _xlfn.IFNA(_xlpm.result, "")
)</f>
        <v/>
      </c>
      <c r="T222" t="str">
        <f>_xlfn.LET(
  _xlpm.result, _xlfn.XLOOKUP($B222, Result_Database!$A$2:$A$500, Result_Database!S$2:S$500),
  _xlfn.IFNA(_xlpm.result, "")
)</f>
        <v/>
      </c>
      <c r="U222" t="str">
        <f>_xlfn.LET(
  _xlpm.result, _xlfn.XLOOKUP($B222, Result_Database!$A$2:$A$500, Result_Database!T$2:T$500),
  _xlfn.IFNA(_xlpm.result, "")
)</f>
        <v/>
      </c>
      <c r="V222" t="str">
        <f>_xlfn.LET(
  _xlpm.result, _xlfn.XLOOKUP($B222, Result_Database!$A$2:$A$500, Result_Database!U$2:U$500),
  _xlfn.IFNA(_xlpm.result, "")
)</f>
        <v/>
      </c>
      <c r="W222" t="str">
        <f>_xlfn.LET(
  _xlpm.result, _xlfn.XLOOKUP($B222, Result_Database!$A$2:$A$500, Result_Database!V$2:V$500),
  _xlfn.IFNA(_xlpm.result, "")
)</f>
        <v/>
      </c>
      <c r="X222" t="str">
        <f>_xlfn.LET(
  _xlpm.result, _xlfn.XLOOKUP($B222, Result_Database!$A$2:$A$500, Result_Database!W$2:W$500),
  _xlfn.IFNA(_xlpm.result, "")
)</f>
        <v/>
      </c>
      <c r="Y222" t="str">
        <f>_xlfn.LET(
  _xlpm.result, _xlfn.XLOOKUP($B222, Result_Database!$A$2:$A$500, Result_Database!X$2:X$500),
  _xlfn.IFNA(_xlpm.result, "")
)</f>
        <v/>
      </c>
      <c r="Z222" t="str">
        <f>_xlfn.LET(
  _xlpm.result, _xlfn.XLOOKUP($B222, Result_Database!$A$2:$A$500, Result_Database!Y$2:Y$500),
  _xlfn.IFNA(_xlpm.result, "")
)</f>
        <v/>
      </c>
      <c r="AA222" t="str">
        <f>_xlfn.LET(
  _xlpm.result, _xlfn.XLOOKUP($B222, Result_Database!$A$2:$A$500, Result_Database!Z$2:Z$500),
  _xlfn.IFNA(_xlpm.result, "")
)</f>
        <v/>
      </c>
      <c r="AB222" t="str">
        <f>_xlfn.LET(
  _xlpm.result, _xlfn.XLOOKUP($B222, Result_Database!$A$2:$A$500, Result_Database!AA$2:AA$500),
  _xlfn.IFNA(_xlpm.result, "")
)</f>
        <v/>
      </c>
      <c r="AC222" t="str">
        <f>_xlfn.LET(
  _xlpm.result, _xlfn.XLOOKUP($B222, Result_Database!$A$2:$A$500, Result_Database!AB$2:AB$500),
  _xlfn.IFNA(_xlpm.result, "")
)</f>
        <v/>
      </c>
      <c r="AD222" t="str">
        <f>_xlfn.LET(
  _xlpm.result, _xlfn.XLOOKUP($B222, Result_Database!$A$2:$A$500, Result_Database!AC$2:AC$500),
  _xlfn.IFNA(_xlpm.result, "")
)</f>
        <v/>
      </c>
      <c r="AE222" t="str">
        <f>_xlfn.LET(
  _xlpm.result, _xlfn.XLOOKUP($B222, Result_Database!$A$2:$A$500, Result_Database!AD$2:AD$500),
  _xlfn.IFNA(_xlpm.result, "")
)</f>
        <v/>
      </c>
      <c r="AF222" t="str">
        <f>_xlfn.LET(
  _xlpm.result, _xlfn.XLOOKUP($B222, Result_Database!$A$2:$A$500, Result_Database!AE$2:AE$500),
  _xlfn.IFNA(_xlpm.result, "")
)</f>
        <v/>
      </c>
      <c r="AG222" t="str">
        <f>_xlfn.LET(
  _xlpm.result, _xlfn.XLOOKUP($B222, Result_Database!$A$2:$A$500, Result_Database!AF$2:AF$500),
  _xlfn.IFNA(_xlpm.result, "")
)</f>
        <v/>
      </c>
      <c r="AH222" t="str">
        <f>_xlfn.LET(
  _xlpm.result, _xlfn.XLOOKUP($B222, Result_Database!$A$2:$A$500, Result_Database!AG$2:AG$500),
  _xlfn.IFNA(_xlpm.result, "")
)</f>
        <v/>
      </c>
      <c r="AI222" t="str">
        <f>_xlfn.LET(
  _xlpm.result, _xlfn.XLOOKUP($B222, Result_Database!$A$2:$A$500, Result_Database!AH$2:AH$500),
  _xlfn.IFNA(_xlpm.result, "")
)</f>
        <v/>
      </c>
      <c r="AJ222" t="str">
        <f>_xlfn.LET(
  _xlpm.result, _xlfn.XLOOKUP($B222, Result_Database!$A$2:$A$500, Result_Database!AI$2:AI$500),
  _xlfn.IFNA(_xlpm.result, "")
)</f>
        <v/>
      </c>
      <c r="AK222" t="str">
        <f>_xlfn.LET(
  _xlpm.result, _xlfn.XLOOKUP($B222, Result_Database!$A$2:$A$500, Result_Database!AJ$2:AJ$500),
  _xlfn.IFNA(_xlpm.result, "")
)</f>
        <v/>
      </c>
      <c r="AL222" t="str">
        <f>_xlfn.LET(
  _xlpm.result, _xlfn.XLOOKUP($B222, Result_Database!$A$2:$A$500, Result_Database!AK$2:AK$500),
  _xlfn.IFNA(_xlpm.result, "")
)</f>
        <v/>
      </c>
      <c r="AM22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2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2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2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2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2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2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2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2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22" t="str">
        <f>IF(SUM(Table5[[#This Row],[A1]:[C6]])&lt;&gt;0,SUM(Table5[[#This Row],[A1]:[C6]]),"")</f>
        <v/>
      </c>
      <c r="AW222" t="str">
        <f>IF(SUM(Table5[[#This Row],[D7]:[F9]])=0,"",SUM(Table5[[#This Row],[D7]:[F9]]))</f>
        <v/>
      </c>
      <c r="AX22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2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2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2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2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2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22" t="str">
        <f>IF(COUNTIF(Table5[[#This Row],[English Language]:[Electrical/ Electronics]],"WITHHELD")=0,"",COUNTIF(Table5[[#This Row],[English Language]:[Electrical/ Electronics]],"WITHHELD"))</f>
        <v/>
      </c>
      <c r="BE222" t="str">
        <f>IF(SUM(Table5[[#This Row],[NO OF CREDITS]:[BELOW CREDITS]])=0,"",SUM(Table5[[#This Row],[NO OF CREDITS]:[BELOW CREDITS]]))</f>
        <v/>
      </c>
    </row>
    <row r="223" spans="1:57" x14ac:dyDescent="0.3">
      <c r="A223" t="str">
        <f>IF(B223&lt;&gt;"",COUNTA($B$6:B223),"")</f>
        <v/>
      </c>
      <c r="B223" t="str">
        <f>IF(Result_Database!A219="","",Result_Database!A219)</f>
        <v/>
      </c>
      <c r="C223" t="str">
        <f>_xlfn.LET(
_xlpm.result,_xlfn.XLOOKUP($B223,Result_Database!$A$2:$A$500,Result_Database!$B$2:$B$500),
_xlfn.IFNA(_xlpm.result,"")
)</f>
        <v/>
      </c>
      <c r="D223" t="str">
        <f>_xlfn.LET(
  _xlpm.result, _xlfn.XLOOKUP($B223, Result_Database!$A$2:$A$500, Result_Database!C$2:C$500),
  _xlfn.IFNA(_xlpm.result, "")
)</f>
        <v/>
      </c>
      <c r="E223" t="str">
        <f>_xlfn.LET(
  _xlpm.result, _xlfn.XLOOKUP($B223, Result_Database!$A$2:$A$500, Result_Database!D$2:D$500),
  _xlfn.IFNA(_xlpm.result, "")
)</f>
        <v/>
      </c>
      <c r="F223" t="str">
        <f>_xlfn.LET(
  _xlpm.result, _xlfn.XLOOKUP($B223, Result_Database!$A$2:$A$500, Result_Database!E$2:E$500),
  _xlfn.IFNA(_xlpm.result, "")
)</f>
        <v/>
      </c>
      <c r="G223" t="str">
        <f>_xlfn.LET(
  _xlpm.result, _xlfn.XLOOKUP($B223, Result_Database!$A$2:$A$500, Result_Database!F$2:F$500),
  _xlfn.IFNA(_xlpm.result, "")
)</f>
        <v/>
      </c>
      <c r="H223" t="str">
        <f>_xlfn.LET(
  _xlpm.result, _xlfn.XLOOKUP($B223, Result_Database!$A$2:$A$500, Result_Database!G$2:G$500),
  _xlfn.IFNA(_xlpm.result, "")
)</f>
        <v/>
      </c>
      <c r="I223" t="str">
        <f>_xlfn.LET(
  _xlpm.result, _xlfn.XLOOKUP($B223, Result_Database!$A$2:$A$500, Result_Database!H$2:H$500),
  _xlfn.IFNA(_xlpm.result, "")
)</f>
        <v/>
      </c>
      <c r="J223" t="str">
        <f>_xlfn.LET(
  _xlpm.result, _xlfn.XLOOKUP($B223, Result_Database!$A$2:$A$500, Result_Database!I$2:I$500),
  _xlfn.IFNA(_xlpm.result, "")
)</f>
        <v/>
      </c>
      <c r="K223" t="str">
        <f>_xlfn.LET(
  _xlpm.result, _xlfn.XLOOKUP($B223, Result_Database!$A$2:$A$500, Result_Database!J$2:J$500),
  _xlfn.IFNA(_xlpm.result, "")
)</f>
        <v/>
      </c>
      <c r="L223" t="str">
        <f>_xlfn.LET(
  _xlpm.result, _xlfn.XLOOKUP($B223, Result_Database!$A$2:$A$500, Result_Database!K$2:K$500),
  _xlfn.IFNA(_xlpm.result, "")
)</f>
        <v/>
      </c>
      <c r="M223" t="str">
        <f>_xlfn.LET(
  _xlpm.result, _xlfn.XLOOKUP($B223, Result_Database!$A$2:$A$500, Result_Database!L$2:L$500),
  _xlfn.IFNA(_xlpm.result, "")
)</f>
        <v/>
      </c>
      <c r="N223" t="str">
        <f>_xlfn.LET(
  _xlpm.result, _xlfn.XLOOKUP($B223, Result_Database!$A$2:$A$500, Result_Database!M$2:M$500),
  _xlfn.IFNA(_xlpm.result, "")
)</f>
        <v/>
      </c>
      <c r="O223" t="str">
        <f>_xlfn.LET(
  _xlpm.result, _xlfn.XLOOKUP($B223, Result_Database!$A$2:$A$500, Result_Database!N$2:N$500),
  _xlfn.IFNA(_xlpm.result, "")
)</f>
        <v/>
      </c>
      <c r="P223" t="str">
        <f>_xlfn.LET(
  _xlpm.result, _xlfn.XLOOKUP($B223, Result_Database!$A$2:$A$500, Result_Database!O$2:O$500),
  _xlfn.IFNA(_xlpm.result, "")
)</f>
        <v/>
      </c>
      <c r="Q223" t="str">
        <f>_xlfn.LET(
  _xlpm.result, _xlfn.XLOOKUP($B223, Result_Database!$A$2:$A$500, Result_Database!P$2:P$500),
  _xlfn.IFNA(_xlpm.result, "")
)</f>
        <v/>
      </c>
      <c r="R223" t="str">
        <f>_xlfn.LET(
  _xlpm.result, _xlfn.XLOOKUP($B223, Result_Database!$A$2:$A$500, Result_Database!Q$2:Q$500),
  _xlfn.IFNA(_xlpm.result, "")
)</f>
        <v/>
      </c>
      <c r="S223" t="str">
        <f>_xlfn.LET(
  _xlpm.result, _xlfn.XLOOKUP($B223, Result_Database!$A$2:$A$500, Result_Database!R$2:R$500),
  _xlfn.IFNA(_xlpm.result, "")
)</f>
        <v/>
      </c>
      <c r="T223" t="str">
        <f>_xlfn.LET(
  _xlpm.result, _xlfn.XLOOKUP($B223, Result_Database!$A$2:$A$500, Result_Database!S$2:S$500),
  _xlfn.IFNA(_xlpm.result, "")
)</f>
        <v/>
      </c>
      <c r="U223" t="str">
        <f>_xlfn.LET(
  _xlpm.result, _xlfn.XLOOKUP($B223, Result_Database!$A$2:$A$500, Result_Database!T$2:T$500),
  _xlfn.IFNA(_xlpm.result, "")
)</f>
        <v/>
      </c>
      <c r="V223" t="str">
        <f>_xlfn.LET(
  _xlpm.result, _xlfn.XLOOKUP($B223, Result_Database!$A$2:$A$500, Result_Database!U$2:U$500),
  _xlfn.IFNA(_xlpm.result, "")
)</f>
        <v/>
      </c>
      <c r="W223" t="str">
        <f>_xlfn.LET(
  _xlpm.result, _xlfn.XLOOKUP($B223, Result_Database!$A$2:$A$500, Result_Database!V$2:V$500),
  _xlfn.IFNA(_xlpm.result, "")
)</f>
        <v/>
      </c>
      <c r="X223" t="str">
        <f>_xlfn.LET(
  _xlpm.result, _xlfn.XLOOKUP($B223, Result_Database!$A$2:$A$500, Result_Database!W$2:W$500),
  _xlfn.IFNA(_xlpm.result, "")
)</f>
        <v/>
      </c>
      <c r="Y223" t="str">
        <f>_xlfn.LET(
  _xlpm.result, _xlfn.XLOOKUP($B223, Result_Database!$A$2:$A$500, Result_Database!X$2:X$500),
  _xlfn.IFNA(_xlpm.result, "")
)</f>
        <v/>
      </c>
      <c r="Z223" t="str">
        <f>_xlfn.LET(
  _xlpm.result, _xlfn.XLOOKUP($B223, Result_Database!$A$2:$A$500, Result_Database!Y$2:Y$500),
  _xlfn.IFNA(_xlpm.result, "")
)</f>
        <v/>
      </c>
      <c r="AA223" t="str">
        <f>_xlfn.LET(
  _xlpm.result, _xlfn.XLOOKUP($B223, Result_Database!$A$2:$A$500, Result_Database!Z$2:Z$500),
  _xlfn.IFNA(_xlpm.result, "")
)</f>
        <v/>
      </c>
      <c r="AB223" t="str">
        <f>_xlfn.LET(
  _xlpm.result, _xlfn.XLOOKUP($B223, Result_Database!$A$2:$A$500, Result_Database!AA$2:AA$500),
  _xlfn.IFNA(_xlpm.result, "")
)</f>
        <v/>
      </c>
      <c r="AC223" t="str">
        <f>_xlfn.LET(
  _xlpm.result, _xlfn.XLOOKUP($B223, Result_Database!$A$2:$A$500, Result_Database!AB$2:AB$500),
  _xlfn.IFNA(_xlpm.result, "")
)</f>
        <v/>
      </c>
      <c r="AD223" t="str">
        <f>_xlfn.LET(
  _xlpm.result, _xlfn.XLOOKUP($B223, Result_Database!$A$2:$A$500, Result_Database!AC$2:AC$500),
  _xlfn.IFNA(_xlpm.result, "")
)</f>
        <v/>
      </c>
      <c r="AE223" t="str">
        <f>_xlfn.LET(
  _xlpm.result, _xlfn.XLOOKUP($B223, Result_Database!$A$2:$A$500, Result_Database!AD$2:AD$500),
  _xlfn.IFNA(_xlpm.result, "")
)</f>
        <v/>
      </c>
      <c r="AF223" t="str">
        <f>_xlfn.LET(
  _xlpm.result, _xlfn.XLOOKUP($B223, Result_Database!$A$2:$A$500, Result_Database!AE$2:AE$500),
  _xlfn.IFNA(_xlpm.result, "")
)</f>
        <v/>
      </c>
      <c r="AG223" t="str">
        <f>_xlfn.LET(
  _xlpm.result, _xlfn.XLOOKUP($B223, Result_Database!$A$2:$A$500, Result_Database!AF$2:AF$500),
  _xlfn.IFNA(_xlpm.result, "")
)</f>
        <v/>
      </c>
      <c r="AH223" t="str">
        <f>_xlfn.LET(
  _xlpm.result, _xlfn.XLOOKUP($B223, Result_Database!$A$2:$A$500, Result_Database!AG$2:AG$500),
  _xlfn.IFNA(_xlpm.result, "")
)</f>
        <v/>
      </c>
      <c r="AI223" t="str">
        <f>_xlfn.LET(
  _xlpm.result, _xlfn.XLOOKUP($B223, Result_Database!$A$2:$A$500, Result_Database!AH$2:AH$500),
  _xlfn.IFNA(_xlpm.result, "")
)</f>
        <v/>
      </c>
      <c r="AJ223" t="str">
        <f>_xlfn.LET(
  _xlpm.result, _xlfn.XLOOKUP($B223, Result_Database!$A$2:$A$500, Result_Database!AI$2:AI$500),
  _xlfn.IFNA(_xlpm.result, "")
)</f>
        <v/>
      </c>
      <c r="AK223" t="str">
        <f>_xlfn.LET(
  _xlpm.result, _xlfn.XLOOKUP($B223, Result_Database!$A$2:$A$500, Result_Database!AJ$2:AJ$500),
  _xlfn.IFNA(_xlpm.result, "")
)</f>
        <v/>
      </c>
      <c r="AL223" t="str">
        <f>_xlfn.LET(
  _xlpm.result, _xlfn.XLOOKUP($B223, Result_Database!$A$2:$A$500, Result_Database!AK$2:AK$500),
  _xlfn.IFNA(_xlpm.result, "")
)</f>
        <v/>
      </c>
      <c r="AM22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2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2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2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2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2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2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2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2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23" t="str">
        <f>IF(SUM(Table5[[#This Row],[A1]:[C6]])&lt;&gt;0,SUM(Table5[[#This Row],[A1]:[C6]]),"")</f>
        <v/>
      </c>
      <c r="AW223" t="str">
        <f>IF(SUM(Table5[[#This Row],[D7]:[F9]])=0,"",SUM(Table5[[#This Row],[D7]:[F9]]))</f>
        <v/>
      </c>
      <c r="AX22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2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2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2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2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2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23" t="str">
        <f>IF(COUNTIF(Table5[[#This Row],[English Language]:[Electrical/ Electronics]],"WITHHELD")=0,"",COUNTIF(Table5[[#This Row],[English Language]:[Electrical/ Electronics]],"WITHHELD"))</f>
        <v/>
      </c>
      <c r="BE223" t="str">
        <f>IF(SUM(Table5[[#This Row],[NO OF CREDITS]:[BELOW CREDITS]])=0,"",SUM(Table5[[#This Row],[NO OF CREDITS]:[BELOW CREDITS]]))</f>
        <v/>
      </c>
    </row>
    <row r="224" spans="1:57" x14ac:dyDescent="0.3">
      <c r="A224" t="str">
        <f>IF(B224&lt;&gt;"",COUNTA($B$6:B224),"")</f>
        <v/>
      </c>
      <c r="B224" t="str">
        <f>IF(Result_Database!A220="","",Result_Database!A220)</f>
        <v/>
      </c>
      <c r="C224" t="str">
        <f>_xlfn.LET(
_xlpm.result,_xlfn.XLOOKUP($B224,Result_Database!$A$2:$A$500,Result_Database!$B$2:$B$500),
_xlfn.IFNA(_xlpm.result,"")
)</f>
        <v/>
      </c>
      <c r="D224" t="str">
        <f>_xlfn.LET(
  _xlpm.result, _xlfn.XLOOKUP($B224, Result_Database!$A$2:$A$500, Result_Database!C$2:C$500),
  _xlfn.IFNA(_xlpm.result, "")
)</f>
        <v/>
      </c>
      <c r="E224" t="str">
        <f>_xlfn.LET(
  _xlpm.result, _xlfn.XLOOKUP($B224, Result_Database!$A$2:$A$500, Result_Database!D$2:D$500),
  _xlfn.IFNA(_xlpm.result, "")
)</f>
        <v/>
      </c>
      <c r="F224" t="str">
        <f>_xlfn.LET(
  _xlpm.result, _xlfn.XLOOKUP($B224, Result_Database!$A$2:$A$500, Result_Database!E$2:E$500),
  _xlfn.IFNA(_xlpm.result, "")
)</f>
        <v/>
      </c>
      <c r="G224" t="str">
        <f>_xlfn.LET(
  _xlpm.result, _xlfn.XLOOKUP($B224, Result_Database!$A$2:$A$500, Result_Database!F$2:F$500),
  _xlfn.IFNA(_xlpm.result, "")
)</f>
        <v/>
      </c>
      <c r="H224" t="str">
        <f>_xlfn.LET(
  _xlpm.result, _xlfn.XLOOKUP($B224, Result_Database!$A$2:$A$500, Result_Database!G$2:G$500),
  _xlfn.IFNA(_xlpm.result, "")
)</f>
        <v/>
      </c>
      <c r="I224" t="str">
        <f>_xlfn.LET(
  _xlpm.result, _xlfn.XLOOKUP($B224, Result_Database!$A$2:$A$500, Result_Database!H$2:H$500),
  _xlfn.IFNA(_xlpm.result, "")
)</f>
        <v/>
      </c>
      <c r="J224" t="str">
        <f>_xlfn.LET(
  _xlpm.result, _xlfn.XLOOKUP($B224, Result_Database!$A$2:$A$500, Result_Database!I$2:I$500),
  _xlfn.IFNA(_xlpm.result, "")
)</f>
        <v/>
      </c>
      <c r="K224" t="str">
        <f>_xlfn.LET(
  _xlpm.result, _xlfn.XLOOKUP($B224, Result_Database!$A$2:$A$500, Result_Database!J$2:J$500),
  _xlfn.IFNA(_xlpm.result, "")
)</f>
        <v/>
      </c>
      <c r="L224" t="str">
        <f>_xlfn.LET(
  _xlpm.result, _xlfn.XLOOKUP($B224, Result_Database!$A$2:$A$500, Result_Database!K$2:K$500),
  _xlfn.IFNA(_xlpm.result, "")
)</f>
        <v/>
      </c>
      <c r="M224" t="str">
        <f>_xlfn.LET(
  _xlpm.result, _xlfn.XLOOKUP($B224, Result_Database!$A$2:$A$500, Result_Database!L$2:L$500),
  _xlfn.IFNA(_xlpm.result, "")
)</f>
        <v/>
      </c>
      <c r="N224" t="str">
        <f>_xlfn.LET(
  _xlpm.result, _xlfn.XLOOKUP($B224, Result_Database!$A$2:$A$500, Result_Database!M$2:M$500),
  _xlfn.IFNA(_xlpm.result, "")
)</f>
        <v/>
      </c>
      <c r="O224" t="str">
        <f>_xlfn.LET(
  _xlpm.result, _xlfn.XLOOKUP($B224, Result_Database!$A$2:$A$500, Result_Database!N$2:N$500),
  _xlfn.IFNA(_xlpm.result, "")
)</f>
        <v/>
      </c>
      <c r="P224" t="str">
        <f>_xlfn.LET(
  _xlpm.result, _xlfn.XLOOKUP($B224, Result_Database!$A$2:$A$500, Result_Database!O$2:O$500),
  _xlfn.IFNA(_xlpm.result, "")
)</f>
        <v/>
      </c>
      <c r="Q224" t="str">
        <f>_xlfn.LET(
  _xlpm.result, _xlfn.XLOOKUP($B224, Result_Database!$A$2:$A$500, Result_Database!P$2:P$500),
  _xlfn.IFNA(_xlpm.result, "")
)</f>
        <v/>
      </c>
      <c r="R224" t="str">
        <f>_xlfn.LET(
  _xlpm.result, _xlfn.XLOOKUP($B224, Result_Database!$A$2:$A$500, Result_Database!Q$2:Q$500),
  _xlfn.IFNA(_xlpm.result, "")
)</f>
        <v/>
      </c>
      <c r="S224" t="str">
        <f>_xlfn.LET(
  _xlpm.result, _xlfn.XLOOKUP($B224, Result_Database!$A$2:$A$500, Result_Database!R$2:R$500),
  _xlfn.IFNA(_xlpm.result, "")
)</f>
        <v/>
      </c>
      <c r="T224" t="str">
        <f>_xlfn.LET(
  _xlpm.result, _xlfn.XLOOKUP($B224, Result_Database!$A$2:$A$500, Result_Database!S$2:S$500),
  _xlfn.IFNA(_xlpm.result, "")
)</f>
        <v/>
      </c>
      <c r="U224" t="str">
        <f>_xlfn.LET(
  _xlpm.result, _xlfn.XLOOKUP($B224, Result_Database!$A$2:$A$500, Result_Database!T$2:T$500),
  _xlfn.IFNA(_xlpm.result, "")
)</f>
        <v/>
      </c>
      <c r="V224" t="str">
        <f>_xlfn.LET(
  _xlpm.result, _xlfn.XLOOKUP($B224, Result_Database!$A$2:$A$500, Result_Database!U$2:U$500),
  _xlfn.IFNA(_xlpm.result, "")
)</f>
        <v/>
      </c>
      <c r="W224" t="str">
        <f>_xlfn.LET(
  _xlpm.result, _xlfn.XLOOKUP($B224, Result_Database!$A$2:$A$500, Result_Database!V$2:V$500),
  _xlfn.IFNA(_xlpm.result, "")
)</f>
        <v/>
      </c>
      <c r="X224" t="str">
        <f>_xlfn.LET(
  _xlpm.result, _xlfn.XLOOKUP($B224, Result_Database!$A$2:$A$500, Result_Database!W$2:W$500),
  _xlfn.IFNA(_xlpm.result, "")
)</f>
        <v/>
      </c>
      <c r="Y224" t="str">
        <f>_xlfn.LET(
  _xlpm.result, _xlfn.XLOOKUP($B224, Result_Database!$A$2:$A$500, Result_Database!X$2:X$500),
  _xlfn.IFNA(_xlpm.result, "")
)</f>
        <v/>
      </c>
      <c r="Z224" t="str">
        <f>_xlfn.LET(
  _xlpm.result, _xlfn.XLOOKUP($B224, Result_Database!$A$2:$A$500, Result_Database!Y$2:Y$500),
  _xlfn.IFNA(_xlpm.result, "")
)</f>
        <v/>
      </c>
      <c r="AA224" t="str">
        <f>_xlfn.LET(
  _xlpm.result, _xlfn.XLOOKUP($B224, Result_Database!$A$2:$A$500, Result_Database!Z$2:Z$500),
  _xlfn.IFNA(_xlpm.result, "")
)</f>
        <v/>
      </c>
      <c r="AB224" t="str">
        <f>_xlfn.LET(
  _xlpm.result, _xlfn.XLOOKUP($B224, Result_Database!$A$2:$A$500, Result_Database!AA$2:AA$500),
  _xlfn.IFNA(_xlpm.result, "")
)</f>
        <v/>
      </c>
      <c r="AC224" t="str">
        <f>_xlfn.LET(
  _xlpm.result, _xlfn.XLOOKUP($B224, Result_Database!$A$2:$A$500, Result_Database!AB$2:AB$500),
  _xlfn.IFNA(_xlpm.result, "")
)</f>
        <v/>
      </c>
      <c r="AD224" t="str">
        <f>_xlfn.LET(
  _xlpm.result, _xlfn.XLOOKUP($B224, Result_Database!$A$2:$A$500, Result_Database!AC$2:AC$500),
  _xlfn.IFNA(_xlpm.result, "")
)</f>
        <v/>
      </c>
      <c r="AE224" t="str">
        <f>_xlfn.LET(
  _xlpm.result, _xlfn.XLOOKUP($B224, Result_Database!$A$2:$A$500, Result_Database!AD$2:AD$500),
  _xlfn.IFNA(_xlpm.result, "")
)</f>
        <v/>
      </c>
      <c r="AF224" t="str">
        <f>_xlfn.LET(
  _xlpm.result, _xlfn.XLOOKUP($B224, Result_Database!$A$2:$A$500, Result_Database!AE$2:AE$500),
  _xlfn.IFNA(_xlpm.result, "")
)</f>
        <v/>
      </c>
      <c r="AG224" t="str">
        <f>_xlfn.LET(
  _xlpm.result, _xlfn.XLOOKUP($B224, Result_Database!$A$2:$A$500, Result_Database!AF$2:AF$500),
  _xlfn.IFNA(_xlpm.result, "")
)</f>
        <v/>
      </c>
      <c r="AH224" t="str">
        <f>_xlfn.LET(
  _xlpm.result, _xlfn.XLOOKUP($B224, Result_Database!$A$2:$A$500, Result_Database!AG$2:AG$500),
  _xlfn.IFNA(_xlpm.result, "")
)</f>
        <v/>
      </c>
      <c r="AI224" t="str">
        <f>_xlfn.LET(
  _xlpm.result, _xlfn.XLOOKUP($B224, Result_Database!$A$2:$A$500, Result_Database!AH$2:AH$500),
  _xlfn.IFNA(_xlpm.result, "")
)</f>
        <v/>
      </c>
      <c r="AJ224" t="str">
        <f>_xlfn.LET(
  _xlpm.result, _xlfn.XLOOKUP($B224, Result_Database!$A$2:$A$500, Result_Database!AI$2:AI$500),
  _xlfn.IFNA(_xlpm.result, "")
)</f>
        <v/>
      </c>
      <c r="AK224" t="str">
        <f>_xlfn.LET(
  _xlpm.result, _xlfn.XLOOKUP($B224, Result_Database!$A$2:$A$500, Result_Database!AJ$2:AJ$500),
  _xlfn.IFNA(_xlpm.result, "")
)</f>
        <v/>
      </c>
      <c r="AL224" t="str">
        <f>_xlfn.LET(
  _xlpm.result, _xlfn.XLOOKUP($B224, Result_Database!$A$2:$A$500, Result_Database!AK$2:AK$500),
  _xlfn.IFNA(_xlpm.result, "")
)</f>
        <v/>
      </c>
      <c r="AM22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2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2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2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2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2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2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2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2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24" t="str">
        <f>IF(SUM(Table5[[#This Row],[A1]:[C6]])&lt;&gt;0,SUM(Table5[[#This Row],[A1]:[C6]]),"")</f>
        <v/>
      </c>
      <c r="AW224" t="str">
        <f>IF(SUM(Table5[[#This Row],[D7]:[F9]])=0,"",SUM(Table5[[#This Row],[D7]:[F9]]))</f>
        <v/>
      </c>
      <c r="AX22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2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2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2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2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2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24" t="str">
        <f>IF(COUNTIF(Table5[[#This Row],[English Language]:[Electrical/ Electronics]],"WITHHELD")=0,"",COUNTIF(Table5[[#This Row],[English Language]:[Electrical/ Electronics]],"WITHHELD"))</f>
        <v/>
      </c>
      <c r="BE224" t="str">
        <f>IF(SUM(Table5[[#This Row],[NO OF CREDITS]:[BELOW CREDITS]])=0,"",SUM(Table5[[#This Row],[NO OF CREDITS]:[BELOW CREDITS]]))</f>
        <v/>
      </c>
    </row>
    <row r="225" spans="1:57" x14ac:dyDescent="0.3">
      <c r="A225" t="str">
        <f>IF(B225&lt;&gt;"",COUNTA($B$6:B225),"")</f>
        <v/>
      </c>
      <c r="B225" t="str">
        <f>IF(Result_Database!A221="","",Result_Database!A221)</f>
        <v/>
      </c>
      <c r="C225" t="str">
        <f>_xlfn.LET(
_xlpm.result,_xlfn.XLOOKUP($B225,Result_Database!$A$2:$A$500,Result_Database!$B$2:$B$500),
_xlfn.IFNA(_xlpm.result,"")
)</f>
        <v/>
      </c>
      <c r="D225" t="str">
        <f>_xlfn.LET(
  _xlpm.result, _xlfn.XLOOKUP($B225, Result_Database!$A$2:$A$500, Result_Database!C$2:C$500),
  _xlfn.IFNA(_xlpm.result, "")
)</f>
        <v/>
      </c>
      <c r="E225" t="str">
        <f>_xlfn.LET(
  _xlpm.result, _xlfn.XLOOKUP($B225, Result_Database!$A$2:$A$500, Result_Database!D$2:D$500),
  _xlfn.IFNA(_xlpm.result, "")
)</f>
        <v/>
      </c>
      <c r="F225" t="str">
        <f>_xlfn.LET(
  _xlpm.result, _xlfn.XLOOKUP($B225, Result_Database!$A$2:$A$500, Result_Database!E$2:E$500),
  _xlfn.IFNA(_xlpm.result, "")
)</f>
        <v/>
      </c>
      <c r="G225" t="str">
        <f>_xlfn.LET(
  _xlpm.result, _xlfn.XLOOKUP($B225, Result_Database!$A$2:$A$500, Result_Database!F$2:F$500),
  _xlfn.IFNA(_xlpm.result, "")
)</f>
        <v/>
      </c>
      <c r="H225" t="str">
        <f>_xlfn.LET(
  _xlpm.result, _xlfn.XLOOKUP($B225, Result_Database!$A$2:$A$500, Result_Database!G$2:G$500),
  _xlfn.IFNA(_xlpm.result, "")
)</f>
        <v/>
      </c>
      <c r="I225" t="str">
        <f>_xlfn.LET(
  _xlpm.result, _xlfn.XLOOKUP($B225, Result_Database!$A$2:$A$500, Result_Database!H$2:H$500),
  _xlfn.IFNA(_xlpm.result, "")
)</f>
        <v/>
      </c>
      <c r="J225" t="str">
        <f>_xlfn.LET(
  _xlpm.result, _xlfn.XLOOKUP($B225, Result_Database!$A$2:$A$500, Result_Database!I$2:I$500),
  _xlfn.IFNA(_xlpm.result, "")
)</f>
        <v/>
      </c>
      <c r="K225" t="str">
        <f>_xlfn.LET(
  _xlpm.result, _xlfn.XLOOKUP($B225, Result_Database!$A$2:$A$500, Result_Database!J$2:J$500),
  _xlfn.IFNA(_xlpm.result, "")
)</f>
        <v/>
      </c>
      <c r="L225" t="str">
        <f>_xlfn.LET(
  _xlpm.result, _xlfn.XLOOKUP($B225, Result_Database!$A$2:$A$500, Result_Database!K$2:K$500),
  _xlfn.IFNA(_xlpm.result, "")
)</f>
        <v/>
      </c>
      <c r="M225" t="str">
        <f>_xlfn.LET(
  _xlpm.result, _xlfn.XLOOKUP($B225, Result_Database!$A$2:$A$500, Result_Database!L$2:L$500),
  _xlfn.IFNA(_xlpm.result, "")
)</f>
        <v/>
      </c>
      <c r="N225" t="str">
        <f>_xlfn.LET(
  _xlpm.result, _xlfn.XLOOKUP($B225, Result_Database!$A$2:$A$500, Result_Database!M$2:M$500),
  _xlfn.IFNA(_xlpm.result, "")
)</f>
        <v/>
      </c>
      <c r="O225" t="str">
        <f>_xlfn.LET(
  _xlpm.result, _xlfn.XLOOKUP($B225, Result_Database!$A$2:$A$500, Result_Database!N$2:N$500),
  _xlfn.IFNA(_xlpm.result, "")
)</f>
        <v/>
      </c>
      <c r="P225" t="str">
        <f>_xlfn.LET(
  _xlpm.result, _xlfn.XLOOKUP($B225, Result_Database!$A$2:$A$500, Result_Database!O$2:O$500),
  _xlfn.IFNA(_xlpm.result, "")
)</f>
        <v/>
      </c>
      <c r="Q225" t="str">
        <f>_xlfn.LET(
  _xlpm.result, _xlfn.XLOOKUP($B225, Result_Database!$A$2:$A$500, Result_Database!P$2:P$500),
  _xlfn.IFNA(_xlpm.result, "")
)</f>
        <v/>
      </c>
      <c r="R225" t="str">
        <f>_xlfn.LET(
  _xlpm.result, _xlfn.XLOOKUP($B225, Result_Database!$A$2:$A$500, Result_Database!Q$2:Q$500),
  _xlfn.IFNA(_xlpm.result, "")
)</f>
        <v/>
      </c>
      <c r="S225" t="str">
        <f>_xlfn.LET(
  _xlpm.result, _xlfn.XLOOKUP($B225, Result_Database!$A$2:$A$500, Result_Database!R$2:R$500),
  _xlfn.IFNA(_xlpm.result, "")
)</f>
        <v/>
      </c>
      <c r="T225" t="str">
        <f>_xlfn.LET(
  _xlpm.result, _xlfn.XLOOKUP($B225, Result_Database!$A$2:$A$500, Result_Database!S$2:S$500),
  _xlfn.IFNA(_xlpm.result, "")
)</f>
        <v/>
      </c>
      <c r="U225" t="str">
        <f>_xlfn.LET(
  _xlpm.result, _xlfn.XLOOKUP($B225, Result_Database!$A$2:$A$500, Result_Database!T$2:T$500),
  _xlfn.IFNA(_xlpm.result, "")
)</f>
        <v/>
      </c>
      <c r="V225" t="str">
        <f>_xlfn.LET(
  _xlpm.result, _xlfn.XLOOKUP($B225, Result_Database!$A$2:$A$500, Result_Database!U$2:U$500),
  _xlfn.IFNA(_xlpm.result, "")
)</f>
        <v/>
      </c>
      <c r="W225" t="str">
        <f>_xlfn.LET(
  _xlpm.result, _xlfn.XLOOKUP($B225, Result_Database!$A$2:$A$500, Result_Database!V$2:V$500),
  _xlfn.IFNA(_xlpm.result, "")
)</f>
        <v/>
      </c>
      <c r="X225" t="str">
        <f>_xlfn.LET(
  _xlpm.result, _xlfn.XLOOKUP($B225, Result_Database!$A$2:$A$500, Result_Database!W$2:W$500),
  _xlfn.IFNA(_xlpm.result, "")
)</f>
        <v/>
      </c>
      <c r="Y225" t="str">
        <f>_xlfn.LET(
  _xlpm.result, _xlfn.XLOOKUP($B225, Result_Database!$A$2:$A$500, Result_Database!X$2:X$500),
  _xlfn.IFNA(_xlpm.result, "")
)</f>
        <v/>
      </c>
      <c r="Z225" t="str">
        <f>_xlfn.LET(
  _xlpm.result, _xlfn.XLOOKUP($B225, Result_Database!$A$2:$A$500, Result_Database!Y$2:Y$500),
  _xlfn.IFNA(_xlpm.result, "")
)</f>
        <v/>
      </c>
      <c r="AA225" t="str">
        <f>_xlfn.LET(
  _xlpm.result, _xlfn.XLOOKUP($B225, Result_Database!$A$2:$A$500, Result_Database!Z$2:Z$500),
  _xlfn.IFNA(_xlpm.result, "")
)</f>
        <v/>
      </c>
      <c r="AB225" t="str">
        <f>_xlfn.LET(
  _xlpm.result, _xlfn.XLOOKUP($B225, Result_Database!$A$2:$A$500, Result_Database!AA$2:AA$500),
  _xlfn.IFNA(_xlpm.result, "")
)</f>
        <v/>
      </c>
      <c r="AC225" t="str">
        <f>_xlfn.LET(
  _xlpm.result, _xlfn.XLOOKUP($B225, Result_Database!$A$2:$A$500, Result_Database!AB$2:AB$500),
  _xlfn.IFNA(_xlpm.result, "")
)</f>
        <v/>
      </c>
      <c r="AD225" t="str">
        <f>_xlfn.LET(
  _xlpm.result, _xlfn.XLOOKUP($B225, Result_Database!$A$2:$A$500, Result_Database!AC$2:AC$500),
  _xlfn.IFNA(_xlpm.result, "")
)</f>
        <v/>
      </c>
      <c r="AE225" t="str">
        <f>_xlfn.LET(
  _xlpm.result, _xlfn.XLOOKUP($B225, Result_Database!$A$2:$A$500, Result_Database!AD$2:AD$500),
  _xlfn.IFNA(_xlpm.result, "")
)</f>
        <v/>
      </c>
      <c r="AF225" t="str">
        <f>_xlfn.LET(
  _xlpm.result, _xlfn.XLOOKUP($B225, Result_Database!$A$2:$A$500, Result_Database!AE$2:AE$500),
  _xlfn.IFNA(_xlpm.result, "")
)</f>
        <v/>
      </c>
      <c r="AG225" t="str">
        <f>_xlfn.LET(
  _xlpm.result, _xlfn.XLOOKUP($B225, Result_Database!$A$2:$A$500, Result_Database!AF$2:AF$500),
  _xlfn.IFNA(_xlpm.result, "")
)</f>
        <v/>
      </c>
      <c r="AH225" t="str">
        <f>_xlfn.LET(
  _xlpm.result, _xlfn.XLOOKUP($B225, Result_Database!$A$2:$A$500, Result_Database!AG$2:AG$500),
  _xlfn.IFNA(_xlpm.result, "")
)</f>
        <v/>
      </c>
      <c r="AI225" t="str">
        <f>_xlfn.LET(
  _xlpm.result, _xlfn.XLOOKUP($B225, Result_Database!$A$2:$A$500, Result_Database!AH$2:AH$500),
  _xlfn.IFNA(_xlpm.result, "")
)</f>
        <v/>
      </c>
      <c r="AJ225" t="str">
        <f>_xlfn.LET(
  _xlpm.result, _xlfn.XLOOKUP($B225, Result_Database!$A$2:$A$500, Result_Database!AI$2:AI$500),
  _xlfn.IFNA(_xlpm.result, "")
)</f>
        <v/>
      </c>
      <c r="AK225" t="str">
        <f>_xlfn.LET(
  _xlpm.result, _xlfn.XLOOKUP($B225, Result_Database!$A$2:$A$500, Result_Database!AJ$2:AJ$500),
  _xlfn.IFNA(_xlpm.result, "")
)</f>
        <v/>
      </c>
      <c r="AL225" t="str">
        <f>_xlfn.LET(
  _xlpm.result, _xlfn.XLOOKUP($B225, Result_Database!$A$2:$A$500, Result_Database!AK$2:AK$500),
  _xlfn.IFNA(_xlpm.result, "")
)</f>
        <v/>
      </c>
      <c r="AM22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2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2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2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2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2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2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2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2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25" t="str">
        <f>IF(SUM(Table5[[#This Row],[A1]:[C6]])&lt;&gt;0,SUM(Table5[[#This Row],[A1]:[C6]]),"")</f>
        <v/>
      </c>
      <c r="AW225" t="str">
        <f>IF(SUM(Table5[[#This Row],[D7]:[F9]])=0,"",SUM(Table5[[#This Row],[D7]:[F9]]))</f>
        <v/>
      </c>
      <c r="AX22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2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2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2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2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2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25" t="str">
        <f>IF(COUNTIF(Table5[[#This Row],[English Language]:[Electrical/ Electronics]],"WITHHELD")=0,"",COUNTIF(Table5[[#This Row],[English Language]:[Electrical/ Electronics]],"WITHHELD"))</f>
        <v/>
      </c>
      <c r="BE225" t="str">
        <f>IF(SUM(Table5[[#This Row],[NO OF CREDITS]:[BELOW CREDITS]])=0,"",SUM(Table5[[#This Row],[NO OF CREDITS]:[BELOW CREDITS]]))</f>
        <v/>
      </c>
    </row>
    <row r="226" spans="1:57" x14ac:dyDescent="0.3">
      <c r="A226" t="str">
        <f>IF(B226&lt;&gt;"",COUNTA($B$6:B226),"")</f>
        <v/>
      </c>
      <c r="B226" t="str">
        <f>IF(Result_Database!A222="","",Result_Database!A222)</f>
        <v/>
      </c>
      <c r="C226" t="str">
        <f>_xlfn.LET(
_xlpm.result,_xlfn.XLOOKUP($B226,Result_Database!$A$2:$A$500,Result_Database!$B$2:$B$500),
_xlfn.IFNA(_xlpm.result,"")
)</f>
        <v/>
      </c>
      <c r="D226" t="str">
        <f>_xlfn.LET(
  _xlpm.result, _xlfn.XLOOKUP($B226, Result_Database!$A$2:$A$500, Result_Database!C$2:C$500),
  _xlfn.IFNA(_xlpm.result, "")
)</f>
        <v/>
      </c>
      <c r="E226" t="str">
        <f>_xlfn.LET(
  _xlpm.result, _xlfn.XLOOKUP($B226, Result_Database!$A$2:$A$500, Result_Database!D$2:D$500),
  _xlfn.IFNA(_xlpm.result, "")
)</f>
        <v/>
      </c>
      <c r="F226" t="str">
        <f>_xlfn.LET(
  _xlpm.result, _xlfn.XLOOKUP($B226, Result_Database!$A$2:$A$500, Result_Database!E$2:E$500),
  _xlfn.IFNA(_xlpm.result, "")
)</f>
        <v/>
      </c>
      <c r="G226" t="str">
        <f>_xlfn.LET(
  _xlpm.result, _xlfn.XLOOKUP($B226, Result_Database!$A$2:$A$500, Result_Database!F$2:F$500),
  _xlfn.IFNA(_xlpm.result, "")
)</f>
        <v/>
      </c>
      <c r="H226" t="str">
        <f>_xlfn.LET(
  _xlpm.result, _xlfn.XLOOKUP($B226, Result_Database!$A$2:$A$500, Result_Database!G$2:G$500),
  _xlfn.IFNA(_xlpm.result, "")
)</f>
        <v/>
      </c>
      <c r="I226" t="str">
        <f>_xlfn.LET(
  _xlpm.result, _xlfn.XLOOKUP($B226, Result_Database!$A$2:$A$500, Result_Database!H$2:H$500),
  _xlfn.IFNA(_xlpm.result, "")
)</f>
        <v/>
      </c>
      <c r="J226" t="str">
        <f>_xlfn.LET(
  _xlpm.result, _xlfn.XLOOKUP($B226, Result_Database!$A$2:$A$500, Result_Database!I$2:I$500),
  _xlfn.IFNA(_xlpm.result, "")
)</f>
        <v/>
      </c>
      <c r="K226" t="str">
        <f>_xlfn.LET(
  _xlpm.result, _xlfn.XLOOKUP($B226, Result_Database!$A$2:$A$500, Result_Database!J$2:J$500),
  _xlfn.IFNA(_xlpm.result, "")
)</f>
        <v/>
      </c>
      <c r="L226" t="str">
        <f>_xlfn.LET(
  _xlpm.result, _xlfn.XLOOKUP($B226, Result_Database!$A$2:$A$500, Result_Database!K$2:K$500),
  _xlfn.IFNA(_xlpm.result, "")
)</f>
        <v/>
      </c>
      <c r="M226" t="str">
        <f>_xlfn.LET(
  _xlpm.result, _xlfn.XLOOKUP($B226, Result_Database!$A$2:$A$500, Result_Database!L$2:L$500),
  _xlfn.IFNA(_xlpm.result, "")
)</f>
        <v/>
      </c>
      <c r="N226" t="str">
        <f>_xlfn.LET(
  _xlpm.result, _xlfn.XLOOKUP($B226, Result_Database!$A$2:$A$500, Result_Database!M$2:M$500),
  _xlfn.IFNA(_xlpm.result, "")
)</f>
        <v/>
      </c>
      <c r="O226" t="str">
        <f>_xlfn.LET(
  _xlpm.result, _xlfn.XLOOKUP($B226, Result_Database!$A$2:$A$500, Result_Database!N$2:N$500),
  _xlfn.IFNA(_xlpm.result, "")
)</f>
        <v/>
      </c>
      <c r="P226" t="str">
        <f>_xlfn.LET(
  _xlpm.result, _xlfn.XLOOKUP($B226, Result_Database!$A$2:$A$500, Result_Database!O$2:O$500),
  _xlfn.IFNA(_xlpm.result, "")
)</f>
        <v/>
      </c>
      <c r="Q226" t="str">
        <f>_xlfn.LET(
  _xlpm.result, _xlfn.XLOOKUP($B226, Result_Database!$A$2:$A$500, Result_Database!P$2:P$500),
  _xlfn.IFNA(_xlpm.result, "")
)</f>
        <v/>
      </c>
      <c r="R226" t="str">
        <f>_xlfn.LET(
  _xlpm.result, _xlfn.XLOOKUP($B226, Result_Database!$A$2:$A$500, Result_Database!Q$2:Q$500),
  _xlfn.IFNA(_xlpm.result, "")
)</f>
        <v/>
      </c>
      <c r="S226" t="str">
        <f>_xlfn.LET(
  _xlpm.result, _xlfn.XLOOKUP($B226, Result_Database!$A$2:$A$500, Result_Database!R$2:R$500),
  _xlfn.IFNA(_xlpm.result, "")
)</f>
        <v/>
      </c>
      <c r="T226" t="str">
        <f>_xlfn.LET(
  _xlpm.result, _xlfn.XLOOKUP($B226, Result_Database!$A$2:$A$500, Result_Database!S$2:S$500),
  _xlfn.IFNA(_xlpm.result, "")
)</f>
        <v/>
      </c>
      <c r="U226" t="str">
        <f>_xlfn.LET(
  _xlpm.result, _xlfn.XLOOKUP($B226, Result_Database!$A$2:$A$500, Result_Database!T$2:T$500),
  _xlfn.IFNA(_xlpm.result, "")
)</f>
        <v/>
      </c>
      <c r="V226" t="str">
        <f>_xlfn.LET(
  _xlpm.result, _xlfn.XLOOKUP($B226, Result_Database!$A$2:$A$500, Result_Database!U$2:U$500),
  _xlfn.IFNA(_xlpm.result, "")
)</f>
        <v/>
      </c>
      <c r="W226" t="str">
        <f>_xlfn.LET(
  _xlpm.result, _xlfn.XLOOKUP($B226, Result_Database!$A$2:$A$500, Result_Database!V$2:V$500),
  _xlfn.IFNA(_xlpm.result, "")
)</f>
        <v/>
      </c>
      <c r="X226" t="str">
        <f>_xlfn.LET(
  _xlpm.result, _xlfn.XLOOKUP($B226, Result_Database!$A$2:$A$500, Result_Database!W$2:W$500),
  _xlfn.IFNA(_xlpm.result, "")
)</f>
        <v/>
      </c>
      <c r="Y226" t="str">
        <f>_xlfn.LET(
  _xlpm.result, _xlfn.XLOOKUP($B226, Result_Database!$A$2:$A$500, Result_Database!X$2:X$500),
  _xlfn.IFNA(_xlpm.result, "")
)</f>
        <v/>
      </c>
      <c r="Z226" t="str">
        <f>_xlfn.LET(
  _xlpm.result, _xlfn.XLOOKUP($B226, Result_Database!$A$2:$A$500, Result_Database!Y$2:Y$500),
  _xlfn.IFNA(_xlpm.result, "")
)</f>
        <v/>
      </c>
      <c r="AA226" t="str">
        <f>_xlfn.LET(
  _xlpm.result, _xlfn.XLOOKUP($B226, Result_Database!$A$2:$A$500, Result_Database!Z$2:Z$500),
  _xlfn.IFNA(_xlpm.result, "")
)</f>
        <v/>
      </c>
      <c r="AB226" t="str">
        <f>_xlfn.LET(
  _xlpm.result, _xlfn.XLOOKUP($B226, Result_Database!$A$2:$A$500, Result_Database!AA$2:AA$500),
  _xlfn.IFNA(_xlpm.result, "")
)</f>
        <v/>
      </c>
      <c r="AC226" t="str">
        <f>_xlfn.LET(
  _xlpm.result, _xlfn.XLOOKUP($B226, Result_Database!$A$2:$A$500, Result_Database!AB$2:AB$500),
  _xlfn.IFNA(_xlpm.result, "")
)</f>
        <v/>
      </c>
      <c r="AD226" t="str">
        <f>_xlfn.LET(
  _xlpm.result, _xlfn.XLOOKUP($B226, Result_Database!$A$2:$A$500, Result_Database!AC$2:AC$500),
  _xlfn.IFNA(_xlpm.result, "")
)</f>
        <v/>
      </c>
      <c r="AE226" t="str">
        <f>_xlfn.LET(
  _xlpm.result, _xlfn.XLOOKUP($B226, Result_Database!$A$2:$A$500, Result_Database!AD$2:AD$500),
  _xlfn.IFNA(_xlpm.result, "")
)</f>
        <v/>
      </c>
      <c r="AF226" t="str">
        <f>_xlfn.LET(
  _xlpm.result, _xlfn.XLOOKUP($B226, Result_Database!$A$2:$A$500, Result_Database!AE$2:AE$500),
  _xlfn.IFNA(_xlpm.result, "")
)</f>
        <v/>
      </c>
      <c r="AG226" t="str">
        <f>_xlfn.LET(
  _xlpm.result, _xlfn.XLOOKUP($B226, Result_Database!$A$2:$A$500, Result_Database!AF$2:AF$500),
  _xlfn.IFNA(_xlpm.result, "")
)</f>
        <v/>
      </c>
      <c r="AH226" t="str">
        <f>_xlfn.LET(
  _xlpm.result, _xlfn.XLOOKUP($B226, Result_Database!$A$2:$A$500, Result_Database!AG$2:AG$500),
  _xlfn.IFNA(_xlpm.result, "")
)</f>
        <v/>
      </c>
      <c r="AI226" t="str">
        <f>_xlfn.LET(
  _xlpm.result, _xlfn.XLOOKUP($B226, Result_Database!$A$2:$A$500, Result_Database!AH$2:AH$500),
  _xlfn.IFNA(_xlpm.result, "")
)</f>
        <v/>
      </c>
      <c r="AJ226" t="str">
        <f>_xlfn.LET(
  _xlpm.result, _xlfn.XLOOKUP($B226, Result_Database!$A$2:$A$500, Result_Database!AI$2:AI$500),
  _xlfn.IFNA(_xlpm.result, "")
)</f>
        <v/>
      </c>
      <c r="AK226" t="str">
        <f>_xlfn.LET(
  _xlpm.result, _xlfn.XLOOKUP($B226, Result_Database!$A$2:$A$500, Result_Database!AJ$2:AJ$500),
  _xlfn.IFNA(_xlpm.result, "")
)</f>
        <v/>
      </c>
      <c r="AL226" t="str">
        <f>_xlfn.LET(
  _xlpm.result, _xlfn.XLOOKUP($B226, Result_Database!$A$2:$A$500, Result_Database!AK$2:AK$500),
  _xlfn.IFNA(_xlpm.result, "")
)</f>
        <v/>
      </c>
      <c r="AM22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2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2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2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2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2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2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2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2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26" t="str">
        <f>IF(SUM(Table5[[#This Row],[A1]:[C6]])&lt;&gt;0,SUM(Table5[[#This Row],[A1]:[C6]]),"")</f>
        <v/>
      </c>
      <c r="AW226" t="str">
        <f>IF(SUM(Table5[[#This Row],[D7]:[F9]])=0,"",SUM(Table5[[#This Row],[D7]:[F9]]))</f>
        <v/>
      </c>
      <c r="AX22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2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2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2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2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2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26" t="str">
        <f>IF(COUNTIF(Table5[[#This Row],[English Language]:[Electrical/ Electronics]],"WITHHELD")=0,"",COUNTIF(Table5[[#This Row],[English Language]:[Electrical/ Electronics]],"WITHHELD"))</f>
        <v/>
      </c>
      <c r="BE226" t="str">
        <f>IF(SUM(Table5[[#This Row],[NO OF CREDITS]:[BELOW CREDITS]])=0,"",SUM(Table5[[#This Row],[NO OF CREDITS]:[BELOW CREDITS]]))</f>
        <v/>
      </c>
    </row>
    <row r="227" spans="1:57" x14ac:dyDescent="0.3">
      <c r="A227" t="str">
        <f>IF(B227&lt;&gt;"",COUNTA($B$6:B227),"")</f>
        <v/>
      </c>
      <c r="B227" t="str">
        <f>IF(Result_Database!A223="","",Result_Database!A223)</f>
        <v/>
      </c>
      <c r="C227" t="str">
        <f>_xlfn.LET(
_xlpm.result,_xlfn.XLOOKUP($B227,Result_Database!$A$2:$A$500,Result_Database!$B$2:$B$500),
_xlfn.IFNA(_xlpm.result,"")
)</f>
        <v/>
      </c>
      <c r="D227" t="str">
        <f>_xlfn.LET(
  _xlpm.result, _xlfn.XLOOKUP($B227, Result_Database!$A$2:$A$500, Result_Database!C$2:C$500),
  _xlfn.IFNA(_xlpm.result, "")
)</f>
        <v/>
      </c>
      <c r="E227" t="str">
        <f>_xlfn.LET(
  _xlpm.result, _xlfn.XLOOKUP($B227, Result_Database!$A$2:$A$500, Result_Database!D$2:D$500),
  _xlfn.IFNA(_xlpm.result, "")
)</f>
        <v/>
      </c>
      <c r="F227" t="str">
        <f>_xlfn.LET(
  _xlpm.result, _xlfn.XLOOKUP($B227, Result_Database!$A$2:$A$500, Result_Database!E$2:E$500),
  _xlfn.IFNA(_xlpm.result, "")
)</f>
        <v/>
      </c>
      <c r="G227" t="str">
        <f>_xlfn.LET(
  _xlpm.result, _xlfn.XLOOKUP($B227, Result_Database!$A$2:$A$500, Result_Database!F$2:F$500),
  _xlfn.IFNA(_xlpm.result, "")
)</f>
        <v/>
      </c>
      <c r="H227" t="str">
        <f>_xlfn.LET(
  _xlpm.result, _xlfn.XLOOKUP($B227, Result_Database!$A$2:$A$500, Result_Database!G$2:G$500),
  _xlfn.IFNA(_xlpm.result, "")
)</f>
        <v/>
      </c>
      <c r="I227" t="str">
        <f>_xlfn.LET(
  _xlpm.result, _xlfn.XLOOKUP($B227, Result_Database!$A$2:$A$500, Result_Database!H$2:H$500),
  _xlfn.IFNA(_xlpm.result, "")
)</f>
        <v/>
      </c>
      <c r="J227" t="str">
        <f>_xlfn.LET(
  _xlpm.result, _xlfn.XLOOKUP($B227, Result_Database!$A$2:$A$500, Result_Database!I$2:I$500),
  _xlfn.IFNA(_xlpm.result, "")
)</f>
        <v/>
      </c>
      <c r="K227" t="str">
        <f>_xlfn.LET(
  _xlpm.result, _xlfn.XLOOKUP($B227, Result_Database!$A$2:$A$500, Result_Database!J$2:J$500),
  _xlfn.IFNA(_xlpm.result, "")
)</f>
        <v/>
      </c>
      <c r="L227" t="str">
        <f>_xlfn.LET(
  _xlpm.result, _xlfn.XLOOKUP($B227, Result_Database!$A$2:$A$500, Result_Database!K$2:K$500),
  _xlfn.IFNA(_xlpm.result, "")
)</f>
        <v/>
      </c>
      <c r="M227" t="str">
        <f>_xlfn.LET(
  _xlpm.result, _xlfn.XLOOKUP($B227, Result_Database!$A$2:$A$500, Result_Database!L$2:L$500),
  _xlfn.IFNA(_xlpm.result, "")
)</f>
        <v/>
      </c>
      <c r="N227" t="str">
        <f>_xlfn.LET(
  _xlpm.result, _xlfn.XLOOKUP($B227, Result_Database!$A$2:$A$500, Result_Database!M$2:M$500),
  _xlfn.IFNA(_xlpm.result, "")
)</f>
        <v/>
      </c>
      <c r="O227" t="str">
        <f>_xlfn.LET(
  _xlpm.result, _xlfn.XLOOKUP($B227, Result_Database!$A$2:$A$500, Result_Database!N$2:N$500),
  _xlfn.IFNA(_xlpm.result, "")
)</f>
        <v/>
      </c>
      <c r="P227" t="str">
        <f>_xlfn.LET(
  _xlpm.result, _xlfn.XLOOKUP($B227, Result_Database!$A$2:$A$500, Result_Database!O$2:O$500),
  _xlfn.IFNA(_xlpm.result, "")
)</f>
        <v/>
      </c>
      <c r="Q227" t="str">
        <f>_xlfn.LET(
  _xlpm.result, _xlfn.XLOOKUP($B227, Result_Database!$A$2:$A$500, Result_Database!P$2:P$500),
  _xlfn.IFNA(_xlpm.result, "")
)</f>
        <v/>
      </c>
      <c r="R227" t="str">
        <f>_xlfn.LET(
  _xlpm.result, _xlfn.XLOOKUP($B227, Result_Database!$A$2:$A$500, Result_Database!Q$2:Q$500),
  _xlfn.IFNA(_xlpm.result, "")
)</f>
        <v/>
      </c>
      <c r="S227" t="str">
        <f>_xlfn.LET(
  _xlpm.result, _xlfn.XLOOKUP($B227, Result_Database!$A$2:$A$500, Result_Database!R$2:R$500),
  _xlfn.IFNA(_xlpm.result, "")
)</f>
        <v/>
      </c>
      <c r="T227" t="str">
        <f>_xlfn.LET(
  _xlpm.result, _xlfn.XLOOKUP($B227, Result_Database!$A$2:$A$500, Result_Database!S$2:S$500),
  _xlfn.IFNA(_xlpm.result, "")
)</f>
        <v/>
      </c>
      <c r="U227" t="str">
        <f>_xlfn.LET(
  _xlpm.result, _xlfn.XLOOKUP($B227, Result_Database!$A$2:$A$500, Result_Database!T$2:T$500),
  _xlfn.IFNA(_xlpm.result, "")
)</f>
        <v/>
      </c>
      <c r="V227" t="str">
        <f>_xlfn.LET(
  _xlpm.result, _xlfn.XLOOKUP($B227, Result_Database!$A$2:$A$500, Result_Database!U$2:U$500),
  _xlfn.IFNA(_xlpm.result, "")
)</f>
        <v/>
      </c>
      <c r="W227" t="str">
        <f>_xlfn.LET(
  _xlpm.result, _xlfn.XLOOKUP($B227, Result_Database!$A$2:$A$500, Result_Database!V$2:V$500),
  _xlfn.IFNA(_xlpm.result, "")
)</f>
        <v/>
      </c>
      <c r="X227" t="str">
        <f>_xlfn.LET(
  _xlpm.result, _xlfn.XLOOKUP($B227, Result_Database!$A$2:$A$500, Result_Database!W$2:W$500),
  _xlfn.IFNA(_xlpm.result, "")
)</f>
        <v/>
      </c>
      <c r="Y227" t="str">
        <f>_xlfn.LET(
  _xlpm.result, _xlfn.XLOOKUP($B227, Result_Database!$A$2:$A$500, Result_Database!X$2:X$500),
  _xlfn.IFNA(_xlpm.result, "")
)</f>
        <v/>
      </c>
      <c r="Z227" t="str">
        <f>_xlfn.LET(
  _xlpm.result, _xlfn.XLOOKUP($B227, Result_Database!$A$2:$A$500, Result_Database!Y$2:Y$500),
  _xlfn.IFNA(_xlpm.result, "")
)</f>
        <v/>
      </c>
      <c r="AA227" t="str">
        <f>_xlfn.LET(
  _xlpm.result, _xlfn.XLOOKUP($B227, Result_Database!$A$2:$A$500, Result_Database!Z$2:Z$500),
  _xlfn.IFNA(_xlpm.result, "")
)</f>
        <v/>
      </c>
      <c r="AB227" t="str">
        <f>_xlfn.LET(
  _xlpm.result, _xlfn.XLOOKUP($B227, Result_Database!$A$2:$A$500, Result_Database!AA$2:AA$500),
  _xlfn.IFNA(_xlpm.result, "")
)</f>
        <v/>
      </c>
      <c r="AC227" t="str">
        <f>_xlfn.LET(
  _xlpm.result, _xlfn.XLOOKUP($B227, Result_Database!$A$2:$A$500, Result_Database!AB$2:AB$500),
  _xlfn.IFNA(_xlpm.result, "")
)</f>
        <v/>
      </c>
      <c r="AD227" t="str">
        <f>_xlfn.LET(
  _xlpm.result, _xlfn.XLOOKUP($B227, Result_Database!$A$2:$A$500, Result_Database!AC$2:AC$500),
  _xlfn.IFNA(_xlpm.result, "")
)</f>
        <v/>
      </c>
      <c r="AE227" t="str">
        <f>_xlfn.LET(
  _xlpm.result, _xlfn.XLOOKUP($B227, Result_Database!$A$2:$A$500, Result_Database!AD$2:AD$500),
  _xlfn.IFNA(_xlpm.result, "")
)</f>
        <v/>
      </c>
      <c r="AF227" t="str">
        <f>_xlfn.LET(
  _xlpm.result, _xlfn.XLOOKUP($B227, Result_Database!$A$2:$A$500, Result_Database!AE$2:AE$500),
  _xlfn.IFNA(_xlpm.result, "")
)</f>
        <v/>
      </c>
      <c r="AG227" t="str">
        <f>_xlfn.LET(
  _xlpm.result, _xlfn.XLOOKUP($B227, Result_Database!$A$2:$A$500, Result_Database!AF$2:AF$500),
  _xlfn.IFNA(_xlpm.result, "")
)</f>
        <v/>
      </c>
      <c r="AH227" t="str">
        <f>_xlfn.LET(
  _xlpm.result, _xlfn.XLOOKUP($B227, Result_Database!$A$2:$A$500, Result_Database!AG$2:AG$500),
  _xlfn.IFNA(_xlpm.result, "")
)</f>
        <v/>
      </c>
      <c r="AI227" t="str">
        <f>_xlfn.LET(
  _xlpm.result, _xlfn.XLOOKUP($B227, Result_Database!$A$2:$A$500, Result_Database!AH$2:AH$500),
  _xlfn.IFNA(_xlpm.result, "")
)</f>
        <v/>
      </c>
      <c r="AJ227" t="str">
        <f>_xlfn.LET(
  _xlpm.result, _xlfn.XLOOKUP($B227, Result_Database!$A$2:$A$500, Result_Database!AI$2:AI$500),
  _xlfn.IFNA(_xlpm.result, "")
)</f>
        <v/>
      </c>
      <c r="AK227" t="str">
        <f>_xlfn.LET(
  _xlpm.result, _xlfn.XLOOKUP($B227, Result_Database!$A$2:$A$500, Result_Database!AJ$2:AJ$500),
  _xlfn.IFNA(_xlpm.result, "")
)</f>
        <v/>
      </c>
      <c r="AL227" t="str">
        <f>_xlfn.LET(
  _xlpm.result, _xlfn.XLOOKUP($B227, Result_Database!$A$2:$A$500, Result_Database!AK$2:AK$500),
  _xlfn.IFNA(_xlpm.result, "")
)</f>
        <v/>
      </c>
      <c r="AM22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2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2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2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2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2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2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2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2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27" t="str">
        <f>IF(SUM(Table5[[#This Row],[A1]:[C6]])&lt;&gt;0,SUM(Table5[[#This Row],[A1]:[C6]]),"")</f>
        <v/>
      </c>
      <c r="AW227" t="str">
        <f>IF(SUM(Table5[[#This Row],[D7]:[F9]])=0,"",SUM(Table5[[#This Row],[D7]:[F9]]))</f>
        <v/>
      </c>
      <c r="AX22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2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2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2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2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2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27" t="str">
        <f>IF(COUNTIF(Table5[[#This Row],[English Language]:[Electrical/ Electronics]],"WITHHELD")=0,"",COUNTIF(Table5[[#This Row],[English Language]:[Electrical/ Electronics]],"WITHHELD"))</f>
        <v/>
      </c>
      <c r="BE227" t="str">
        <f>IF(SUM(Table5[[#This Row],[NO OF CREDITS]:[BELOW CREDITS]])=0,"",SUM(Table5[[#This Row],[NO OF CREDITS]:[BELOW CREDITS]]))</f>
        <v/>
      </c>
    </row>
    <row r="228" spans="1:57" x14ac:dyDescent="0.3">
      <c r="A228" t="str">
        <f>IF(B228&lt;&gt;"",COUNTA($B$6:B228),"")</f>
        <v/>
      </c>
      <c r="B228" t="str">
        <f>IF(Result_Database!A224="","",Result_Database!A224)</f>
        <v/>
      </c>
      <c r="C228" t="str">
        <f>_xlfn.LET(
_xlpm.result,_xlfn.XLOOKUP($B228,Result_Database!$A$2:$A$500,Result_Database!$B$2:$B$500),
_xlfn.IFNA(_xlpm.result,"")
)</f>
        <v/>
      </c>
      <c r="D228" t="str">
        <f>_xlfn.LET(
  _xlpm.result, _xlfn.XLOOKUP($B228, Result_Database!$A$2:$A$500, Result_Database!C$2:C$500),
  _xlfn.IFNA(_xlpm.result, "")
)</f>
        <v/>
      </c>
      <c r="E228" t="str">
        <f>_xlfn.LET(
  _xlpm.result, _xlfn.XLOOKUP($B228, Result_Database!$A$2:$A$500, Result_Database!D$2:D$500),
  _xlfn.IFNA(_xlpm.result, "")
)</f>
        <v/>
      </c>
      <c r="F228" t="str">
        <f>_xlfn.LET(
  _xlpm.result, _xlfn.XLOOKUP($B228, Result_Database!$A$2:$A$500, Result_Database!E$2:E$500),
  _xlfn.IFNA(_xlpm.result, "")
)</f>
        <v/>
      </c>
      <c r="G228" t="str">
        <f>_xlfn.LET(
  _xlpm.result, _xlfn.XLOOKUP($B228, Result_Database!$A$2:$A$500, Result_Database!F$2:F$500),
  _xlfn.IFNA(_xlpm.result, "")
)</f>
        <v/>
      </c>
      <c r="H228" t="str">
        <f>_xlfn.LET(
  _xlpm.result, _xlfn.XLOOKUP($B228, Result_Database!$A$2:$A$500, Result_Database!G$2:G$500),
  _xlfn.IFNA(_xlpm.result, "")
)</f>
        <v/>
      </c>
      <c r="I228" t="str">
        <f>_xlfn.LET(
  _xlpm.result, _xlfn.XLOOKUP($B228, Result_Database!$A$2:$A$500, Result_Database!H$2:H$500),
  _xlfn.IFNA(_xlpm.result, "")
)</f>
        <v/>
      </c>
      <c r="J228" t="str">
        <f>_xlfn.LET(
  _xlpm.result, _xlfn.XLOOKUP($B228, Result_Database!$A$2:$A$500, Result_Database!I$2:I$500),
  _xlfn.IFNA(_xlpm.result, "")
)</f>
        <v/>
      </c>
      <c r="K228" t="str">
        <f>_xlfn.LET(
  _xlpm.result, _xlfn.XLOOKUP($B228, Result_Database!$A$2:$A$500, Result_Database!J$2:J$500),
  _xlfn.IFNA(_xlpm.result, "")
)</f>
        <v/>
      </c>
      <c r="L228" t="str">
        <f>_xlfn.LET(
  _xlpm.result, _xlfn.XLOOKUP($B228, Result_Database!$A$2:$A$500, Result_Database!K$2:K$500),
  _xlfn.IFNA(_xlpm.result, "")
)</f>
        <v/>
      </c>
      <c r="M228" t="str">
        <f>_xlfn.LET(
  _xlpm.result, _xlfn.XLOOKUP($B228, Result_Database!$A$2:$A$500, Result_Database!L$2:L$500),
  _xlfn.IFNA(_xlpm.result, "")
)</f>
        <v/>
      </c>
      <c r="N228" t="str">
        <f>_xlfn.LET(
  _xlpm.result, _xlfn.XLOOKUP($B228, Result_Database!$A$2:$A$500, Result_Database!M$2:M$500),
  _xlfn.IFNA(_xlpm.result, "")
)</f>
        <v/>
      </c>
      <c r="O228" t="str">
        <f>_xlfn.LET(
  _xlpm.result, _xlfn.XLOOKUP($B228, Result_Database!$A$2:$A$500, Result_Database!N$2:N$500),
  _xlfn.IFNA(_xlpm.result, "")
)</f>
        <v/>
      </c>
      <c r="P228" t="str">
        <f>_xlfn.LET(
  _xlpm.result, _xlfn.XLOOKUP($B228, Result_Database!$A$2:$A$500, Result_Database!O$2:O$500),
  _xlfn.IFNA(_xlpm.result, "")
)</f>
        <v/>
      </c>
      <c r="Q228" t="str">
        <f>_xlfn.LET(
  _xlpm.result, _xlfn.XLOOKUP($B228, Result_Database!$A$2:$A$500, Result_Database!P$2:P$500),
  _xlfn.IFNA(_xlpm.result, "")
)</f>
        <v/>
      </c>
      <c r="R228" t="str">
        <f>_xlfn.LET(
  _xlpm.result, _xlfn.XLOOKUP($B228, Result_Database!$A$2:$A$500, Result_Database!Q$2:Q$500),
  _xlfn.IFNA(_xlpm.result, "")
)</f>
        <v/>
      </c>
      <c r="S228" t="str">
        <f>_xlfn.LET(
  _xlpm.result, _xlfn.XLOOKUP($B228, Result_Database!$A$2:$A$500, Result_Database!R$2:R$500),
  _xlfn.IFNA(_xlpm.result, "")
)</f>
        <v/>
      </c>
      <c r="T228" t="str">
        <f>_xlfn.LET(
  _xlpm.result, _xlfn.XLOOKUP($B228, Result_Database!$A$2:$A$500, Result_Database!S$2:S$500),
  _xlfn.IFNA(_xlpm.result, "")
)</f>
        <v/>
      </c>
      <c r="U228" t="str">
        <f>_xlfn.LET(
  _xlpm.result, _xlfn.XLOOKUP($B228, Result_Database!$A$2:$A$500, Result_Database!T$2:T$500),
  _xlfn.IFNA(_xlpm.result, "")
)</f>
        <v/>
      </c>
      <c r="V228" t="str">
        <f>_xlfn.LET(
  _xlpm.result, _xlfn.XLOOKUP($B228, Result_Database!$A$2:$A$500, Result_Database!U$2:U$500),
  _xlfn.IFNA(_xlpm.result, "")
)</f>
        <v/>
      </c>
      <c r="W228" t="str">
        <f>_xlfn.LET(
  _xlpm.result, _xlfn.XLOOKUP($B228, Result_Database!$A$2:$A$500, Result_Database!V$2:V$500),
  _xlfn.IFNA(_xlpm.result, "")
)</f>
        <v/>
      </c>
      <c r="X228" t="str">
        <f>_xlfn.LET(
  _xlpm.result, _xlfn.XLOOKUP($B228, Result_Database!$A$2:$A$500, Result_Database!W$2:W$500),
  _xlfn.IFNA(_xlpm.result, "")
)</f>
        <v/>
      </c>
      <c r="Y228" t="str">
        <f>_xlfn.LET(
  _xlpm.result, _xlfn.XLOOKUP($B228, Result_Database!$A$2:$A$500, Result_Database!X$2:X$500),
  _xlfn.IFNA(_xlpm.result, "")
)</f>
        <v/>
      </c>
      <c r="Z228" t="str">
        <f>_xlfn.LET(
  _xlpm.result, _xlfn.XLOOKUP($B228, Result_Database!$A$2:$A$500, Result_Database!Y$2:Y$500),
  _xlfn.IFNA(_xlpm.result, "")
)</f>
        <v/>
      </c>
      <c r="AA228" t="str">
        <f>_xlfn.LET(
  _xlpm.result, _xlfn.XLOOKUP($B228, Result_Database!$A$2:$A$500, Result_Database!Z$2:Z$500),
  _xlfn.IFNA(_xlpm.result, "")
)</f>
        <v/>
      </c>
      <c r="AB228" t="str">
        <f>_xlfn.LET(
  _xlpm.result, _xlfn.XLOOKUP($B228, Result_Database!$A$2:$A$500, Result_Database!AA$2:AA$500),
  _xlfn.IFNA(_xlpm.result, "")
)</f>
        <v/>
      </c>
      <c r="AC228" t="str">
        <f>_xlfn.LET(
  _xlpm.result, _xlfn.XLOOKUP($B228, Result_Database!$A$2:$A$500, Result_Database!AB$2:AB$500),
  _xlfn.IFNA(_xlpm.result, "")
)</f>
        <v/>
      </c>
      <c r="AD228" t="str">
        <f>_xlfn.LET(
  _xlpm.result, _xlfn.XLOOKUP($B228, Result_Database!$A$2:$A$500, Result_Database!AC$2:AC$500),
  _xlfn.IFNA(_xlpm.result, "")
)</f>
        <v/>
      </c>
      <c r="AE228" t="str">
        <f>_xlfn.LET(
  _xlpm.result, _xlfn.XLOOKUP($B228, Result_Database!$A$2:$A$500, Result_Database!AD$2:AD$500),
  _xlfn.IFNA(_xlpm.result, "")
)</f>
        <v/>
      </c>
      <c r="AF228" t="str">
        <f>_xlfn.LET(
  _xlpm.result, _xlfn.XLOOKUP($B228, Result_Database!$A$2:$A$500, Result_Database!AE$2:AE$500),
  _xlfn.IFNA(_xlpm.result, "")
)</f>
        <v/>
      </c>
      <c r="AG228" t="str">
        <f>_xlfn.LET(
  _xlpm.result, _xlfn.XLOOKUP($B228, Result_Database!$A$2:$A$500, Result_Database!AF$2:AF$500),
  _xlfn.IFNA(_xlpm.result, "")
)</f>
        <v/>
      </c>
      <c r="AH228" t="str">
        <f>_xlfn.LET(
  _xlpm.result, _xlfn.XLOOKUP($B228, Result_Database!$A$2:$A$500, Result_Database!AG$2:AG$500),
  _xlfn.IFNA(_xlpm.result, "")
)</f>
        <v/>
      </c>
      <c r="AI228" t="str">
        <f>_xlfn.LET(
  _xlpm.result, _xlfn.XLOOKUP($B228, Result_Database!$A$2:$A$500, Result_Database!AH$2:AH$500),
  _xlfn.IFNA(_xlpm.result, "")
)</f>
        <v/>
      </c>
      <c r="AJ228" t="str">
        <f>_xlfn.LET(
  _xlpm.result, _xlfn.XLOOKUP($B228, Result_Database!$A$2:$A$500, Result_Database!AI$2:AI$500),
  _xlfn.IFNA(_xlpm.result, "")
)</f>
        <v/>
      </c>
      <c r="AK228" t="str">
        <f>_xlfn.LET(
  _xlpm.result, _xlfn.XLOOKUP($B228, Result_Database!$A$2:$A$500, Result_Database!AJ$2:AJ$500),
  _xlfn.IFNA(_xlpm.result, "")
)</f>
        <v/>
      </c>
      <c r="AL228" t="str">
        <f>_xlfn.LET(
  _xlpm.result, _xlfn.XLOOKUP($B228, Result_Database!$A$2:$A$500, Result_Database!AK$2:AK$500),
  _xlfn.IFNA(_xlpm.result, "")
)</f>
        <v/>
      </c>
      <c r="AM22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2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2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2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2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2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2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2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2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28" t="str">
        <f>IF(SUM(Table5[[#This Row],[A1]:[C6]])&lt;&gt;0,SUM(Table5[[#This Row],[A1]:[C6]]),"")</f>
        <v/>
      </c>
      <c r="AW228" t="str">
        <f>IF(SUM(Table5[[#This Row],[D7]:[F9]])=0,"",SUM(Table5[[#This Row],[D7]:[F9]]))</f>
        <v/>
      </c>
      <c r="AX22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2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2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2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2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2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28" t="str">
        <f>IF(COUNTIF(Table5[[#This Row],[English Language]:[Electrical/ Electronics]],"WITHHELD")=0,"",COUNTIF(Table5[[#This Row],[English Language]:[Electrical/ Electronics]],"WITHHELD"))</f>
        <v/>
      </c>
      <c r="BE228" t="str">
        <f>IF(SUM(Table5[[#This Row],[NO OF CREDITS]:[BELOW CREDITS]])=0,"",SUM(Table5[[#This Row],[NO OF CREDITS]:[BELOW CREDITS]]))</f>
        <v/>
      </c>
    </row>
    <row r="229" spans="1:57" x14ac:dyDescent="0.3">
      <c r="A229" t="str">
        <f>IF(B229&lt;&gt;"",COUNTA($B$6:B229),"")</f>
        <v/>
      </c>
      <c r="B229" t="str">
        <f>IF(Result_Database!A225="","",Result_Database!A225)</f>
        <v/>
      </c>
      <c r="C229" t="str">
        <f>_xlfn.LET(
_xlpm.result,_xlfn.XLOOKUP($B229,Result_Database!$A$2:$A$500,Result_Database!$B$2:$B$500),
_xlfn.IFNA(_xlpm.result,"")
)</f>
        <v/>
      </c>
      <c r="D229" t="str">
        <f>_xlfn.LET(
  _xlpm.result, _xlfn.XLOOKUP($B229, Result_Database!$A$2:$A$500, Result_Database!C$2:C$500),
  _xlfn.IFNA(_xlpm.result, "")
)</f>
        <v/>
      </c>
      <c r="E229" t="str">
        <f>_xlfn.LET(
  _xlpm.result, _xlfn.XLOOKUP($B229, Result_Database!$A$2:$A$500, Result_Database!D$2:D$500),
  _xlfn.IFNA(_xlpm.result, "")
)</f>
        <v/>
      </c>
      <c r="F229" t="str">
        <f>_xlfn.LET(
  _xlpm.result, _xlfn.XLOOKUP($B229, Result_Database!$A$2:$A$500, Result_Database!E$2:E$500),
  _xlfn.IFNA(_xlpm.result, "")
)</f>
        <v/>
      </c>
      <c r="G229" t="str">
        <f>_xlfn.LET(
  _xlpm.result, _xlfn.XLOOKUP($B229, Result_Database!$A$2:$A$500, Result_Database!F$2:F$500),
  _xlfn.IFNA(_xlpm.result, "")
)</f>
        <v/>
      </c>
      <c r="H229" t="str">
        <f>_xlfn.LET(
  _xlpm.result, _xlfn.XLOOKUP($B229, Result_Database!$A$2:$A$500, Result_Database!G$2:G$500),
  _xlfn.IFNA(_xlpm.result, "")
)</f>
        <v/>
      </c>
      <c r="I229" t="str">
        <f>_xlfn.LET(
  _xlpm.result, _xlfn.XLOOKUP($B229, Result_Database!$A$2:$A$500, Result_Database!H$2:H$500),
  _xlfn.IFNA(_xlpm.result, "")
)</f>
        <v/>
      </c>
      <c r="J229" t="str">
        <f>_xlfn.LET(
  _xlpm.result, _xlfn.XLOOKUP($B229, Result_Database!$A$2:$A$500, Result_Database!I$2:I$500),
  _xlfn.IFNA(_xlpm.result, "")
)</f>
        <v/>
      </c>
      <c r="K229" t="str">
        <f>_xlfn.LET(
  _xlpm.result, _xlfn.XLOOKUP($B229, Result_Database!$A$2:$A$500, Result_Database!J$2:J$500),
  _xlfn.IFNA(_xlpm.result, "")
)</f>
        <v/>
      </c>
      <c r="L229" t="str">
        <f>_xlfn.LET(
  _xlpm.result, _xlfn.XLOOKUP($B229, Result_Database!$A$2:$A$500, Result_Database!K$2:K$500),
  _xlfn.IFNA(_xlpm.result, "")
)</f>
        <v/>
      </c>
      <c r="M229" t="str">
        <f>_xlfn.LET(
  _xlpm.result, _xlfn.XLOOKUP($B229, Result_Database!$A$2:$A$500, Result_Database!L$2:L$500),
  _xlfn.IFNA(_xlpm.result, "")
)</f>
        <v/>
      </c>
      <c r="N229" t="str">
        <f>_xlfn.LET(
  _xlpm.result, _xlfn.XLOOKUP($B229, Result_Database!$A$2:$A$500, Result_Database!M$2:M$500),
  _xlfn.IFNA(_xlpm.result, "")
)</f>
        <v/>
      </c>
      <c r="O229" t="str">
        <f>_xlfn.LET(
  _xlpm.result, _xlfn.XLOOKUP($B229, Result_Database!$A$2:$A$500, Result_Database!N$2:N$500),
  _xlfn.IFNA(_xlpm.result, "")
)</f>
        <v/>
      </c>
      <c r="P229" t="str">
        <f>_xlfn.LET(
  _xlpm.result, _xlfn.XLOOKUP($B229, Result_Database!$A$2:$A$500, Result_Database!O$2:O$500),
  _xlfn.IFNA(_xlpm.result, "")
)</f>
        <v/>
      </c>
      <c r="Q229" t="str">
        <f>_xlfn.LET(
  _xlpm.result, _xlfn.XLOOKUP($B229, Result_Database!$A$2:$A$500, Result_Database!P$2:P$500),
  _xlfn.IFNA(_xlpm.result, "")
)</f>
        <v/>
      </c>
      <c r="R229" t="str">
        <f>_xlfn.LET(
  _xlpm.result, _xlfn.XLOOKUP($B229, Result_Database!$A$2:$A$500, Result_Database!Q$2:Q$500),
  _xlfn.IFNA(_xlpm.result, "")
)</f>
        <v/>
      </c>
      <c r="S229" t="str">
        <f>_xlfn.LET(
  _xlpm.result, _xlfn.XLOOKUP($B229, Result_Database!$A$2:$A$500, Result_Database!R$2:R$500),
  _xlfn.IFNA(_xlpm.result, "")
)</f>
        <v/>
      </c>
      <c r="T229" t="str">
        <f>_xlfn.LET(
  _xlpm.result, _xlfn.XLOOKUP($B229, Result_Database!$A$2:$A$500, Result_Database!S$2:S$500),
  _xlfn.IFNA(_xlpm.result, "")
)</f>
        <v/>
      </c>
      <c r="U229" t="str">
        <f>_xlfn.LET(
  _xlpm.result, _xlfn.XLOOKUP($B229, Result_Database!$A$2:$A$500, Result_Database!T$2:T$500),
  _xlfn.IFNA(_xlpm.result, "")
)</f>
        <v/>
      </c>
      <c r="V229" t="str">
        <f>_xlfn.LET(
  _xlpm.result, _xlfn.XLOOKUP($B229, Result_Database!$A$2:$A$500, Result_Database!U$2:U$500),
  _xlfn.IFNA(_xlpm.result, "")
)</f>
        <v/>
      </c>
      <c r="W229" t="str">
        <f>_xlfn.LET(
  _xlpm.result, _xlfn.XLOOKUP($B229, Result_Database!$A$2:$A$500, Result_Database!V$2:V$500),
  _xlfn.IFNA(_xlpm.result, "")
)</f>
        <v/>
      </c>
      <c r="X229" t="str">
        <f>_xlfn.LET(
  _xlpm.result, _xlfn.XLOOKUP($B229, Result_Database!$A$2:$A$500, Result_Database!W$2:W$500),
  _xlfn.IFNA(_xlpm.result, "")
)</f>
        <v/>
      </c>
      <c r="Y229" t="str">
        <f>_xlfn.LET(
  _xlpm.result, _xlfn.XLOOKUP($B229, Result_Database!$A$2:$A$500, Result_Database!X$2:X$500),
  _xlfn.IFNA(_xlpm.result, "")
)</f>
        <v/>
      </c>
      <c r="Z229" t="str">
        <f>_xlfn.LET(
  _xlpm.result, _xlfn.XLOOKUP($B229, Result_Database!$A$2:$A$500, Result_Database!Y$2:Y$500),
  _xlfn.IFNA(_xlpm.result, "")
)</f>
        <v/>
      </c>
      <c r="AA229" t="str">
        <f>_xlfn.LET(
  _xlpm.result, _xlfn.XLOOKUP($B229, Result_Database!$A$2:$A$500, Result_Database!Z$2:Z$500),
  _xlfn.IFNA(_xlpm.result, "")
)</f>
        <v/>
      </c>
      <c r="AB229" t="str">
        <f>_xlfn.LET(
  _xlpm.result, _xlfn.XLOOKUP($B229, Result_Database!$A$2:$A$500, Result_Database!AA$2:AA$500),
  _xlfn.IFNA(_xlpm.result, "")
)</f>
        <v/>
      </c>
      <c r="AC229" t="str">
        <f>_xlfn.LET(
  _xlpm.result, _xlfn.XLOOKUP($B229, Result_Database!$A$2:$A$500, Result_Database!AB$2:AB$500),
  _xlfn.IFNA(_xlpm.result, "")
)</f>
        <v/>
      </c>
      <c r="AD229" t="str">
        <f>_xlfn.LET(
  _xlpm.result, _xlfn.XLOOKUP($B229, Result_Database!$A$2:$A$500, Result_Database!AC$2:AC$500),
  _xlfn.IFNA(_xlpm.result, "")
)</f>
        <v/>
      </c>
      <c r="AE229" t="str">
        <f>_xlfn.LET(
  _xlpm.result, _xlfn.XLOOKUP($B229, Result_Database!$A$2:$A$500, Result_Database!AD$2:AD$500),
  _xlfn.IFNA(_xlpm.result, "")
)</f>
        <v/>
      </c>
      <c r="AF229" t="str">
        <f>_xlfn.LET(
  _xlpm.result, _xlfn.XLOOKUP($B229, Result_Database!$A$2:$A$500, Result_Database!AE$2:AE$500),
  _xlfn.IFNA(_xlpm.result, "")
)</f>
        <v/>
      </c>
      <c r="AG229" t="str">
        <f>_xlfn.LET(
  _xlpm.result, _xlfn.XLOOKUP($B229, Result_Database!$A$2:$A$500, Result_Database!AF$2:AF$500),
  _xlfn.IFNA(_xlpm.result, "")
)</f>
        <v/>
      </c>
      <c r="AH229" t="str">
        <f>_xlfn.LET(
  _xlpm.result, _xlfn.XLOOKUP($B229, Result_Database!$A$2:$A$500, Result_Database!AG$2:AG$500),
  _xlfn.IFNA(_xlpm.result, "")
)</f>
        <v/>
      </c>
      <c r="AI229" t="str">
        <f>_xlfn.LET(
  _xlpm.result, _xlfn.XLOOKUP($B229, Result_Database!$A$2:$A$500, Result_Database!AH$2:AH$500),
  _xlfn.IFNA(_xlpm.result, "")
)</f>
        <v/>
      </c>
      <c r="AJ229" t="str">
        <f>_xlfn.LET(
  _xlpm.result, _xlfn.XLOOKUP($B229, Result_Database!$A$2:$A$500, Result_Database!AI$2:AI$500),
  _xlfn.IFNA(_xlpm.result, "")
)</f>
        <v/>
      </c>
      <c r="AK229" t="str">
        <f>_xlfn.LET(
  _xlpm.result, _xlfn.XLOOKUP($B229, Result_Database!$A$2:$A$500, Result_Database!AJ$2:AJ$500),
  _xlfn.IFNA(_xlpm.result, "")
)</f>
        <v/>
      </c>
      <c r="AL229" t="str">
        <f>_xlfn.LET(
  _xlpm.result, _xlfn.XLOOKUP($B229, Result_Database!$A$2:$A$500, Result_Database!AK$2:AK$500),
  _xlfn.IFNA(_xlpm.result, "")
)</f>
        <v/>
      </c>
      <c r="AM22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2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2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2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2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2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2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2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2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29" t="str">
        <f>IF(SUM(Table5[[#This Row],[A1]:[C6]])&lt;&gt;0,SUM(Table5[[#This Row],[A1]:[C6]]),"")</f>
        <v/>
      </c>
      <c r="AW229" t="str">
        <f>IF(SUM(Table5[[#This Row],[D7]:[F9]])=0,"",SUM(Table5[[#This Row],[D7]:[F9]]))</f>
        <v/>
      </c>
      <c r="AX22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2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2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2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2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2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29" t="str">
        <f>IF(COUNTIF(Table5[[#This Row],[English Language]:[Electrical/ Electronics]],"WITHHELD")=0,"",COUNTIF(Table5[[#This Row],[English Language]:[Electrical/ Electronics]],"WITHHELD"))</f>
        <v/>
      </c>
      <c r="BE229" t="str">
        <f>IF(SUM(Table5[[#This Row],[NO OF CREDITS]:[BELOW CREDITS]])=0,"",SUM(Table5[[#This Row],[NO OF CREDITS]:[BELOW CREDITS]]))</f>
        <v/>
      </c>
    </row>
    <row r="230" spans="1:57" x14ac:dyDescent="0.3">
      <c r="A230" t="str">
        <f>IF(B230&lt;&gt;"",COUNTA($B$6:B230),"")</f>
        <v/>
      </c>
      <c r="B230" t="str">
        <f>IF(Result_Database!A226="","",Result_Database!A226)</f>
        <v/>
      </c>
      <c r="C230" t="str">
        <f>_xlfn.LET(
_xlpm.result,_xlfn.XLOOKUP($B230,Result_Database!$A$2:$A$500,Result_Database!$B$2:$B$500),
_xlfn.IFNA(_xlpm.result,"")
)</f>
        <v/>
      </c>
      <c r="D230" t="str">
        <f>_xlfn.LET(
  _xlpm.result, _xlfn.XLOOKUP($B230, Result_Database!$A$2:$A$500, Result_Database!C$2:C$500),
  _xlfn.IFNA(_xlpm.result, "")
)</f>
        <v/>
      </c>
      <c r="E230" t="str">
        <f>_xlfn.LET(
  _xlpm.result, _xlfn.XLOOKUP($B230, Result_Database!$A$2:$A$500, Result_Database!D$2:D$500),
  _xlfn.IFNA(_xlpm.result, "")
)</f>
        <v/>
      </c>
      <c r="F230" t="str">
        <f>_xlfn.LET(
  _xlpm.result, _xlfn.XLOOKUP($B230, Result_Database!$A$2:$A$500, Result_Database!E$2:E$500),
  _xlfn.IFNA(_xlpm.result, "")
)</f>
        <v/>
      </c>
      <c r="G230" t="str">
        <f>_xlfn.LET(
  _xlpm.result, _xlfn.XLOOKUP($B230, Result_Database!$A$2:$A$500, Result_Database!F$2:F$500),
  _xlfn.IFNA(_xlpm.result, "")
)</f>
        <v/>
      </c>
      <c r="H230" t="str">
        <f>_xlfn.LET(
  _xlpm.result, _xlfn.XLOOKUP($B230, Result_Database!$A$2:$A$500, Result_Database!G$2:G$500),
  _xlfn.IFNA(_xlpm.result, "")
)</f>
        <v/>
      </c>
      <c r="I230" t="str">
        <f>_xlfn.LET(
  _xlpm.result, _xlfn.XLOOKUP($B230, Result_Database!$A$2:$A$500, Result_Database!H$2:H$500),
  _xlfn.IFNA(_xlpm.result, "")
)</f>
        <v/>
      </c>
      <c r="J230" t="str">
        <f>_xlfn.LET(
  _xlpm.result, _xlfn.XLOOKUP($B230, Result_Database!$A$2:$A$500, Result_Database!I$2:I$500),
  _xlfn.IFNA(_xlpm.result, "")
)</f>
        <v/>
      </c>
      <c r="K230" t="str">
        <f>_xlfn.LET(
  _xlpm.result, _xlfn.XLOOKUP($B230, Result_Database!$A$2:$A$500, Result_Database!J$2:J$500),
  _xlfn.IFNA(_xlpm.result, "")
)</f>
        <v/>
      </c>
      <c r="L230" t="str">
        <f>_xlfn.LET(
  _xlpm.result, _xlfn.XLOOKUP($B230, Result_Database!$A$2:$A$500, Result_Database!K$2:K$500),
  _xlfn.IFNA(_xlpm.result, "")
)</f>
        <v/>
      </c>
      <c r="M230" t="str">
        <f>_xlfn.LET(
  _xlpm.result, _xlfn.XLOOKUP($B230, Result_Database!$A$2:$A$500, Result_Database!L$2:L$500),
  _xlfn.IFNA(_xlpm.result, "")
)</f>
        <v/>
      </c>
      <c r="N230" t="str">
        <f>_xlfn.LET(
  _xlpm.result, _xlfn.XLOOKUP($B230, Result_Database!$A$2:$A$500, Result_Database!M$2:M$500),
  _xlfn.IFNA(_xlpm.result, "")
)</f>
        <v/>
      </c>
      <c r="O230" t="str">
        <f>_xlfn.LET(
  _xlpm.result, _xlfn.XLOOKUP($B230, Result_Database!$A$2:$A$500, Result_Database!N$2:N$500),
  _xlfn.IFNA(_xlpm.result, "")
)</f>
        <v/>
      </c>
      <c r="P230" t="str">
        <f>_xlfn.LET(
  _xlpm.result, _xlfn.XLOOKUP($B230, Result_Database!$A$2:$A$500, Result_Database!O$2:O$500),
  _xlfn.IFNA(_xlpm.result, "")
)</f>
        <v/>
      </c>
      <c r="Q230" t="str">
        <f>_xlfn.LET(
  _xlpm.result, _xlfn.XLOOKUP($B230, Result_Database!$A$2:$A$500, Result_Database!P$2:P$500),
  _xlfn.IFNA(_xlpm.result, "")
)</f>
        <v/>
      </c>
      <c r="R230" t="str">
        <f>_xlfn.LET(
  _xlpm.result, _xlfn.XLOOKUP($B230, Result_Database!$A$2:$A$500, Result_Database!Q$2:Q$500),
  _xlfn.IFNA(_xlpm.result, "")
)</f>
        <v/>
      </c>
      <c r="S230" t="str">
        <f>_xlfn.LET(
  _xlpm.result, _xlfn.XLOOKUP($B230, Result_Database!$A$2:$A$500, Result_Database!R$2:R$500),
  _xlfn.IFNA(_xlpm.result, "")
)</f>
        <v/>
      </c>
      <c r="T230" t="str">
        <f>_xlfn.LET(
  _xlpm.result, _xlfn.XLOOKUP($B230, Result_Database!$A$2:$A$500, Result_Database!S$2:S$500),
  _xlfn.IFNA(_xlpm.result, "")
)</f>
        <v/>
      </c>
      <c r="U230" t="str">
        <f>_xlfn.LET(
  _xlpm.result, _xlfn.XLOOKUP($B230, Result_Database!$A$2:$A$500, Result_Database!T$2:T$500),
  _xlfn.IFNA(_xlpm.result, "")
)</f>
        <v/>
      </c>
      <c r="V230" t="str">
        <f>_xlfn.LET(
  _xlpm.result, _xlfn.XLOOKUP($B230, Result_Database!$A$2:$A$500, Result_Database!U$2:U$500),
  _xlfn.IFNA(_xlpm.result, "")
)</f>
        <v/>
      </c>
      <c r="W230" t="str">
        <f>_xlfn.LET(
  _xlpm.result, _xlfn.XLOOKUP($B230, Result_Database!$A$2:$A$500, Result_Database!V$2:V$500),
  _xlfn.IFNA(_xlpm.result, "")
)</f>
        <v/>
      </c>
      <c r="X230" t="str">
        <f>_xlfn.LET(
  _xlpm.result, _xlfn.XLOOKUP($B230, Result_Database!$A$2:$A$500, Result_Database!W$2:W$500),
  _xlfn.IFNA(_xlpm.result, "")
)</f>
        <v/>
      </c>
      <c r="Y230" t="str">
        <f>_xlfn.LET(
  _xlpm.result, _xlfn.XLOOKUP($B230, Result_Database!$A$2:$A$500, Result_Database!X$2:X$500),
  _xlfn.IFNA(_xlpm.result, "")
)</f>
        <v/>
      </c>
      <c r="Z230" t="str">
        <f>_xlfn.LET(
  _xlpm.result, _xlfn.XLOOKUP($B230, Result_Database!$A$2:$A$500, Result_Database!Y$2:Y$500),
  _xlfn.IFNA(_xlpm.result, "")
)</f>
        <v/>
      </c>
      <c r="AA230" t="str">
        <f>_xlfn.LET(
  _xlpm.result, _xlfn.XLOOKUP($B230, Result_Database!$A$2:$A$500, Result_Database!Z$2:Z$500),
  _xlfn.IFNA(_xlpm.result, "")
)</f>
        <v/>
      </c>
      <c r="AB230" t="str">
        <f>_xlfn.LET(
  _xlpm.result, _xlfn.XLOOKUP($B230, Result_Database!$A$2:$A$500, Result_Database!AA$2:AA$500),
  _xlfn.IFNA(_xlpm.result, "")
)</f>
        <v/>
      </c>
      <c r="AC230" t="str">
        <f>_xlfn.LET(
  _xlpm.result, _xlfn.XLOOKUP($B230, Result_Database!$A$2:$A$500, Result_Database!AB$2:AB$500),
  _xlfn.IFNA(_xlpm.result, "")
)</f>
        <v/>
      </c>
      <c r="AD230" t="str">
        <f>_xlfn.LET(
  _xlpm.result, _xlfn.XLOOKUP($B230, Result_Database!$A$2:$A$500, Result_Database!AC$2:AC$500),
  _xlfn.IFNA(_xlpm.result, "")
)</f>
        <v/>
      </c>
      <c r="AE230" t="str">
        <f>_xlfn.LET(
  _xlpm.result, _xlfn.XLOOKUP($B230, Result_Database!$A$2:$A$500, Result_Database!AD$2:AD$500),
  _xlfn.IFNA(_xlpm.result, "")
)</f>
        <v/>
      </c>
      <c r="AF230" t="str">
        <f>_xlfn.LET(
  _xlpm.result, _xlfn.XLOOKUP($B230, Result_Database!$A$2:$A$500, Result_Database!AE$2:AE$500),
  _xlfn.IFNA(_xlpm.result, "")
)</f>
        <v/>
      </c>
      <c r="AG230" t="str">
        <f>_xlfn.LET(
  _xlpm.result, _xlfn.XLOOKUP($B230, Result_Database!$A$2:$A$500, Result_Database!AF$2:AF$500),
  _xlfn.IFNA(_xlpm.result, "")
)</f>
        <v/>
      </c>
      <c r="AH230" t="str">
        <f>_xlfn.LET(
  _xlpm.result, _xlfn.XLOOKUP($B230, Result_Database!$A$2:$A$500, Result_Database!AG$2:AG$500),
  _xlfn.IFNA(_xlpm.result, "")
)</f>
        <v/>
      </c>
      <c r="AI230" t="str">
        <f>_xlfn.LET(
  _xlpm.result, _xlfn.XLOOKUP($B230, Result_Database!$A$2:$A$500, Result_Database!AH$2:AH$500),
  _xlfn.IFNA(_xlpm.result, "")
)</f>
        <v/>
      </c>
      <c r="AJ230" t="str">
        <f>_xlfn.LET(
  _xlpm.result, _xlfn.XLOOKUP($B230, Result_Database!$A$2:$A$500, Result_Database!AI$2:AI$500),
  _xlfn.IFNA(_xlpm.result, "")
)</f>
        <v/>
      </c>
      <c r="AK230" t="str">
        <f>_xlfn.LET(
  _xlpm.result, _xlfn.XLOOKUP($B230, Result_Database!$A$2:$A$500, Result_Database!AJ$2:AJ$500),
  _xlfn.IFNA(_xlpm.result, "")
)</f>
        <v/>
      </c>
      <c r="AL230" t="str">
        <f>_xlfn.LET(
  _xlpm.result, _xlfn.XLOOKUP($B230, Result_Database!$A$2:$A$500, Result_Database!AK$2:AK$500),
  _xlfn.IFNA(_xlpm.result, "")
)</f>
        <v/>
      </c>
      <c r="AM23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3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3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3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3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3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3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3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3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30" t="str">
        <f>IF(SUM(Table5[[#This Row],[A1]:[C6]])&lt;&gt;0,SUM(Table5[[#This Row],[A1]:[C6]]),"")</f>
        <v/>
      </c>
      <c r="AW230" t="str">
        <f>IF(SUM(Table5[[#This Row],[D7]:[F9]])=0,"",SUM(Table5[[#This Row],[D7]:[F9]]))</f>
        <v/>
      </c>
      <c r="AX23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3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3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3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3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3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30" t="str">
        <f>IF(COUNTIF(Table5[[#This Row],[English Language]:[Electrical/ Electronics]],"WITHHELD")=0,"",COUNTIF(Table5[[#This Row],[English Language]:[Electrical/ Electronics]],"WITHHELD"))</f>
        <v/>
      </c>
      <c r="BE230" t="str">
        <f>IF(SUM(Table5[[#This Row],[NO OF CREDITS]:[BELOW CREDITS]])=0,"",SUM(Table5[[#This Row],[NO OF CREDITS]:[BELOW CREDITS]]))</f>
        <v/>
      </c>
    </row>
    <row r="231" spans="1:57" x14ac:dyDescent="0.3">
      <c r="A231" t="str">
        <f>IF(B231&lt;&gt;"",COUNTA($B$6:B231),"")</f>
        <v/>
      </c>
      <c r="B231" t="str">
        <f>IF(Result_Database!A227="","",Result_Database!A227)</f>
        <v/>
      </c>
      <c r="C231" t="str">
        <f>_xlfn.LET(
_xlpm.result,_xlfn.XLOOKUP($B231,Result_Database!$A$2:$A$500,Result_Database!$B$2:$B$500),
_xlfn.IFNA(_xlpm.result,"")
)</f>
        <v/>
      </c>
      <c r="D231" t="str">
        <f>_xlfn.LET(
  _xlpm.result, _xlfn.XLOOKUP($B231, Result_Database!$A$2:$A$500, Result_Database!C$2:C$500),
  _xlfn.IFNA(_xlpm.result, "")
)</f>
        <v/>
      </c>
      <c r="E231" t="str">
        <f>_xlfn.LET(
  _xlpm.result, _xlfn.XLOOKUP($B231, Result_Database!$A$2:$A$500, Result_Database!D$2:D$500),
  _xlfn.IFNA(_xlpm.result, "")
)</f>
        <v/>
      </c>
      <c r="F231" t="str">
        <f>_xlfn.LET(
  _xlpm.result, _xlfn.XLOOKUP($B231, Result_Database!$A$2:$A$500, Result_Database!E$2:E$500),
  _xlfn.IFNA(_xlpm.result, "")
)</f>
        <v/>
      </c>
      <c r="G231" t="str">
        <f>_xlfn.LET(
  _xlpm.result, _xlfn.XLOOKUP($B231, Result_Database!$A$2:$A$500, Result_Database!F$2:F$500),
  _xlfn.IFNA(_xlpm.result, "")
)</f>
        <v/>
      </c>
      <c r="H231" t="str">
        <f>_xlfn.LET(
  _xlpm.result, _xlfn.XLOOKUP($B231, Result_Database!$A$2:$A$500, Result_Database!G$2:G$500),
  _xlfn.IFNA(_xlpm.result, "")
)</f>
        <v/>
      </c>
      <c r="I231" t="str">
        <f>_xlfn.LET(
  _xlpm.result, _xlfn.XLOOKUP($B231, Result_Database!$A$2:$A$500, Result_Database!H$2:H$500),
  _xlfn.IFNA(_xlpm.result, "")
)</f>
        <v/>
      </c>
      <c r="J231" t="str">
        <f>_xlfn.LET(
  _xlpm.result, _xlfn.XLOOKUP($B231, Result_Database!$A$2:$A$500, Result_Database!I$2:I$500),
  _xlfn.IFNA(_xlpm.result, "")
)</f>
        <v/>
      </c>
      <c r="K231" t="str">
        <f>_xlfn.LET(
  _xlpm.result, _xlfn.XLOOKUP($B231, Result_Database!$A$2:$A$500, Result_Database!J$2:J$500),
  _xlfn.IFNA(_xlpm.result, "")
)</f>
        <v/>
      </c>
      <c r="L231" t="str">
        <f>_xlfn.LET(
  _xlpm.result, _xlfn.XLOOKUP($B231, Result_Database!$A$2:$A$500, Result_Database!K$2:K$500),
  _xlfn.IFNA(_xlpm.result, "")
)</f>
        <v/>
      </c>
      <c r="M231" t="str">
        <f>_xlfn.LET(
  _xlpm.result, _xlfn.XLOOKUP($B231, Result_Database!$A$2:$A$500, Result_Database!L$2:L$500),
  _xlfn.IFNA(_xlpm.result, "")
)</f>
        <v/>
      </c>
      <c r="N231" t="str">
        <f>_xlfn.LET(
  _xlpm.result, _xlfn.XLOOKUP($B231, Result_Database!$A$2:$A$500, Result_Database!M$2:M$500),
  _xlfn.IFNA(_xlpm.result, "")
)</f>
        <v/>
      </c>
      <c r="O231" t="str">
        <f>_xlfn.LET(
  _xlpm.result, _xlfn.XLOOKUP($B231, Result_Database!$A$2:$A$500, Result_Database!N$2:N$500),
  _xlfn.IFNA(_xlpm.result, "")
)</f>
        <v/>
      </c>
      <c r="P231" t="str">
        <f>_xlfn.LET(
  _xlpm.result, _xlfn.XLOOKUP($B231, Result_Database!$A$2:$A$500, Result_Database!O$2:O$500),
  _xlfn.IFNA(_xlpm.result, "")
)</f>
        <v/>
      </c>
      <c r="Q231" t="str">
        <f>_xlfn.LET(
  _xlpm.result, _xlfn.XLOOKUP($B231, Result_Database!$A$2:$A$500, Result_Database!P$2:P$500),
  _xlfn.IFNA(_xlpm.result, "")
)</f>
        <v/>
      </c>
      <c r="R231" t="str">
        <f>_xlfn.LET(
  _xlpm.result, _xlfn.XLOOKUP($B231, Result_Database!$A$2:$A$500, Result_Database!Q$2:Q$500),
  _xlfn.IFNA(_xlpm.result, "")
)</f>
        <v/>
      </c>
      <c r="S231" t="str">
        <f>_xlfn.LET(
  _xlpm.result, _xlfn.XLOOKUP($B231, Result_Database!$A$2:$A$500, Result_Database!R$2:R$500),
  _xlfn.IFNA(_xlpm.result, "")
)</f>
        <v/>
      </c>
      <c r="T231" t="str">
        <f>_xlfn.LET(
  _xlpm.result, _xlfn.XLOOKUP($B231, Result_Database!$A$2:$A$500, Result_Database!S$2:S$500),
  _xlfn.IFNA(_xlpm.result, "")
)</f>
        <v/>
      </c>
      <c r="U231" t="str">
        <f>_xlfn.LET(
  _xlpm.result, _xlfn.XLOOKUP($B231, Result_Database!$A$2:$A$500, Result_Database!T$2:T$500),
  _xlfn.IFNA(_xlpm.result, "")
)</f>
        <v/>
      </c>
      <c r="V231" t="str">
        <f>_xlfn.LET(
  _xlpm.result, _xlfn.XLOOKUP($B231, Result_Database!$A$2:$A$500, Result_Database!U$2:U$500),
  _xlfn.IFNA(_xlpm.result, "")
)</f>
        <v/>
      </c>
      <c r="W231" t="str">
        <f>_xlfn.LET(
  _xlpm.result, _xlfn.XLOOKUP($B231, Result_Database!$A$2:$A$500, Result_Database!V$2:V$500),
  _xlfn.IFNA(_xlpm.result, "")
)</f>
        <v/>
      </c>
      <c r="X231" t="str">
        <f>_xlfn.LET(
  _xlpm.result, _xlfn.XLOOKUP($B231, Result_Database!$A$2:$A$500, Result_Database!W$2:W$500),
  _xlfn.IFNA(_xlpm.result, "")
)</f>
        <v/>
      </c>
      <c r="Y231" t="str">
        <f>_xlfn.LET(
  _xlpm.result, _xlfn.XLOOKUP($B231, Result_Database!$A$2:$A$500, Result_Database!X$2:X$500),
  _xlfn.IFNA(_xlpm.result, "")
)</f>
        <v/>
      </c>
      <c r="Z231" t="str">
        <f>_xlfn.LET(
  _xlpm.result, _xlfn.XLOOKUP($B231, Result_Database!$A$2:$A$500, Result_Database!Y$2:Y$500),
  _xlfn.IFNA(_xlpm.result, "")
)</f>
        <v/>
      </c>
      <c r="AA231" t="str">
        <f>_xlfn.LET(
  _xlpm.result, _xlfn.XLOOKUP($B231, Result_Database!$A$2:$A$500, Result_Database!Z$2:Z$500),
  _xlfn.IFNA(_xlpm.result, "")
)</f>
        <v/>
      </c>
      <c r="AB231" t="str">
        <f>_xlfn.LET(
  _xlpm.result, _xlfn.XLOOKUP($B231, Result_Database!$A$2:$A$500, Result_Database!AA$2:AA$500),
  _xlfn.IFNA(_xlpm.result, "")
)</f>
        <v/>
      </c>
      <c r="AC231" t="str">
        <f>_xlfn.LET(
  _xlpm.result, _xlfn.XLOOKUP($B231, Result_Database!$A$2:$A$500, Result_Database!AB$2:AB$500),
  _xlfn.IFNA(_xlpm.result, "")
)</f>
        <v/>
      </c>
      <c r="AD231" t="str">
        <f>_xlfn.LET(
  _xlpm.result, _xlfn.XLOOKUP($B231, Result_Database!$A$2:$A$500, Result_Database!AC$2:AC$500),
  _xlfn.IFNA(_xlpm.result, "")
)</f>
        <v/>
      </c>
      <c r="AE231" t="str">
        <f>_xlfn.LET(
  _xlpm.result, _xlfn.XLOOKUP($B231, Result_Database!$A$2:$A$500, Result_Database!AD$2:AD$500),
  _xlfn.IFNA(_xlpm.result, "")
)</f>
        <v/>
      </c>
      <c r="AF231" t="str">
        <f>_xlfn.LET(
  _xlpm.result, _xlfn.XLOOKUP($B231, Result_Database!$A$2:$A$500, Result_Database!AE$2:AE$500),
  _xlfn.IFNA(_xlpm.result, "")
)</f>
        <v/>
      </c>
      <c r="AG231" t="str">
        <f>_xlfn.LET(
  _xlpm.result, _xlfn.XLOOKUP($B231, Result_Database!$A$2:$A$500, Result_Database!AF$2:AF$500),
  _xlfn.IFNA(_xlpm.result, "")
)</f>
        <v/>
      </c>
      <c r="AH231" t="str">
        <f>_xlfn.LET(
  _xlpm.result, _xlfn.XLOOKUP($B231, Result_Database!$A$2:$A$500, Result_Database!AG$2:AG$500),
  _xlfn.IFNA(_xlpm.result, "")
)</f>
        <v/>
      </c>
      <c r="AI231" t="str">
        <f>_xlfn.LET(
  _xlpm.result, _xlfn.XLOOKUP($B231, Result_Database!$A$2:$A$500, Result_Database!AH$2:AH$500),
  _xlfn.IFNA(_xlpm.result, "")
)</f>
        <v/>
      </c>
      <c r="AJ231" t="str">
        <f>_xlfn.LET(
  _xlpm.result, _xlfn.XLOOKUP($B231, Result_Database!$A$2:$A$500, Result_Database!AI$2:AI$500),
  _xlfn.IFNA(_xlpm.result, "")
)</f>
        <v/>
      </c>
      <c r="AK231" t="str">
        <f>_xlfn.LET(
  _xlpm.result, _xlfn.XLOOKUP($B231, Result_Database!$A$2:$A$500, Result_Database!AJ$2:AJ$500),
  _xlfn.IFNA(_xlpm.result, "")
)</f>
        <v/>
      </c>
      <c r="AL231" t="str">
        <f>_xlfn.LET(
  _xlpm.result, _xlfn.XLOOKUP($B231, Result_Database!$A$2:$A$500, Result_Database!AK$2:AK$500),
  _xlfn.IFNA(_xlpm.result, "")
)</f>
        <v/>
      </c>
      <c r="AM23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3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3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3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3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3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3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3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3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31" t="str">
        <f>IF(SUM(Table5[[#This Row],[A1]:[C6]])&lt;&gt;0,SUM(Table5[[#This Row],[A1]:[C6]]),"")</f>
        <v/>
      </c>
      <c r="AW231" t="str">
        <f>IF(SUM(Table5[[#This Row],[D7]:[F9]])=0,"",SUM(Table5[[#This Row],[D7]:[F9]]))</f>
        <v/>
      </c>
      <c r="AX23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3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3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3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3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3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31" t="str">
        <f>IF(COUNTIF(Table5[[#This Row],[English Language]:[Electrical/ Electronics]],"WITHHELD")=0,"",COUNTIF(Table5[[#This Row],[English Language]:[Electrical/ Electronics]],"WITHHELD"))</f>
        <v/>
      </c>
      <c r="BE231" t="str">
        <f>IF(SUM(Table5[[#This Row],[NO OF CREDITS]:[BELOW CREDITS]])=0,"",SUM(Table5[[#This Row],[NO OF CREDITS]:[BELOW CREDITS]]))</f>
        <v/>
      </c>
    </row>
    <row r="232" spans="1:57" x14ac:dyDescent="0.3">
      <c r="A232" t="str">
        <f>IF(B232&lt;&gt;"",COUNTA($B$6:B232),"")</f>
        <v/>
      </c>
      <c r="B232" t="str">
        <f>IF(Result_Database!A228="","",Result_Database!A228)</f>
        <v/>
      </c>
      <c r="C232" t="str">
        <f>_xlfn.LET(
_xlpm.result,_xlfn.XLOOKUP($B232,Result_Database!$A$2:$A$500,Result_Database!$B$2:$B$500),
_xlfn.IFNA(_xlpm.result,"")
)</f>
        <v/>
      </c>
      <c r="D232" t="str">
        <f>_xlfn.LET(
  _xlpm.result, _xlfn.XLOOKUP($B232, Result_Database!$A$2:$A$500, Result_Database!C$2:C$500),
  _xlfn.IFNA(_xlpm.result, "")
)</f>
        <v/>
      </c>
      <c r="E232" t="str">
        <f>_xlfn.LET(
  _xlpm.result, _xlfn.XLOOKUP($B232, Result_Database!$A$2:$A$500, Result_Database!D$2:D$500),
  _xlfn.IFNA(_xlpm.result, "")
)</f>
        <v/>
      </c>
      <c r="F232" t="str">
        <f>_xlfn.LET(
  _xlpm.result, _xlfn.XLOOKUP($B232, Result_Database!$A$2:$A$500, Result_Database!E$2:E$500),
  _xlfn.IFNA(_xlpm.result, "")
)</f>
        <v/>
      </c>
      <c r="G232" t="str">
        <f>_xlfn.LET(
  _xlpm.result, _xlfn.XLOOKUP($B232, Result_Database!$A$2:$A$500, Result_Database!F$2:F$500),
  _xlfn.IFNA(_xlpm.result, "")
)</f>
        <v/>
      </c>
      <c r="H232" t="str">
        <f>_xlfn.LET(
  _xlpm.result, _xlfn.XLOOKUP($B232, Result_Database!$A$2:$A$500, Result_Database!G$2:G$500),
  _xlfn.IFNA(_xlpm.result, "")
)</f>
        <v/>
      </c>
      <c r="I232" t="str">
        <f>_xlfn.LET(
  _xlpm.result, _xlfn.XLOOKUP($B232, Result_Database!$A$2:$A$500, Result_Database!H$2:H$500),
  _xlfn.IFNA(_xlpm.result, "")
)</f>
        <v/>
      </c>
      <c r="J232" t="str">
        <f>_xlfn.LET(
  _xlpm.result, _xlfn.XLOOKUP($B232, Result_Database!$A$2:$A$500, Result_Database!I$2:I$500),
  _xlfn.IFNA(_xlpm.result, "")
)</f>
        <v/>
      </c>
      <c r="K232" t="str">
        <f>_xlfn.LET(
  _xlpm.result, _xlfn.XLOOKUP($B232, Result_Database!$A$2:$A$500, Result_Database!J$2:J$500),
  _xlfn.IFNA(_xlpm.result, "")
)</f>
        <v/>
      </c>
      <c r="L232" t="str">
        <f>_xlfn.LET(
  _xlpm.result, _xlfn.XLOOKUP($B232, Result_Database!$A$2:$A$500, Result_Database!K$2:K$500),
  _xlfn.IFNA(_xlpm.result, "")
)</f>
        <v/>
      </c>
      <c r="M232" t="str">
        <f>_xlfn.LET(
  _xlpm.result, _xlfn.XLOOKUP($B232, Result_Database!$A$2:$A$500, Result_Database!L$2:L$500),
  _xlfn.IFNA(_xlpm.result, "")
)</f>
        <v/>
      </c>
      <c r="N232" t="str">
        <f>_xlfn.LET(
  _xlpm.result, _xlfn.XLOOKUP($B232, Result_Database!$A$2:$A$500, Result_Database!M$2:M$500),
  _xlfn.IFNA(_xlpm.result, "")
)</f>
        <v/>
      </c>
      <c r="O232" t="str">
        <f>_xlfn.LET(
  _xlpm.result, _xlfn.XLOOKUP($B232, Result_Database!$A$2:$A$500, Result_Database!N$2:N$500),
  _xlfn.IFNA(_xlpm.result, "")
)</f>
        <v/>
      </c>
      <c r="P232" t="str">
        <f>_xlfn.LET(
  _xlpm.result, _xlfn.XLOOKUP($B232, Result_Database!$A$2:$A$500, Result_Database!O$2:O$500),
  _xlfn.IFNA(_xlpm.result, "")
)</f>
        <v/>
      </c>
      <c r="Q232" t="str">
        <f>_xlfn.LET(
  _xlpm.result, _xlfn.XLOOKUP($B232, Result_Database!$A$2:$A$500, Result_Database!P$2:P$500),
  _xlfn.IFNA(_xlpm.result, "")
)</f>
        <v/>
      </c>
      <c r="R232" t="str">
        <f>_xlfn.LET(
  _xlpm.result, _xlfn.XLOOKUP($B232, Result_Database!$A$2:$A$500, Result_Database!Q$2:Q$500),
  _xlfn.IFNA(_xlpm.result, "")
)</f>
        <v/>
      </c>
      <c r="S232" t="str">
        <f>_xlfn.LET(
  _xlpm.result, _xlfn.XLOOKUP($B232, Result_Database!$A$2:$A$500, Result_Database!R$2:R$500),
  _xlfn.IFNA(_xlpm.result, "")
)</f>
        <v/>
      </c>
      <c r="T232" t="str">
        <f>_xlfn.LET(
  _xlpm.result, _xlfn.XLOOKUP($B232, Result_Database!$A$2:$A$500, Result_Database!S$2:S$500),
  _xlfn.IFNA(_xlpm.result, "")
)</f>
        <v/>
      </c>
      <c r="U232" t="str">
        <f>_xlfn.LET(
  _xlpm.result, _xlfn.XLOOKUP($B232, Result_Database!$A$2:$A$500, Result_Database!T$2:T$500),
  _xlfn.IFNA(_xlpm.result, "")
)</f>
        <v/>
      </c>
      <c r="V232" t="str">
        <f>_xlfn.LET(
  _xlpm.result, _xlfn.XLOOKUP($B232, Result_Database!$A$2:$A$500, Result_Database!U$2:U$500),
  _xlfn.IFNA(_xlpm.result, "")
)</f>
        <v/>
      </c>
      <c r="W232" t="str">
        <f>_xlfn.LET(
  _xlpm.result, _xlfn.XLOOKUP($B232, Result_Database!$A$2:$A$500, Result_Database!V$2:V$500),
  _xlfn.IFNA(_xlpm.result, "")
)</f>
        <v/>
      </c>
      <c r="X232" t="str">
        <f>_xlfn.LET(
  _xlpm.result, _xlfn.XLOOKUP($B232, Result_Database!$A$2:$A$500, Result_Database!W$2:W$500),
  _xlfn.IFNA(_xlpm.result, "")
)</f>
        <v/>
      </c>
      <c r="Y232" t="str">
        <f>_xlfn.LET(
  _xlpm.result, _xlfn.XLOOKUP($B232, Result_Database!$A$2:$A$500, Result_Database!X$2:X$500),
  _xlfn.IFNA(_xlpm.result, "")
)</f>
        <v/>
      </c>
      <c r="Z232" t="str">
        <f>_xlfn.LET(
  _xlpm.result, _xlfn.XLOOKUP($B232, Result_Database!$A$2:$A$500, Result_Database!Y$2:Y$500),
  _xlfn.IFNA(_xlpm.result, "")
)</f>
        <v/>
      </c>
      <c r="AA232" t="str">
        <f>_xlfn.LET(
  _xlpm.result, _xlfn.XLOOKUP($B232, Result_Database!$A$2:$A$500, Result_Database!Z$2:Z$500),
  _xlfn.IFNA(_xlpm.result, "")
)</f>
        <v/>
      </c>
      <c r="AB232" t="str">
        <f>_xlfn.LET(
  _xlpm.result, _xlfn.XLOOKUP($B232, Result_Database!$A$2:$A$500, Result_Database!AA$2:AA$500),
  _xlfn.IFNA(_xlpm.result, "")
)</f>
        <v/>
      </c>
      <c r="AC232" t="str">
        <f>_xlfn.LET(
  _xlpm.result, _xlfn.XLOOKUP($B232, Result_Database!$A$2:$A$500, Result_Database!AB$2:AB$500),
  _xlfn.IFNA(_xlpm.result, "")
)</f>
        <v/>
      </c>
      <c r="AD232" t="str">
        <f>_xlfn.LET(
  _xlpm.result, _xlfn.XLOOKUP($B232, Result_Database!$A$2:$A$500, Result_Database!AC$2:AC$500),
  _xlfn.IFNA(_xlpm.result, "")
)</f>
        <v/>
      </c>
      <c r="AE232" t="str">
        <f>_xlfn.LET(
  _xlpm.result, _xlfn.XLOOKUP($B232, Result_Database!$A$2:$A$500, Result_Database!AD$2:AD$500),
  _xlfn.IFNA(_xlpm.result, "")
)</f>
        <v/>
      </c>
      <c r="AF232" t="str">
        <f>_xlfn.LET(
  _xlpm.result, _xlfn.XLOOKUP($B232, Result_Database!$A$2:$A$500, Result_Database!AE$2:AE$500),
  _xlfn.IFNA(_xlpm.result, "")
)</f>
        <v/>
      </c>
      <c r="AG232" t="str">
        <f>_xlfn.LET(
  _xlpm.result, _xlfn.XLOOKUP($B232, Result_Database!$A$2:$A$500, Result_Database!AF$2:AF$500),
  _xlfn.IFNA(_xlpm.result, "")
)</f>
        <v/>
      </c>
      <c r="AH232" t="str">
        <f>_xlfn.LET(
  _xlpm.result, _xlfn.XLOOKUP($B232, Result_Database!$A$2:$A$500, Result_Database!AG$2:AG$500),
  _xlfn.IFNA(_xlpm.result, "")
)</f>
        <v/>
      </c>
      <c r="AI232" t="str">
        <f>_xlfn.LET(
  _xlpm.result, _xlfn.XLOOKUP($B232, Result_Database!$A$2:$A$500, Result_Database!AH$2:AH$500),
  _xlfn.IFNA(_xlpm.result, "")
)</f>
        <v/>
      </c>
      <c r="AJ232" t="str">
        <f>_xlfn.LET(
  _xlpm.result, _xlfn.XLOOKUP($B232, Result_Database!$A$2:$A$500, Result_Database!AI$2:AI$500),
  _xlfn.IFNA(_xlpm.result, "")
)</f>
        <v/>
      </c>
      <c r="AK232" t="str">
        <f>_xlfn.LET(
  _xlpm.result, _xlfn.XLOOKUP($B232, Result_Database!$A$2:$A$500, Result_Database!AJ$2:AJ$500),
  _xlfn.IFNA(_xlpm.result, "")
)</f>
        <v/>
      </c>
      <c r="AL232" t="str">
        <f>_xlfn.LET(
  _xlpm.result, _xlfn.XLOOKUP($B232, Result_Database!$A$2:$A$500, Result_Database!AK$2:AK$500),
  _xlfn.IFNA(_xlpm.result, "")
)</f>
        <v/>
      </c>
      <c r="AM23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3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3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3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3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3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3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3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3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32" t="str">
        <f>IF(SUM(Table5[[#This Row],[A1]:[C6]])&lt;&gt;0,SUM(Table5[[#This Row],[A1]:[C6]]),"")</f>
        <v/>
      </c>
      <c r="AW232" t="str">
        <f>IF(SUM(Table5[[#This Row],[D7]:[F9]])=0,"",SUM(Table5[[#This Row],[D7]:[F9]]))</f>
        <v/>
      </c>
      <c r="AX23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3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3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3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3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3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32" t="str">
        <f>IF(COUNTIF(Table5[[#This Row],[English Language]:[Electrical/ Electronics]],"WITHHELD")=0,"",COUNTIF(Table5[[#This Row],[English Language]:[Electrical/ Electronics]],"WITHHELD"))</f>
        <v/>
      </c>
      <c r="BE232" t="str">
        <f>IF(SUM(Table5[[#This Row],[NO OF CREDITS]:[BELOW CREDITS]])=0,"",SUM(Table5[[#This Row],[NO OF CREDITS]:[BELOW CREDITS]]))</f>
        <v/>
      </c>
    </row>
    <row r="233" spans="1:57" x14ac:dyDescent="0.3">
      <c r="A233" t="str">
        <f>IF(B233&lt;&gt;"",COUNTA($B$6:B233),"")</f>
        <v/>
      </c>
      <c r="B233" t="str">
        <f>IF(Result_Database!A229="","",Result_Database!A229)</f>
        <v/>
      </c>
      <c r="C233" t="str">
        <f>_xlfn.LET(
_xlpm.result,_xlfn.XLOOKUP($B233,Result_Database!$A$2:$A$500,Result_Database!$B$2:$B$500),
_xlfn.IFNA(_xlpm.result,"")
)</f>
        <v/>
      </c>
      <c r="D233" t="str">
        <f>_xlfn.LET(
  _xlpm.result, _xlfn.XLOOKUP($B233, Result_Database!$A$2:$A$500, Result_Database!C$2:C$500),
  _xlfn.IFNA(_xlpm.result, "")
)</f>
        <v/>
      </c>
      <c r="E233" t="str">
        <f>_xlfn.LET(
  _xlpm.result, _xlfn.XLOOKUP($B233, Result_Database!$A$2:$A$500, Result_Database!D$2:D$500),
  _xlfn.IFNA(_xlpm.result, "")
)</f>
        <v/>
      </c>
      <c r="F233" t="str">
        <f>_xlfn.LET(
  _xlpm.result, _xlfn.XLOOKUP($B233, Result_Database!$A$2:$A$500, Result_Database!E$2:E$500),
  _xlfn.IFNA(_xlpm.result, "")
)</f>
        <v/>
      </c>
      <c r="G233" t="str">
        <f>_xlfn.LET(
  _xlpm.result, _xlfn.XLOOKUP($B233, Result_Database!$A$2:$A$500, Result_Database!F$2:F$500),
  _xlfn.IFNA(_xlpm.result, "")
)</f>
        <v/>
      </c>
      <c r="H233" t="str">
        <f>_xlfn.LET(
  _xlpm.result, _xlfn.XLOOKUP($B233, Result_Database!$A$2:$A$500, Result_Database!G$2:G$500),
  _xlfn.IFNA(_xlpm.result, "")
)</f>
        <v/>
      </c>
      <c r="I233" t="str">
        <f>_xlfn.LET(
  _xlpm.result, _xlfn.XLOOKUP($B233, Result_Database!$A$2:$A$500, Result_Database!H$2:H$500),
  _xlfn.IFNA(_xlpm.result, "")
)</f>
        <v/>
      </c>
      <c r="J233" t="str">
        <f>_xlfn.LET(
  _xlpm.result, _xlfn.XLOOKUP($B233, Result_Database!$A$2:$A$500, Result_Database!I$2:I$500),
  _xlfn.IFNA(_xlpm.result, "")
)</f>
        <v/>
      </c>
      <c r="K233" t="str">
        <f>_xlfn.LET(
  _xlpm.result, _xlfn.XLOOKUP($B233, Result_Database!$A$2:$A$500, Result_Database!J$2:J$500),
  _xlfn.IFNA(_xlpm.result, "")
)</f>
        <v/>
      </c>
      <c r="L233" t="str">
        <f>_xlfn.LET(
  _xlpm.result, _xlfn.XLOOKUP($B233, Result_Database!$A$2:$A$500, Result_Database!K$2:K$500),
  _xlfn.IFNA(_xlpm.result, "")
)</f>
        <v/>
      </c>
      <c r="M233" t="str">
        <f>_xlfn.LET(
  _xlpm.result, _xlfn.XLOOKUP($B233, Result_Database!$A$2:$A$500, Result_Database!L$2:L$500),
  _xlfn.IFNA(_xlpm.result, "")
)</f>
        <v/>
      </c>
      <c r="N233" t="str">
        <f>_xlfn.LET(
  _xlpm.result, _xlfn.XLOOKUP($B233, Result_Database!$A$2:$A$500, Result_Database!M$2:M$500),
  _xlfn.IFNA(_xlpm.result, "")
)</f>
        <v/>
      </c>
      <c r="O233" t="str">
        <f>_xlfn.LET(
  _xlpm.result, _xlfn.XLOOKUP($B233, Result_Database!$A$2:$A$500, Result_Database!N$2:N$500),
  _xlfn.IFNA(_xlpm.result, "")
)</f>
        <v/>
      </c>
      <c r="P233" t="str">
        <f>_xlfn.LET(
  _xlpm.result, _xlfn.XLOOKUP($B233, Result_Database!$A$2:$A$500, Result_Database!O$2:O$500),
  _xlfn.IFNA(_xlpm.result, "")
)</f>
        <v/>
      </c>
      <c r="Q233" t="str">
        <f>_xlfn.LET(
  _xlpm.result, _xlfn.XLOOKUP($B233, Result_Database!$A$2:$A$500, Result_Database!P$2:P$500),
  _xlfn.IFNA(_xlpm.result, "")
)</f>
        <v/>
      </c>
      <c r="R233" t="str">
        <f>_xlfn.LET(
  _xlpm.result, _xlfn.XLOOKUP($B233, Result_Database!$A$2:$A$500, Result_Database!Q$2:Q$500),
  _xlfn.IFNA(_xlpm.result, "")
)</f>
        <v/>
      </c>
      <c r="S233" t="str">
        <f>_xlfn.LET(
  _xlpm.result, _xlfn.XLOOKUP($B233, Result_Database!$A$2:$A$500, Result_Database!R$2:R$500),
  _xlfn.IFNA(_xlpm.result, "")
)</f>
        <v/>
      </c>
      <c r="T233" t="str">
        <f>_xlfn.LET(
  _xlpm.result, _xlfn.XLOOKUP($B233, Result_Database!$A$2:$A$500, Result_Database!S$2:S$500),
  _xlfn.IFNA(_xlpm.result, "")
)</f>
        <v/>
      </c>
      <c r="U233" t="str">
        <f>_xlfn.LET(
  _xlpm.result, _xlfn.XLOOKUP($B233, Result_Database!$A$2:$A$500, Result_Database!T$2:T$500),
  _xlfn.IFNA(_xlpm.result, "")
)</f>
        <v/>
      </c>
      <c r="V233" t="str">
        <f>_xlfn.LET(
  _xlpm.result, _xlfn.XLOOKUP($B233, Result_Database!$A$2:$A$500, Result_Database!U$2:U$500),
  _xlfn.IFNA(_xlpm.result, "")
)</f>
        <v/>
      </c>
      <c r="W233" t="str">
        <f>_xlfn.LET(
  _xlpm.result, _xlfn.XLOOKUP($B233, Result_Database!$A$2:$A$500, Result_Database!V$2:V$500),
  _xlfn.IFNA(_xlpm.result, "")
)</f>
        <v/>
      </c>
      <c r="X233" t="str">
        <f>_xlfn.LET(
  _xlpm.result, _xlfn.XLOOKUP($B233, Result_Database!$A$2:$A$500, Result_Database!W$2:W$500),
  _xlfn.IFNA(_xlpm.result, "")
)</f>
        <v/>
      </c>
      <c r="Y233" t="str">
        <f>_xlfn.LET(
  _xlpm.result, _xlfn.XLOOKUP($B233, Result_Database!$A$2:$A$500, Result_Database!X$2:X$500),
  _xlfn.IFNA(_xlpm.result, "")
)</f>
        <v/>
      </c>
      <c r="Z233" t="str">
        <f>_xlfn.LET(
  _xlpm.result, _xlfn.XLOOKUP($B233, Result_Database!$A$2:$A$500, Result_Database!Y$2:Y$500),
  _xlfn.IFNA(_xlpm.result, "")
)</f>
        <v/>
      </c>
      <c r="AA233" t="str">
        <f>_xlfn.LET(
  _xlpm.result, _xlfn.XLOOKUP($B233, Result_Database!$A$2:$A$500, Result_Database!Z$2:Z$500),
  _xlfn.IFNA(_xlpm.result, "")
)</f>
        <v/>
      </c>
      <c r="AB233" t="str">
        <f>_xlfn.LET(
  _xlpm.result, _xlfn.XLOOKUP($B233, Result_Database!$A$2:$A$500, Result_Database!AA$2:AA$500),
  _xlfn.IFNA(_xlpm.result, "")
)</f>
        <v/>
      </c>
      <c r="AC233" t="str">
        <f>_xlfn.LET(
  _xlpm.result, _xlfn.XLOOKUP($B233, Result_Database!$A$2:$A$500, Result_Database!AB$2:AB$500),
  _xlfn.IFNA(_xlpm.result, "")
)</f>
        <v/>
      </c>
      <c r="AD233" t="str">
        <f>_xlfn.LET(
  _xlpm.result, _xlfn.XLOOKUP($B233, Result_Database!$A$2:$A$500, Result_Database!AC$2:AC$500),
  _xlfn.IFNA(_xlpm.result, "")
)</f>
        <v/>
      </c>
      <c r="AE233" t="str">
        <f>_xlfn.LET(
  _xlpm.result, _xlfn.XLOOKUP($B233, Result_Database!$A$2:$A$500, Result_Database!AD$2:AD$500),
  _xlfn.IFNA(_xlpm.result, "")
)</f>
        <v/>
      </c>
      <c r="AF233" t="str">
        <f>_xlfn.LET(
  _xlpm.result, _xlfn.XLOOKUP($B233, Result_Database!$A$2:$A$500, Result_Database!AE$2:AE$500),
  _xlfn.IFNA(_xlpm.result, "")
)</f>
        <v/>
      </c>
      <c r="AG233" t="str">
        <f>_xlfn.LET(
  _xlpm.result, _xlfn.XLOOKUP($B233, Result_Database!$A$2:$A$500, Result_Database!AF$2:AF$500),
  _xlfn.IFNA(_xlpm.result, "")
)</f>
        <v/>
      </c>
      <c r="AH233" t="str">
        <f>_xlfn.LET(
  _xlpm.result, _xlfn.XLOOKUP($B233, Result_Database!$A$2:$A$500, Result_Database!AG$2:AG$500),
  _xlfn.IFNA(_xlpm.result, "")
)</f>
        <v/>
      </c>
      <c r="AI233" t="str">
        <f>_xlfn.LET(
  _xlpm.result, _xlfn.XLOOKUP($B233, Result_Database!$A$2:$A$500, Result_Database!AH$2:AH$500),
  _xlfn.IFNA(_xlpm.result, "")
)</f>
        <v/>
      </c>
      <c r="AJ233" t="str">
        <f>_xlfn.LET(
  _xlpm.result, _xlfn.XLOOKUP($B233, Result_Database!$A$2:$A$500, Result_Database!AI$2:AI$500),
  _xlfn.IFNA(_xlpm.result, "")
)</f>
        <v/>
      </c>
      <c r="AK233" t="str">
        <f>_xlfn.LET(
  _xlpm.result, _xlfn.XLOOKUP($B233, Result_Database!$A$2:$A$500, Result_Database!AJ$2:AJ$500),
  _xlfn.IFNA(_xlpm.result, "")
)</f>
        <v/>
      </c>
      <c r="AL233" t="str">
        <f>_xlfn.LET(
  _xlpm.result, _xlfn.XLOOKUP($B233, Result_Database!$A$2:$A$500, Result_Database!AK$2:AK$500),
  _xlfn.IFNA(_xlpm.result, "")
)</f>
        <v/>
      </c>
      <c r="AM23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3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3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3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3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3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3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3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3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33" t="str">
        <f>IF(SUM(Table5[[#This Row],[A1]:[C6]])&lt;&gt;0,SUM(Table5[[#This Row],[A1]:[C6]]),"")</f>
        <v/>
      </c>
      <c r="AW233" t="str">
        <f>IF(SUM(Table5[[#This Row],[D7]:[F9]])=0,"",SUM(Table5[[#This Row],[D7]:[F9]]))</f>
        <v/>
      </c>
      <c r="AX23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3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3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3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3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3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33" t="str">
        <f>IF(COUNTIF(Table5[[#This Row],[English Language]:[Electrical/ Electronics]],"WITHHELD")=0,"",COUNTIF(Table5[[#This Row],[English Language]:[Electrical/ Electronics]],"WITHHELD"))</f>
        <v/>
      </c>
      <c r="BE233" t="str">
        <f>IF(SUM(Table5[[#This Row],[NO OF CREDITS]:[BELOW CREDITS]])=0,"",SUM(Table5[[#This Row],[NO OF CREDITS]:[BELOW CREDITS]]))</f>
        <v/>
      </c>
    </row>
    <row r="234" spans="1:57" x14ac:dyDescent="0.3">
      <c r="A234" t="str">
        <f>IF(B234&lt;&gt;"",COUNTA($B$6:B234),"")</f>
        <v/>
      </c>
      <c r="B234" t="str">
        <f>IF(Result_Database!A230="","",Result_Database!A230)</f>
        <v/>
      </c>
      <c r="C234" t="str">
        <f>_xlfn.LET(
_xlpm.result,_xlfn.XLOOKUP($B234,Result_Database!$A$2:$A$500,Result_Database!$B$2:$B$500),
_xlfn.IFNA(_xlpm.result,"")
)</f>
        <v/>
      </c>
      <c r="D234" t="str">
        <f>_xlfn.LET(
  _xlpm.result, _xlfn.XLOOKUP($B234, Result_Database!$A$2:$A$500, Result_Database!C$2:C$500),
  _xlfn.IFNA(_xlpm.result, "")
)</f>
        <v/>
      </c>
      <c r="E234" t="str">
        <f>_xlfn.LET(
  _xlpm.result, _xlfn.XLOOKUP($B234, Result_Database!$A$2:$A$500, Result_Database!D$2:D$500),
  _xlfn.IFNA(_xlpm.result, "")
)</f>
        <v/>
      </c>
      <c r="F234" t="str">
        <f>_xlfn.LET(
  _xlpm.result, _xlfn.XLOOKUP($B234, Result_Database!$A$2:$A$500, Result_Database!E$2:E$500),
  _xlfn.IFNA(_xlpm.result, "")
)</f>
        <v/>
      </c>
      <c r="G234" t="str">
        <f>_xlfn.LET(
  _xlpm.result, _xlfn.XLOOKUP($B234, Result_Database!$A$2:$A$500, Result_Database!F$2:F$500),
  _xlfn.IFNA(_xlpm.result, "")
)</f>
        <v/>
      </c>
      <c r="H234" t="str">
        <f>_xlfn.LET(
  _xlpm.result, _xlfn.XLOOKUP($B234, Result_Database!$A$2:$A$500, Result_Database!G$2:G$500),
  _xlfn.IFNA(_xlpm.result, "")
)</f>
        <v/>
      </c>
      <c r="I234" t="str">
        <f>_xlfn.LET(
  _xlpm.result, _xlfn.XLOOKUP($B234, Result_Database!$A$2:$A$500, Result_Database!H$2:H$500),
  _xlfn.IFNA(_xlpm.result, "")
)</f>
        <v/>
      </c>
      <c r="J234" t="str">
        <f>_xlfn.LET(
  _xlpm.result, _xlfn.XLOOKUP($B234, Result_Database!$A$2:$A$500, Result_Database!I$2:I$500),
  _xlfn.IFNA(_xlpm.result, "")
)</f>
        <v/>
      </c>
      <c r="K234" t="str">
        <f>_xlfn.LET(
  _xlpm.result, _xlfn.XLOOKUP($B234, Result_Database!$A$2:$A$500, Result_Database!J$2:J$500),
  _xlfn.IFNA(_xlpm.result, "")
)</f>
        <v/>
      </c>
      <c r="L234" t="str">
        <f>_xlfn.LET(
  _xlpm.result, _xlfn.XLOOKUP($B234, Result_Database!$A$2:$A$500, Result_Database!K$2:K$500),
  _xlfn.IFNA(_xlpm.result, "")
)</f>
        <v/>
      </c>
      <c r="M234" t="str">
        <f>_xlfn.LET(
  _xlpm.result, _xlfn.XLOOKUP($B234, Result_Database!$A$2:$A$500, Result_Database!L$2:L$500),
  _xlfn.IFNA(_xlpm.result, "")
)</f>
        <v/>
      </c>
      <c r="N234" t="str">
        <f>_xlfn.LET(
  _xlpm.result, _xlfn.XLOOKUP($B234, Result_Database!$A$2:$A$500, Result_Database!M$2:M$500),
  _xlfn.IFNA(_xlpm.result, "")
)</f>
        <v/>
      </c>
      <c r="O234" t="str">
        <f>_xlfn.LET(
  _xlpm.result, _xlfn.XLOOKUP($B234, Result_Database!$A$2:$A$500, Result_Database!N$2:N$500),
  _xlfn.IFNA(_xlpm.result, "")
)</f>
        <v/>
      </c>
      <c r="P234" t="str">
        <f>_xlfn.LET(
  _xlpm.result, _xlfn.XLOOKUP($B234, Result_Database!$A$2:$A$500, Result_Database!O$2:O$500),
  _xlfn.IFNA(_xlpm.result, "")
)</f>
        <v/>
      </c>
      <c r="Q234" t="str">
        <f>_xlfn.LET(
  _xlpm.result, _xlfn.XLOOKUP($B234, Result_Database!$A$2:$A$500, Result_Database!P$2:P$500),
  _xlfn.IFNA(_xlpm.result, "")
)</f>
        <v/>
      </c>
      <c r="R234" t="str">
        <f>_xlfn.LET(
  _xlpm.result, _xlfn.XLOOKUP($B234, Result_Database!$A$2:$A$500, Result_Database!Q$2:Q$500),
  _xlfn.IFNA(_xlpm.result, "")
)</f>
        <v/>
      </c>
      <c r="S234" t="str">
        <f>_xlfn.LET(
  _xlpm.result, _xlfn.XLOOKUP($B234, Result_Database!$A$2:$A$500, Result_Database!R$2:R$500),
  _xlfn.IFNA(_xlpm.result, "")
)</f>
        <v/>
      </c>
      <c r="T234" t="str">
        <f>_xlfn.LET(
  _xlpm.result, _xlfn.XLOOKUP($B234, Result_Database!$A$2:$A$500, Result_Database!S$2:S$500),
  _xlfn.IFNA(_xlpm.result, "")
)</f>
        <v/>
      </c>
      <c r="U234" t="str">
        <f>_xlfn.LET(
  _xlpm.result, _xlfn.XLOOKUP($B234, Result_Database!$A$2:$A$500, Result_Database!T$2:T$500),
  _xlfn.IFNA(_xlpm.result, "")
)</f>
        <v/>
      </c>
      <c r="V234" t="str">
        <f>_xlfn.LET(
  _xlpm.result, _xlfn.XLOOKUP($B234, Result_Database!$A$2:$A$500, Result_Database!U$2:U$500),
  _xlfn.IFNA(_xlpm.result, "")
)</f>
        <v/>
      </c>
      <c r="W234" t="str">
        <f>_xlfn.LET(
  _xlpm.result, _xlfn.XLOOKUP($B234, Result_Database!$A$2:$A$500, Result_Database!V$2:V$500),
  _xlfn.IFNA(_xlpm.result, "")
)</f>
        <v/>
      </c>
      <c r="X234" t="str">
        <f>_xlfn.LET(
  _xlpm.result, _xlfn.XLOOKUP($B234, Result_Database!$A$2:$A$500, Result_Database!W$2:W$500),
  _xlfn.IFNA(_xlpm.result, "")
)</f>
        <v/>
      </c>
      <c r="Y234" t="str">
        <f>_xlfn.LET(
  _xlpm.result, _xlfn.XLOOKUP($B234, Result_Database!$A$2:$A$500, Result_Database!X$2:X$500),
  _xlfn.IFNA(_xlpm.result, "")
)</f>
        <v/>
      </c>
      <c r="Z234" t="str">
        <f>_xlfn.LET(
  _xlpm.result, _xlfn.XLOOKUP($B234, Result_Database!$A$2:$A$500, Result_Database!Y$2:Y$500),
  _xlfn.IFNA(_xlpm.result, "")
)</f>
        <v/>
      </c>
      <c r="AA234" t="str">
        <f>_xlfn.LET(
  _xlpm.result, _xlfn.XLOOKUP($B234, Result_Database!$A$2:$A$500, Result_Database!Z$2:Z$500),
  _xlfn.IFNA(_xlpm.result, "")
)</f>
        <v/>
      </c>
      <c r="AB234" t="str">
        <f>_xlfn.LET(
  _xlpm.result, _xlfn.XLOOKUP($B234, Result_Database!$A$2:$A$500, Result_Database!AA$2:AA$500),
  _xlfn.IFNA(_xlpm.result, "")
)</f>
        <v/>
      </c>
      <c r="AC234" t="str">
        <f>_xlfn.LET(
  _xlpm.result, _xlfn.XLOOKUP($B234, Result_Database!$A$2:$A$500, Result_Database!AB$2:AB$500),
  _xlfn.IFNA(_xlpm.result, "")
)</f>
        <v/>
      </c>
      <c r="AD234" t="str">
        <f>_xlfn.LET(
  _xlpm.result, _xlfn.XLOOKUP($B234, Result_Database!$A$2:$A$500, Result_Database!AC$2:AC$500),
  _xlfn.IFNA(_xlpm.result, "")
)</f>
        <v/>
      </c>
      <c r="AE234" t="str">
        <f>_xlfn.LET(
  _xlpm.result, _xlfn.XLOOKUP($B234, Result_Database!$A$2:$A$500, Result_Database!AD$2:AD$500),
  _xlfn.IFNA(_xlpm.result, "")
)</f>
        <v/>
      </c>
      <c r="AF234" t="str">
        <f>_xlfn.LET(
  _xlpm.result, _xlfn.XLOOKUP($B234, Result_Database!$A$2:$A$500, Result_Database!AE$2:AE$500),
  _xlfn.IFNA(_xlpm.result, "")
)</f>
        <v/>
      </c>
      <c r="AG234" t="str">
        <f>_xlfn.LET(
  _xlpm.result, _xlfn.XLOOKUP($B234, Result_Database!$A$2:$A$500, Result_Database!AF$2:AF$500),
  _xlfn.IFNA(_xlpm.result, "")
)</f>
        <v/>
      </c>
      <c r="AH234" t="str">
        <f>_xlfn.LET(
  _xlpm.result, _xlfn.XLOOKUP($B234, Result_Database!$A$2:$A$500, Result_Database!AG$2:AG$500),
  _xlfn.IFNA(_xlpm.result, "")
)</f>
        <v/>
      </c>
      <c r="AI234" t="str">
        <f>_xlfn.LET(
  _xlpm.result, _xlfn.XLOOKUP($B234, Result_Database!$A$2:$A$500, Result_Database!AH$2:AH$500),
  _xlfn.IFNA(_xlpm.result, "")
)</f>
        <v/>
      </c>
      <c r="AJ234" t="str">
        <f>_xlfn.LET(
  _xlpm.result, _xlfn.XLOOKUP($B234, Result_Database!$A$2:$A$500, Result_Database!AI$2:AI$500),
  _xlfn.IFNA(_xlpm.result, "")
)</f>
        <v/>
      </c>
      <c r="AK234" t="str">
        <f>_xlfn.LET(
  _xlpm.result, _xlfn.XLOOKUP($B234, Result_Database!$A$2:$A$500, Result_Database!AJ$2:AJ$500),
  _xlfn.IFNA(_xlpm.result, "")
)</f>
        <v/>
      </c>
      <c r="AL234" t="str">
        <f>_xlfn.LET(
  _xlpm.result, _xlfn.XLOOKUP($B234, Result_Database!$A$2:$A$500, Result_Database!AK$2:AK$500),
  _xlfn.IFNA(_xlpm.result, "")
)</f>
        <v/>
      </c>
      <c r="AM23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3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3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3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3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3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3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3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3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34" t="str">
        <f>IF(SUM(Table5[[#This Row],[A1]:[C6]])&lt;&gt;0,SUM(Table5[[#This Row],[A1]:[C6]]),"")</f>
        <v/>
      </c>
      <c r="AW234" t="str">
        <f>IF(SUM(Table5[[#This Row],[D7]:[F9]])=0,"",SUM(Table5[[#This Row],[D7]:[F9]]))</f>
        <v/>
      </c>
      <c r="AX23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3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3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3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3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3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34" t="str">
        <f>IF(COUNTIF(Table5[[#This Row],[English Language]:[Electrical/ Electronics]],"WITHHELD")=0,"",COUNTIF(Table5[[#This Row],[English Language]:[Electrical/ Electronics]],"WITHHELD"))</f>
        <v/>
      </c>
      <c r="BE234" t="str">
        <f>IF(SUM(Table5[[#This Row],[NO OF CREDITS]:[BELOW CREDITS]])=0,"",SUM(Table5[[#This Row],[NO OF CREDITS]:[BELOW CREDITS]]))</f>
        <v/>
      </c>
    </row>
    <row r="235" spans="1:57" x14ac:dyDescent="0.3">
      <c r="A235" t="str">
        <f>IF(B235&lt;&gt;"",COUNTA($B$6:B235),"")</f>
        <v/>
      </c>
      <c r="B235" t="str">
        <f>IF(Result_Database!A231="","",Result_Database!A231)</f>
        <v/>
      </c>
      <c r="C235" t="str">
        <f>_xlfn.LET(
_xlpm.result,_xlfn.XLOOKUP($B235,Result_Database!$A$2:$A$500,Result_Database!$B$2:$B$500),
_xlfn.IFNA(_xlpm.result,"")
)</f>
        <v/>
      </c>
      <c r="D235" t="str">
        <f>_xlfn.LET(
  _xlpm.result, _xlfn.XLOOKUP($B235, Result_Database!$A$2:$A$500, Result_Database!C$2:C$500),
  _xlfn.IFNA(_xlpm.result, "")
)</f>
        <v/>
      </c>
      <c r="E235" t="str">
        <f>_xlfn.LET(
  _xlpm.result, _xlfn.XLOOKUP($B235, Result_Database!$A$2:$A$500, Result_Database!D$2:D$500),
  _xlfn.IFNA(_xlpm.result, "")
)</f>
        <v/>
      </c>
      <c r="F235" t="str">
        <f>_xlfn.LET(
  _xlpm.result, _xlfn.XLOOKUP($B235, Result_Database!$A$2:$A$500, Result_Database!E$2:E$500),
  _xlfn.IFNA(_xlpm.result, "")
)</f>
        <v/>
      </c>
      <c r="G235" t="str">
        <f>_xlfn.LET(
  _xlpm.result, _xlfn.XLOOKUP($B235, Result_Database!$A$2:$A$500, Result_Database!F$2:F$500),
  _xlfn.IFNA(_xlpm.result, "")
)</f>
        <v/>
      </c>
      <c r="H235" t="str">
        <f>_xlfn.LET(
  _xlpm.result, _xlfn.XLOOKUP($B235, Result_Database!$A$2:$A$500, Result_Database!G$2:G$500),
  _xlfn.IFNA(_xlpm.result, "")
)</f>
        <v/>
      </c>
      <c r="I235" t="str">
        <f>_xlfn.LET(
  _xlpm.result, _xlfn.XLOOKUP($B235, Result_Database!$A$2:$A$500, Result_Database!H$2:H$500),
  _xlfn.IFNA(_xlpm.result, "")
)</f>
        <v/>
      </c>
      <c r="J235" t="str">
        <f>_xlfn.LET(
  _xlpm.result, _xlfn.XLOOKUP($B235, Result_Database!$A$2:$A$500, Result_Database!I$2:I$500),
  _xlfn.IFNA(_xlpm.result, "")
)</f>
        <v/>
      </c>
      <c r="K235" t="str">
        <f>_xlfn.LET(
  _xlpm.result, _xlfn.XLOOKUP($B235, Result_Database!$A$2:$A$500, Result_Database!J$2:J$500),
  _xlfn.IFNA(_xlpm.result, "")
)</f>
        <v/>
      </c>
      <c r="L235" t="str">
        <f>_xlfn.LET(
  _xlpm.result, _xlfn.XLOOKUP($B235, Result_Database!$A$2:$A$500, Result_Database!K$2:K$500),
  _xlfn.IFNA(_xlpm.result, "")
)</f>
        <v/>
      </c>
      <c r="M235" t="str">
        <f>_xlfn.LET(
  _xlpm.result, _xlfn.XLOOKUP($B235, Result_Database!$A$2:$A$500, Result_Database!L$2:L$500),
  _xlfn.IFNA(_xlpm.result, "")
)</f>
        <v/>
      </c>
      <c r="N235" t="str">
        <f>_xlfn.LET(
  _xlpm.result, _xlfn.XLOOKUP($B235, Result_Database!$A$2:$A$500, Result_Database!M$2:M$500),
  _xlfn.IFNA(_xlpm.result, "")
)</f>
        <v/>
      </c>
      <c r="O235" t="str">
        <f>_xlfn.LET(
  _xlpm.result, _xlfn.XLOOKUP($B235, Result_Database!$A$2:$A$500, Result_Database!N$2:N$500),
  _xlfn.IFNA(_xlpm.result, "")
)</f>
        <v/>
      </c>
      <c r="P235" t="str">
        <f>_xlfn.LET(
  _xlpm.result, _xlfn.XLOOKUP($B235, Result_Database!$A$2:$A$500, Result_Database!O$2:O$500),
  _xlfn.IFNA(_xlpm.result, "")
)</f>
        <v/>
      </c>
      <c r="Q235" t="str">
        <f>_xlfn.LET(
  _xlpm.result, _xlfn.XLOOKUP($B235, Result_Database!$A$2:$A$500, Result_Database!P$2:P$500),
  _xlfn.IFNA(_xlpm.result, "")
)</f>
        <v/>
      </c>
      <c r="R235" t="str">
        <f>_xlfn.LET(
  _xlpm.result, _xlfn.XLOOKUP($B235, Result_Database!$A$2:$A$500, Result_Database!Q$2:Q$500),
  _xlfn.IFNA(_xlpm.result, "")
)</f>
        <v/>
      </c>
      <c r="S235" t="str">
        <f>_xlfn.LET(
  _xlpm.result, _xlfn.XLOOKUP($B235, Result_Database!$A$2:$A$500, Result_Database!R$2:R$500),
  _xlfn.IFNA(_xlpm.result, "")
)</f>
        <v/>
      </c>
      <c r="T235" t="str">
        <f>_xlfn.LET(
  _xlpm.result, _xlfn.XLOOKUP($B235, Result_Database!$A$2:$A$500, Result_Database!S$2:S$500),
  _xlfn.IFNA(_xlpm.result, "")
)</f>
        <v/>
      </c>
      <c r="U235" t="str">
        <f>_xlfn.LET(
  _xlpm.result, _xlfn.XLOOKUP($B235, Result_Database!$A$2:$A$500, Result_Database!T$2:T$500),
  _xlfn.IFNA(_xlpm.result, "")
)</f>
        <v/>
      </c>
      <c r="V235" t="str">
        <f>_xlfn.LET(
  _xlpm.result, _xlfn.XLOOKUP($B235, Result_Database!$A$2:$A$500, Result_Database!U$2:U$500),
  _xlfn.IFNA(_xlpm.result, "")
)</f>
        <v/>
      </c>
      <c r="W235" t="str">
        <f>_xlfn.LET(
  _xlpm.result, _xlfn.XLOOKUP($B235, Result_Database!$A$2:$A$500, Result_Database!V$2:V$500),
  _xlfn.IFNA(_xlpm.result, "")
)</f>
        <v/>
      </c>
      <c r="X235" t="str">
        <f>_xlfn.LET(
  _xlpm.result, _xlfn.XLOOKUP($B235, Result_Database!$A$2:$A$500, Result_Database!W$2:W$500),
  _xlfn.IFNA(_xlpm.result, "")
)</f>
        <v/>
      </c>
      <c r="Y235" t="str">
        <f>_xlfn.LET(
  _xlpm.result, _xlfn.XLOOKUP($B235, Result_Database!$A$2:$A$500, Result_Database!X$2:X$500),
  _xlfn.IFNA(_xlpm.result, "")
)</f>
        <v/>
      </c>
      <c r="Z235" t="str">
        <f>_xlfn.LET(
  _xlpm.result, _xlfn.XLOOKUP($B235, Result_Database!$A$2:$A$500, Result_Database!Y$2:Y$500),
  _xlfn.IFNA(_xlpm.result, "")
)</f>
        <v/>
      </c>
      <c r="AA235" t="str">
        <f>_xlfn.LET(
  _xlpm.result, _xlfn.XLOOKUP($B235, Result_Database!$A$2:$A$500, Result_Database!Z$2:Z$500),
  _xlfn.IFNA(_xlpm.result, "")
)</f>
        <v/>
      </c>
      <c r="AB235" t="str">
        <f>_xlfn.LET(
  _xlpm.result, _xlfn.XLOOKUP($B235, Result_Database!$A$2:$A$500, Result_Database!AA$2:AA$500),
  _xlfn.IFNA(_xlpm.result, "")
)</f>
        <v/>
      </c>
      <c r="AC235" t="str">
        <f>_xlfn.LET(
  _xlpm.result, _xlfn.XLOOKUP($B235, Result_Database!$A$2:$A$500, Result_Database!AB$2:AB$500),
  _xlfn.IFNA(_xlpm.result, "")
)</f>
        <v/>
      </c>
      <c r="AD235" t="str">
        <f>_xlfn.LET(
  _xlpm.result, _xlfn.XLOOKUP($B235, Result_Database!$A$2:$A$500, Result_Database!AC$2:AC$500),
  _xlfn.IFNA(_xlpm.result, "")
)</f>
        <v/>
      </c>
      <c r="AE235" t="str">
        <f>_xlfn.LET(
  _xlpm.result, _xlfn.XLOOKUP($B235, Result_Database!$A$2:$A$500, Result_Database!AD$2:AD$500),
  _xlfn.IFNA(_xlpm.result, "")
)</f>
        <v/>
      </c>
      <c r="AF235" t="str">
        <f>_xlfn.LET(
  _xlpm.result, _xlfn.XLOOKUP($B235, Result_Database!$A$2:$A$500, Result_Database!AE$2:AE$500),
  _xlfn.IFNA(_xlpm.result, "")
)</f>
        <v/>
      </c>
      <c r="AG235" t="str">
        <f>_xlfn.LET(
  _xlpm.result, _xlfn.XLOOKUP($B235, Result_Database!$A$2:$A$500, Result_Database!AF$2:AF$500),
  _xlfn.IFNA(_xlpm.result, "")
)</f>
        <v/>
      </c>
      <c r="AH235" t="str">
        <f>_xlfn.LET(
  _xlpm.result, _xlfn.XLOOKUP($B235, Result_Database!$A$2:$A$500, Result_Database!AG$2:AG$500),
  _xlfn.IFNA(_xlpm.result, "")
)</f>
        <v/>
      </c>
      <c r="AI235" t="str">
        <f>_xlfn.LET(
  _xlpm.result, _xlfn.XLOOKUP($B235, Result_Database!$A$2:$A$500, Result_Database!AH$2:AH$500),
  _xlfn.IFNA(_xlpm.result, "")
)</f>
        <v/>
      </c>
      <c r="AJ235" t="str">
        <f>_xlfn.LET(
  _xlpm.result, _xlfn.XLOOKUP($B235, Result_Database!$A$2:$A$500, Result_Database!AI$2:AI$500),
  _xlfn.IFNA(_xlpm.result, "")
)</f>
        <v/>
      </c>
      <c r="AK235" t="str">
        <f>_xlfn.LET(
  _xlpm.result, _xlfn.XLOOKUP($B235, Result_Database!$A$2:$A$500, Result_Database!AJ$2:AJ$500),
  _xlfn.IFNA(_xlpm.result, "")
)</f>
        <v/>
      </c>
      <c r="AL235" t="str">
        <f>_xlfn.LET(
  _xlpm.result, _xlfn.XLOOKUP($B235, Result_Database!$A$2:$A$500, Result_Database!AK$2:AK$500),
  _xlfn.IFNA(_xlpm.result, "")
)</f>
        <v/>
      </c>
      <c r="AM23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3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3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3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3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3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3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3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3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35" t="str">
        <f>IF(SUM(Table5[[#This Row],[A1]:[C6]])&lt;&gt;0,SUM(Table5[[#This Row],[A1]:[C6]]),"")</f>
        <v/>
      </c>
      <c r="AW235" t="str">
        <f>IF(SUM(Table5[[#This Row],[D7]:[F9]])=0,"",SUM(Table5[[#This Row],[D7]:[F9]]))</f>
        <v/>
      </c>
      <c r="AX23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3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3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3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3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3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35" t="str">
        <f>IF(COUNTIF(Table5[[#This Row],[English Language]:[Electrical/ Electronics]],"WITHHELD")=0,"",COUNTIF(Table5[[#This Row],[English Language]:[Electrical/ Electronics]],"WITHHELD"))</f>
        <v/>
      </c>
      <c r="BE235" t="str">
        <f>IF(SUM(Table5[[#This Row],[NO OF CREDITS]:[BELOW CREDITS]])=0,"",SUM(Table5[[#This Row],[NO OF CREDITS]:[BELOW CREDITS]]))</f>
        <v/>
      </c>
    </row>
    <row r="236" spans="1:57" x14ac:dyDescent="0.3">
      <c r="A236" t="str">
        <f>IF(B236&lt;&gt;"",COUNTA($B$6:B236),"")</f>
        <v/>
      </c>
      <c r="B236" t="str">
        <f>IF(Result_Database!A232="","",Result_Database!A232)</f>
        <v/>
      </c>
      <c r="C236" t="str">
        <f>_xlfn.LET(
_xlpm.result,_xlfn.XLOOKUP($B236,Result_Database!$A$2:$A$500,Result_Database!$B$2:$B$500),
_xlfn.IFNA(_xlpm.result,"")
)</f>
        <v/>
      </c>
      <c r="D236" t="str">
        <f>_xlfn.LET(
  _xlpm.result, _xlfn.XLOOKUP($B236, Result_Database!$A$2:$A$500, Result_Database!C$2:C$500),
  _xlfn.IFNA(_xlpm.result, "")
)</f>
        <v/>
      </c>
      <c r="E236" t="str">
        <f>_xlfn.LET(
  _xlpm.result, _xlfn.XLOOKUP($B236, Result_Database!$A$2:$A$500, Result_Database!D$2:D$500),
  _xlfn.IFNA(_xlpm.result, "")
)</f>
        <v/>
      </c>
      <c r="F236" t="str">
        <f>_xlfn.LET(
  _xlpm.result, _xlfn.XLOOKUP($B236, Result_Database!$A$2:$A$500, Result_Database!E$2:E$500),
  _xlfn.IFNA(_xlpm.result, "")
)</f>
        <v/>
      </c>
      <c r="G236" t="str">
        <f>_xlfn.LET(
  _xlpm.result, _xlfn.XLOOKUP($B236, Result_Database!$A$2:$A$500, Result_Database!F$2:F$500),
  _xlfn.IFNA(_xlpm.result, "")
)</f>
        <v/>
      </c>
      <c r="H236" t="str">
        <f>_xlfn.LET(
  _xlpm.result, _xlfn.XLOOKUP($B236, Result_Database!$A$2:$A$500, Result_Database!G$2:G$500),
  _xlfn.IFNA(_xlpm.result, "")
)</f>
        <v/>
      </c>
      <c r="I236" t="str">
        <f>_xlfn.LET(
  _xlpm.result, _xlfn.XLOOKUP($B236, Result_Database!$A$2:$A$500, Result_Database!H$2:H$500),
  _xlfn.IFNA(_xlpm.result, "")
)</f>
        <v/>
      </c>
      <c r="J236" t="str">
        <f>_xlfn.LET(
  _xlpm.result, _xlfn.XLOOKUP($B236, Result_Database!$A$2:$A$500, Result_Database!I$2:I$500),
  _xlfn.IFNA(_xlpm.result, "")
)</f>
        <v/>
      </c>
      <c r="K236" t="str">
        <f>_xlfn.LET(
  _xlpm.result, _xlfn.XLOOKUP($B236, Result_Database!$A$2:$A$500, Result_Database!J$2:J$500),
  _xlfn.IFNA(_xlpm.result, "")
)</f>
        <v/>
      </c>
      <c r="L236" t="str">
        <f>_xlfn.LET(
  _xlpm.result, _xlfn.XLOOKUP($B236, Result_Database!$A$2:$A$500, Result_Database!K$2:K$500),
  _xlfn.IFNA(_xlpm.result, "")
)</f>
        <v/>
      </c>
      <c r="M236" t="str">
        <f>_xlfn.LET(
  _xlpm.result, _xlfn.XLOOKUP($B236, Result_Database!$A$2:$A$500, Result_Database!L$2:L$500),
  _xlfn.IFNA(_xlpm.result, "")
)</f>
        <v/>
      </c>
      <c r="N236" t="str">
        <f>_xlfn.LET(
  _xlpm.result, _xlfn.XLOOKUP($B236, Result_Database!$A$2:$A$500, Result_Database!M$2:M$500),
  _xlfn.IFNA(_xlpm.result, "")
)</f>
        <v/>
      </c>
      <c r="O236" t="str">
        <f>_xlfn.LET(
  _xlpm.result, _xlfn.XLOOKUP($B236, Result_Database!$A$2:$A$500, Result_Database!N$2:N$500),
  _xlfn.IFNA(_xlpm.result, "")
)</f>
        <v/>
      </c>
      <c r="P236" t="str">
        <f>_xlfn.LET(
  _xlpm.result, _xlfn.XLOOKUP($B236, Result_Database!$A$2:$A$500, Result_Database!O$2:O$500),
  _xlfn.IFNA(_xlpm.result, "")
)</f>
        <v/>
      </c>
      <c r="Q236" t="str">
        <f>_xlfn.LET(
  _xlpm.result, _xlfn.XLOOKUP($B236, Result_Database!$A$2:$A$500, Result_Database!P$2:P$500),
  _xlfn.IFNA(_xlpm.result, "")
)</f>
        <v/>
      </c>
      <c r="R236" t="str">
        <f>_xlfn.LET(
  _xlpm.result, _xlfn.XLOOKUP($B236, Result_Database!$A$2:$A$500, Result_Database!Q$2:Q$500),
  _xlfn.IFNA(_xlpm.result, "")
)</f>
        <v/>
      </c>
      <c r="S236" t="str">
        <f>_xlfn.LET(
  _xlpm.result, _xlfn.XLOOKUP($B236, Result_Database!$A$2:$A$500, Result_Database!R$2:R$500),
  _xlfn.IFNA(_xlpm.result, "")
)</f>
        <v/>
      </c>
      <c r="T236" t="str">
        <f>_xlfn.LET(
  _xlpm.result, _xlfn.XLOOKUP($B236, Result_Database!$A$2:$A$500, Result_Database!S$2:S$500),
  _xlfn.IFNA(_xlpm.result, "")
)</f>
        <v/>
      </c>
      <c r="U236" t="str">
        <f>_xlfn.LET(
  _xlpm.result, _xlfn.XLOOKUP($B236, Result_Database!$A$2:$A$500, Result_Database!T$2:T$500),
  _xlfn.IFNA(_xlpm.result, "")
)</f>
        <v/>
      </c>
      <c r="V236" t="str">
        <f>_xlfn.LET(
  _xlpm.result, _xlfn.XLOOKUP($B236, Result_Database!$A$2:$A$500, Result_Database!U$2:U$500),
  _xlfn.IFNA(_xlpm.result, "")
)</f>
        <v/>
      </c>
      <c r="W236" t="str">
        <f>_xlfn.LET(
  _xlpm.result, _xlfn.XLOOKUP($B236, Result_Database!$A$2:$A$500, Result_Database!V$2:V$500),
  _xlfn.IFNA(_xlpm.result, "")
)</f>
        <v/>
      </c>
      <c r="X236" t="str">
        <f>_xlfn.LET(
  _xlpm.result, _xlfn.XLOOKUP($B236, Result_Database!$A$2:$A$500, Result_Database!W$2:W$500),
  _xlfn.IFNA(_xlpm.result, "")
)</f>
        <v/>
      </c>
      <c r="Y236" t="str">
        <f>_xlfn.LET(
  _xlpm.result, _xlfn.XLOOKUP($B236, Result_Database!$A$2:$A$500, Result_Database!X$2:X$500),
  _xlfn.IFNA(_xlpm.result, "")
)</f>
        <v/>
      </c>
      <c r="Z236" t="str">
        <f>_xlfn.LET(
  _xlpm.result, _xlfn.XLOOKUP($B236, Result_Database!$A$2:$A$500, Result_Database!Y$2:Y$500),
  _xlfn.IFNA(_xlpm.result, "")
)</f>
        <v/>
      </c>
      <c r="AA236" t="str">
        <f>_xlfn.LET(
  _xlpm.result, _xlfn.XLOOKUP($B236, Result_Database!$A$2:$A$500, Result_Database!Z$2:Z$500),
  _xlfn.IFNA(_xlpm.result, "")
)</f>
        <v/>
      </c>
      <c r="AB236" t="str">
        <f>_xlfn.LET(
  _xlpm.result, _xlfn.XLOOKUP($B236, Result_Database!$A$2:$A$500, Result_Database!AA$2:AA$500),
  _xlfn.IFNA(_xlpm.result, "")
)</f>
        <v/>
      </c>
      <c r="AC236" t="str">
        <f>_xlfn.LET(
  _xlpm.result, _xlfn.XLOOKUP($B236, Result_Database!$A$2:$A$500, Result_Database!AB$2:AB$500),
  _xlfn.IFNA(_xlpm.result, "")
)</f>
        <v/>
      </c>
      <c r="AD236" t="str">
        <f>_xlfn.LET(
  _xlpm.result, _xlfn.XLOOKUP($B236, Result_Database!$A$2:$A$500, Result_Database!AC$2:AC$500),
  _xlfn.IFNA(_xlpm.result, "")
)</f>
        <v/>
      </c>
      <c r="AE236" t="str">
        <f>_xlfn.LET(
  _xlpm.result, _xlfn.XLOOKUP($B236, Result_Database!$A$2:$A$500, Result_Database!AD$2:AD$500),
  _xlfn.IFNA(_xlpm.result, "")
)</f>
        <v/>
      </c>
      <c r="AF236" t="str">
        <f>_xlfn.LET(
  _xlpm.result, _xlfn.XLOOKUP($B236, Result_Database!$A$2:$A$500, Result_Database!AE$2:AE$500),
  _xlfn.IFNA(_xlpm.result, "")
)</f>
        <v/>
      </c>
      <c r="AG236" t="str">
        <f>_xlfn.LET(
  _xlpm.result, _xlfn.XLOOKUP($B236, Result_Database!$A$2:$A$500, Result_Database!AF$2:AF$500),
  _xlfn.IFNA(_xlpm.result, "")
)</f>
        <v/>
      </c>
      <c r="AH236" t="str">
        <f>_xlfn.LET(
  _xlpm.result, _xlfn.XLOOKUP($B236, Result_Database!$A$2:$A$500, Result_Database!AG$2:AG$500),
  _xlfn.IFNA(_xlpm.result, "")
)</f>
        <v/>
      </c>
      <c r="AI236" t="str">
        <f>_xlfn.LET(
  _xlpm.result, _xlfn.XLOOKUP($B236, Result_Database!$A$2:$A$500, Result_Database!AH$2:AH$500),
  _xlfn.IFNA(_xlpm.result, "")
)</f>
        <v/>
      </c>
      <c r="AJ236" t="str">
        <f>_xlfn.LET(
  _xlpm.result, _xlfn.XLOOKUP($B236, Result_Database!$A$2:$A$500, Result_Database!AI$2:AI$500),
  _xlfn.IFNA(_xlpm.result, "")
)</f>
        <v/>
      </c>
      <c r="AK236" t="str">
        <f>_xlfn.LET(
  _xlpm.result, _xlfn.XLOOKUP($B236, Result_Database!$A$2:$A$500, Result_Database!AJ$2:AJ$500),
  _xlfn.IFNA(_xlpm.result, "")
)</f>
        <v/>
      </c>
      <c r="AL236" t="str">
        <f>_xlfn.LET(
  _xlpm.result, _xlfn.XLOOKUP($B236, Result_Database!$A$2:$A$500, Result_Database!AK$2:AK$500),
  _xlfn.IFNA(_xlpm.result, "")
)</f>
        <v/>
      </c>
      <c r="AM23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3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3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3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3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3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3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3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3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36" t="str">
        <f>IF(SUM(Table5[[#This Row],[A1]:[C6]])&lt;&gt;0,SUM(Table5[[#This Row],[A1]:[C6]]),"")</f>
        <v/>
      </c>
      <c r="AW236" t="str">
        <f>IF(SUM(Table5[[#This Row],[D7]:[F9]])=0,"",SUM(Table5[[#This Row],[D7]:[F9]]))</f>
        <v/>
      </c>
      <c r="AX23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3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3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3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3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3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36" t="str">
        <f>IF(COUNTIF(Table5[[#This Row],[English Language]:[Electrical/ Electronics]],"WITHHELD")=0,"",COUNTIF(Table5[[#This Row],[English Language]:[Electrical/ Electronics]],"WITHHELD"))</f>
        <v/>
      </c>
      <c r="BE236" t="str">
        <f>IF(SUM(Table5[[#This Row],[NO OF CREDITS]:[BELOW CREDITS]])=0,"",SUM(Table5[[#This Row],[NO OF CREDITS]:[BELOW CREDITS]]))</f>
        <v/>
      </c>
    </row>
    <row r="237" spans="1:57" x14ac:dyDescent="0.3">
      <c r="A237" t="str">
        <f>IF(B237&lt;&gt;"",COUNTA($B$6:B237),"")</f>
        <v/>
      </c>
      <c r="B237" t="str">
        <f>IF(Result_Database!A233="","",Result_Database!A233)</f>
        <v/>
      </c>
      <c r="C237" t="str">
        <f>_xlfn.LET(
_xlpm.result,_xlfn.XLOOKUP($B237,Result_Database!$A$2:$A$500,Result_Database!$B$2:$B$500),
_xlfn.IFNA(_xlpm.result,"")
)</f>
        <v/>
      </c>
      <c r="D237" t="str">
        <f>_xlfn.LET(
  _xlpm.result, _xlfn.XLOOKUP($B237, Result_Database!$A$2:$A$500, Result_Database!C$2:C$500),
  _xlfn.IFNA(_xlpm.result, "")
)</f>
        <v/>
      </c>
      <c r="E237" t="str">
        <f>_xlfn.LET(
  _xlpm.result, _xlfn.XLOOKUP($B237, Result_Database!$A$2:$A$500, Result_Database!D$2:D$500),
  _xlfn.IFNA(_xlpm.result, "")
)</f>
        <v/>
      </c>
      <c r="F237" t="str">
        <f>_xlfn.LET(
  _xlpm.result, _xlfn.XLOOKUP($B237, Result_Database!$A$2:$A$500, Result_Database!E$2:E$500),
  _xlfn.IFNA(_xlpm.result, "")
)</f>
        <v/>
      </c>
      <c r="G237" t="str">
        <f>_xlfn.LET(
  _xlpm.result, _xlfn.XLOOKUP($B237, Result_Database!$A$2:$A$500, Result_Database!F$2:F$500),
  _xlfn.IFNA(_xlpm.result, "")
)</f>
        <v/>
      </c>
      <c r="H237" t="str">
        <f>_xlfn.LET(
  _xlpm.result, _xlfn.XLOOKUP($B237, Result_Database!$A$2:$A$500, Result_Database!G$2:G$500),
  _xlfn.IFNA(_xlpm.result, "")
)</f>
        <v/>
      </c>
      <c r="I237" t="str">
        <f>_xlfn.LET(
  _xlpm.result, _xlfn.XLOOKUP($B237, Result_Database!$A$2:$A$500, Result_Database!H$2:H$500),
  _xlfn.IFNA(_xlpm.result, "")
)</f>
        <v/>
      </c>
      <c r="J237" t="str">
        <f>_xlfn.LET(
  _xlpm.result, _xlfn.XLOOKUP($B237, Result_Database!$A$2:$A$500, Result_Database!I$2:I$500),
  _xlfn.IFNA(_xlpm.result, "")
)</f>
        <v/>
      </c>
      <c r="K237" t="str">
        <f>_xlfn.LET(
  _xlpm.result, _xlfn.XLOOKUP($B237, Result_Database!$A$2:$A$500, Result_Database!J$2:J$500),
  _xlfn.IFNA(_xlpm.result, "")
)</f>
        <v/>
      </c>
      <c r="L237" t="str">
        <f>_xlfn.LET(
  _xlpm.result, _xlfn.XLOOKUP($B237, Result_Database!$A$2:$A$500, Result_Database!K$2:K$500),
  _xlfn.IFNA(_xlpm.result, "")
)</f>
        <v/>
      </c>
      <c r="M237" t="str">
        <f>_xlfn.LET(
  _xlpm.result, _xlfn.XLOOKUP($B237, Result_Database!$A$2:$A$500, Result_Database!L$2:L$500),
  _xlfn.IFNA(_xlpm.result, "")
)</f>
        <v/>
      </c>
      <c r="N237" t="str">
        <f>_xlfn.LET(
  _xlpm.result, _xlfn.XLOOKUP($B237, Result_Database!$A$2:$A$500, Result_Database!M$2:M$500),
  _xlfn.IFNA(_xlpm.result, "")
)</f>
        <v/>
      </c>
      <c r="O237" t="str">
        <f>_xlfn.LET(
  _xlpm.result, _xlfn.XLOOKUP($B237, Result_Database!$A$2:$A$500, Result_Database!N$2:N$500),
  _xlfn.IFNA(_xlpm.result, "")
)</f>
        <v/>
      </c>
      <c r="P237" t="str">
        <f>_xlfn.LET(
  _xlpm.result, _xlfn.XLOOKUP($B237, Result_Database!$A$2:$A$500, Result_Database!O$2:O$500),
  _xlfn.IFNA(_xlpm.result, "")
)</f>
        <v/>
      </c>
      <c r="Q237" t="str">
        <f>_xlfn.LET(
  _xlpm.result, _xlfn.XLOOKUP($B237, Result_Database!$A$2:$A$500, Result_Database!P$2:P$500),
  _xlfn.IFNA(_xlpm.result, "")
)</f>
        <v/>
      </c>
      <c r="R237" t="str">
        <f>_xlfn.LET(
  _xlpm.result, _xlfn.XLOOKUP($B237, Result_Database!$A$2:$A$500, Result_Database!Q$2:Q$500),
  _xlfn.IFNA(_xlpm.result, "")
)</f>
        <v/>
      </c>
      <c r="S237" t="str">
        <f>_xlfn.LET(
  _xlpm.result, _xlfn.XLOOKUP($B237, Result_Database!$A$2:$A$500, Result_Database!R$2:R$500),
  _xlfn.IFNA(_xlpm.result, "")
)</f>
        <v/>
      </c>
      <c r="T237" t="str">
        <f>_xlfn.LET(
  _xlpm.result, _xlfn.XLOOKUP($B237, Result_Database!$A$2:$A$500, Result_Database!S$2:S$500),
  _xlfn.IFNA(_xlpm.result, "")
)</f>
        <v/>
      </c>
      <c r="U237" t="str">
        <f>_xlfn.LET(
  _xlpm.result, _xlfn.XLOOKUP($B237, Result_Database!$A$2:$A$500, Result_Database!T$2:T$500),
  _xlfn.IFNA(_xlpm.result, "")
)</f>
        <v/>
      </c>
      <c r="V237" t="str">
        <f>_xlfn.LET(
  _xlpm.result, _xlfn.XLOOKUP($B237, Result_Database!$A$2:$A$500, Result_Database!U$2:U$500),
  _xlfn.IFNA(_xlpm.result, "")
)</f>
        <v/>
      </c>
      <c r="W237" t="str">
        <f>_xlfn.LET(
  _xlpm.result, _xlfn.XLOOKUP($B237, Result_Database!$A$2:$A$500, Result_Database!V$2:V$500),
  _xlfn.IFNA(_xlpm.result, "")
)</f>
        <v/>
      </c>
      <c r="X237" t="str">
        <f>_xlfn.LET(
  _xlpm.result, _xlfn.XLOOKUP($B237, Result_Database!$A$2:$A$500, Result_Database!W$2:W$500),
  _xlfn.IFNA(_xlpm.result, "")
)</f>
        <v/>
      </c>
      <c r="Y237" t="str">
        <f>_xlfn.LET(
  _xlpm.result, _xlfn.XLOOKUP($B237, Result_Database!$A$2:$A$500, Result_Database!X$2:X$500),
  _xlfn.IFNA(_xlpm.result, "")
)</f>
        <v/>
      </c>
      <c r="Z237" t="str">
        <f>_xlfn.LET(
  _xlpm.result, _xlfn.XLOOKUP($B237, Result_Database!$A$2:$A$500, Result_Database!Y$2:Y$500),
  _xlfn.IFNA(_xlpm.result, "")
)</f>
        <v/>
      </c>
      <c r="AA237" t="str">
        <f>_xlfn.LET(
  _xlpm.result, _xlfn.XLOOKUP($B237, Result_Database!$A$2:$A$500, Result_Database!Z$2:Z$500),
  _xlfn.IFNA(_xlpm.result, "")
)</f>
        <v/>
      </c>
      <c r="AB237" t="str">
        <f>_xlfn.LET(
  _xlpm.result, _xlfn.XLOOKUP($B237, Result_Database!$A$2:$A$500, Result_Database!AA$2:AA$500),
  _xlfn.IFNA(_xlpm.result, "")
)</f>
        <v/>
      </c>
      <c r="AC237" t="str">
        <f>_xlfn.LET(
  _xlpm.result, _xlfn.XLOOKUP($B237, Result_Database!$A$2:$A$500, Result_Database!AB$2:AB$500),
  _xlfn.IFNA(_xlpm.result, "")
)</f>
        <v/>
      </c>
      <c r="AD237" t="str">
        <f>_xlfn.LET(
  _xlpm.result, _xlfn.XLOOKUP($B237, Result_Database!$A$2:$A$500, Result_Database!AC$2:AC$500),
  _xlfn.IFNA(_xlpm.result, "")
)</f>
        <v/>
      </c>
      <c r="AE237" t="str">
        <f>_xlfn.LET(
  _xlpm.result, _xlfn.XLOOKUP($B237, Result_Database!$A$2:$A$500, Result_Database!AD$2:AD$500),
  _xlfn.IFNA(_xlpm.result, "")
)</f>
        <v/>
      </c>
      <c r="AF237" t="str">
        <f>_xlfn.LET(
  _xlpm.result, _xlfn.XLOOKUP($B237, Result_Database!$A$2:$A$500, Result_Database!AE$2:AE$500),
  _xlfn.IFNA(_xlpm.result, "")
)</f>
        <v/>
      </c>
      <c r="AG237" t="str">
        <f>_xlfn.LET(
  _xlpm.result, _xlfn.XLOOKUP($B237, Result_Database!$A$2:$A$500, Result_Database!AF$2:AF$500),
  _xlfn.IFNA(_xlpm.result, "")
)</f>
        <v/>
      </c>
      <c r="AH237" t="str">
        <f>_xlfn.LET(
  _xlpm.result, _xlfn.XLOOKUP($B237, Result_Database!$A$2:$A$500, Result_Database!AG$2:AG$500),
  _xlfn.IFNA(_xlpm.result, "")
)</f>
        <v/>
      </c>
      <c r="AI237" t="str">
        <f>_xlfn.LET(
  _xlpm.result, _xlfn.XLOOKUP($B237, Result_Database!$A$2:$A$500, Result_Database!AH$2:AH$500),
  _xlfn.IFNA(_xlpm.result, "")
)</f>
        <v/>
      </c>
      <c r="AJ237" t="str">
        <f>_xlfn.LET(
  _xlpm.result, _xlfn.XLOOKUP($B237, Result_Database!$A$2:$A$500, Result_Database!AI$2:AI$500),
  _xlfn.IFNA(_xlpm.result, "")
)</f>
        <v/>
      </c>
      <c r="AK237" t="str">
        <f>_xlfn.LET(
  _xlpm.result, _xlfn.XLOOKUP($B237, Result_Database!$A$2:$A$500, Result_Database!AJ$2:AJ$500),
  _xlfn.IFNA(_xlpm.result, "")
)</f>
        <v/>
      </c>
      <c r="AL237" t="str">
        <f>_xlfn.LET(
  _xlpm.result, _xlfn.XLOOKUP($B237, Result_Database!$A$2:$A$500, Result_Database!AK$2:AK$500),
  _xlfn.IFNA(_xlpm.result, "")
)</f>
        <v/>
      </c>
      <c r="AM23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3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3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3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3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3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3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3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3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37" t="str">
        <f>IF(SUM(Table5[[#This Row],[A1]:[C6]])&lt;&gt;0,SUM(Table5[[#This Row],[A1]:[C6]]),"")</f>
        <v/>
      </c>
      <c r="AW237" t="str">
        <f>IF(SUM(Table5[[#This Row],[D7]:[F9]])=0,"",SUM(Table5[[#This Row],[D7]:[F9]]))</f>
        <v/>
      </c>
      <c r="AX23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3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3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3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3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3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37" t="str">
        <f>IF(COUNTIF(Table5[[#This Row],[English Language]:[Electrical/ Electronics]],"WITHHELD")=0,"",COUNTIF(Table5[[#This Row],[English Language]:[Electrical/ Electronics]],"WITHHELD"))</f>
        <v/>
      </c>
      <c r="BE237" t="str">
        <f>IF(SUM(Table5[[#This Row],[NO OF CREDITS]:[BELOW CREDITS]])=0,"",SUM(Table5[[#This Row],[NO OF CREDITS]:[BELOW CREDITS]]))</f>
        <v/>
      </c>
    </row>
    <row r="238" spans="1:57" x14ac:dyDescent="0.3">
      <c r="A238" t="str">
        <f>IF(B238&lt;&gt;"",COUNTA($B$6:B238),"")</f>
        <v/>
      </c>
      <c r="B238" t="str">
        <f>IF(Result_Database!A234="","",Result_Database!A234)</f>
        <v/>
      </c>
      <c r="C238" t="str">
        <f>_xlfn.LET(
_xlpm.result,_xlfn.XLOOKUP($B238,Result_Database!$A$2:$A$500,Result_Database!$B$2:$B$500),
_xlfn.IFNA(_xlpm.result,"")
)</f>
        <v/>
      </c>
      <c r="D238" t="str">
        <f>_xlfn.LET(
  _xlpm.result, _xlfn.XLOOKUP($B238, Result_Database!$A$2:$A$500, Result_Database!C$2:C$500),
  _xlfn.IFNA(_xlpm.result, "")
)</f>
        <v/>
      </c>
      <c r="E238" t="str">
        <f>_xlfn.LET(
  _xlpm.result, _xlfn.XLOOKUP($B238, Result_Database!$A$2:$A$500, Result_Database!D$2:D$500),
  _xlfn.IFNA(_xlpm.result, "")
)</f>
        <v/>
      </c>
      <c r="F238" t="str">
        <f>_xlfn.LET(
  _xlpm.result, _xlfn.XLOOKUP($B238, Result_Database!$A$2:$A$500, Result_Database!E$2:E$500),
  _xlfn.IFNA(_xlpm.result, "")
)</f>
        <v/>
      </c>
      <c r="G238" t="str">
        <f>_xlfn.LET(
  _xlpm.result, _xlfn.XLOOKUP($B238, Result_Database!$A$2:$A$500, Result_Database!F$2:F$500),
  _xlfn.IFNA(_xlpm.result, "")
)</f>
        <v/>
      </c>
      <c r="H238" t="str">
        <f>_xlfn.LET(
  _xlpm.result, _xlfn.XLOOKUP($B238, Result_Database!$A$2:$A$500, Result_Database!G$2:G$500),
  _xlfn.IFNA(_xlpm.result, "")
)</f>
        <v/>
      </c>
      <c r="I238" t="str">
        <f>_xlfn.LET(
  _xlpm.result, _xlfn.XLOOKUP($B238, Result_Database!$A$2:$A$500, Result_Database!H$2:H$500),
  _xlfn.IFNA(_xlpm.result, "")
)</f>
        <v/>
      </c>
      <c r="J238" t="str">
        <f>_xlfn.LET(
  _xlpm.result, _xlfn.XLOOKUP($B238, Result_Database!$A$2:$A$500, Result_Database!I$2:I$500),
  _xlfn.IFNA(_xlpm.result, "")
)</f>
        <v/>
      </c>
      <c r="K238" t="str">
        <f>_xlfn.LET(
  _xlpm.result, _xlfn.XLOOKUP($B238, Result_Database!$A$2:$A$500, Result_Database!J$2:J$500),
  _xlfn.IFNA(_xlpm.result, "")
)</f>
        <v/>
      </c>
      <c r="L238" t="str">
        <f>_xlfn.LET(
  _xlpm.result, _xlfn.XLOOKUP($B238, Result_Database!$A$2:$A$500, Result_Database!K$2:K$500),
  _xlfn.IFNA(_xlpm.result, "")
)</f>
        <v/>
      </c>
      <c r="M238" t="str">
        <f>_xlfn.LET(
  _xlpm.result, _xlfn.XLOOKUP($B238, Result_Database!$A$2:$A$500, Result_Database!L$2:L$500),
  _xlfn.IFNA(_xlpm.result, "")
)</f>
        <v/>
      </c>
      <c r="N238" t="str">
        <f>_xlfn.LET(
  _xlpm.result, _xlfn.XLOOKUP($B238, Result_Database!$A$2:$A$500, Result_Database!M$2:M$500),
  _xlfn.IFNA(_xlpm.result, "")
)</f>
        <v/>
      </c>
      <c r="O238" t="str">
        <f>_xlfn.LET(
  _xlpm.result, _xlfn.XLOOKUP($B238, Result_Database!$A$2:$A$500, Result_Database!N$2:N$500),
  _xlfn.IFNA(_xlpm.result, "")
)</f>
        <v/>
      </c>
      <c r="P238" t="str">
        <f>_xlfn.LET(
  _xlpm.result, _xlfn.XLOOKUP($B238, Result_Database!$A$2:$A$500, Result_Database!O$2:O$500),
  _xlfn.IFNA(_xlpm.result, "")
)</f>
        <v/>
      </c>
      <c r="Q238" t="str">
        <f>_xlfn.LET(
  _xlpm.result, _xlfn.XLOOKUP($B238, Result_Database!$A$2:$A$500, Result_Database!P$2:P$500),
  _xlfn.IFNA(_xlpm.result, "")
)</f>
        <v/>
      </c>
      <c r="R238" t="str">
        <f>_xlfn.LET(
  _xlpm.result, _xlfn.XLOOKUP($B238, Result_Database!$A$2:$A$500, Result_Database!Q$2:Q$500),
  _xlfn.IFNA(_xlpm.result, "")
)</f>
        <v/>
      </c>
      <c r="S238" t="str">
        <f>_xlfn.LET(
  _xlpm.result, _xlfn.XLOOKUP($B238, Result_Database!$A$2:$A$500, Result_Database!R$2:R$500),
  _xlfn.IFNA(_xlpm.result, "")
)</f>
        <v/>
      </c>
      <c r="T238" t="str">
        <f>_xlfn.LET(
  _xlpm.result, _xlfn.XLOOKUP($B238, Result_Database!$A$2:$A$500, Result_Database!S$2:S$500),
  _xlfn.IFNA(_xlpm.result, "")
)</f>
        <v/>
      </c>
      <c r="U238" t="str">
        <f>_xlfn.LET(
  _xlpm.result, _xlfn.XLOOKUP($B238, Result_Database!$A$2:$A$500, Result_Database!T$2:T$500),
  _xlfn.IFNA(_xlpm.result, "")
)</f>
        <v/>
      </c>
      <c r="V238" t="str">
        <f>_xlfn.LET(
  _xlpm.result, _xlfn.XLOOKUP($B238, Result_Database!$A$2:$A$500, Result_Database!U$2:U$500),
  _xlfn.IFNA(_xlpm.result, "")
)</f>
        <v/>
      </c>
      <c r="W238" t="str">
        <f>_xlfn.LET(
  _xlpm.result, _xlfn.XLOOKUP($B238, Result_Database!$A$2:$A$500, Result_Database!V$2:V$500),
  _xlfn.IFNA(_xlpm.result, "")
)</f>
        <v/>
      </c>
      <c r="X238" t="str">
        <f>_xlfn.LET(
  _xlpm.result, _xlfn.XLOOKUP($B238, Result_Database!$A$2:$A$500, Result_Database!W$2:W$500),
  _xlfn.IFNA(_xlpm.result, "")
)</f>
        <v/>
      </c>
      <c r="Y238" t="str">
        <f>_xlfn.LET(
  _xlpm.result, _xlfn.XLOOKUP($B238, Result_Database!$A$2:$A$500, Result_Database!X$2:X$500),
  _xlfn.IFNA(_xlpm.result, "")
)</f>
        <v/>
      </c>
      <c r="Z238" t="str">
        <f>_xlfn.LET(
  _xlpm.result, _xlfn.XLOOKUP($B238, Result_Database!$A$2:$A$500, Result_Database!Y$2:Y$500),
  _xlfn.IFNA(_xlpm.result, "")
)</f>
        <v/>
      </c>
      <c r="AA238" t="str">
        <f>_xlfn.LET(
  _xlpm.result, _xlfn.XLOOKUP($B238, Result_Database!$A$2:$A$500, Result_Database!Z$2:Z$500),
  _xlfn.IFNA(_xlpm.result, "")
)</f>
        <v/>
      </c>
      <c r="AB238" t="str">
        <f>_xlfn.LET(
  _xlpm.result, _xlfn.XLOOKUP($B238, Result_Database!$A$2:$A$500, Result_Database!AA$2:AA$500),
  _xlfn.IFNA(_xlpm.result, "")
)</f>
        <v/>
      </c>
      <c r="AC238" t="str">
        <f>_xlfn.LET(
  _xlpm.result, _xlfn.XLOOKUP($B238, Result_Database!$A$2:$A$500, Result_Database!AB$2:AB$500),
  _xlfn.IFNA(_xlpm.result, "")
)</f>
        <v/>
      </c>
      <c r="AD238" t="str">
        <f>_xlfn.LET(
  _xlpm.result, _xlfn.XLOOKUP($B238, Result_Database!$A$2:$A$500, Result_Database!AC$2:AC$500),
  _xlfn.IFNA(_xlpm.result, "")
)</f>
        <v/>
      </c>
      <c r="AE238" t="str">
        <f>_xlfn.LET(
  _xlpm.result, _xlfn.XLOOKUP($B238, Result_Database!$A$2:$A$500, Result_Database!AD$2:AD$500),
  _xlfn.IFNA(_xlpm.result, "")
)</f>
        <v/>
      </c>
      <c r="AF238" t="str">
        <f>_xlfn.LET(
  _xlpm.result, _xlfn.XLOOKUP($B238, Result_Database!$A$2:$A$500, Result_Database!AE$2:AE$500),
  _xlfn.IFNA(_xlpm.result, "")
)</f>
        <v/>
      </c>
      <c r="AG238" t="str">
        <f>_xlfn.LET(
  _xlpm.result, _xlfn.XLOOKUP($B238, Result_Database!$A$2:$A$500, Result_Database!AF$2:AF$500),
  _xlfn.IFNA(_xlpm.result, "")
)</f>
        <v/>
      </c>
      <c r="AH238" t="str">
        <f>_xlfn.LET(
  _xlpm.result, _xlfn.XLOOKUP($B238, Result_Database!$A$2:$A$500, Result_Database!AG$2:AG$500),
  _xlfn.IFNA(_xlpm.result, "")
)</f>
        <v/>
      </c>
      <c r="AI238" t="str">
        <f>_xlfn.LET(
  _xlpm.result, _xlfn.XLOOKUP($B238, Result_Database!$A$2:$A$500, Result_Database!AH$2:AH$500),
  _xlfn.IFNA(_xlpm.result, "")
)</f>
        <v/>
      </c>
      <c r="AJ238" t="str">
        <f>_xlfn.LET(
  _xlpm.result, _xlfn.XLOOKUP($B238, Result_Database!$A$2:$A$500, Result_Database!AI$2:AI$500),
  _xlfn.IFNA(_xlpm.result, "")
)</f>
        <v/>
      </c>
      <c r="AK238" t="str">
        <f>_xlfn.LET(
  _xlpm.result, _xlfn.XLOOKUP($B238, Result_Database!$A$2:$A$500, Result_Database!AJ$2:AJ$500),
  _xlfn.IFNA(_xlpm.result, "")
)</f>
        <v/>
      </c>
      <c r="AL238" t="str">
        <f>_xlfn.LET(
  _xlpm.result, _xlfn.XLOOKUP($B238, Result_Database!$A$2:$A$500, Result_Database!AK$2:AK$500),
  _xlfn.IFNA(_xlpm.result, "")
)</f>
        <v/>
      </c>
      <c r="AM23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3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3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3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3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3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3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3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3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38" t="str">
        <f>IF(SUM(Table5[[#This Row],[A1]:[C6]])&lt;&gt;0,SUM(Table5[[#This Row],[A1]:[C6]]),"")</f>
        <v/>
      </c>
      <c r="AW238" t="str">
        <f>IF(SUM(Table5[[#This Row],[D7]:[F9]])=0,"",SUM(Table5[[#This Row],[D7]:[F9]]))</f>
        <v/>
      </c>
      <c r="AX23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3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3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3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3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3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38" t="str">
        <f>IF(COUNTIF(Table5[[#This Row],[English Language]:[Electrical/ Electronics]],"WITHHELD")=0,"",COUNTIF(Table5[[#This Row],[English Language]:[Electrical/ Electronics]],"WITHHELD"))</f>
        <v/>
      </c>
      <c r="BE238" t="str">
        <f>IF(SUM(Table5[[#This Row],[NO OF CREDITS]:[BELOW CREDITS]])=0,"",SUM(Table5[[#This Row],[NO OF CREDITS]:[BELOW CREDITS]]))</f>
        <v/>
      </c>
    </row>
    <row r="239" spans="1:57" x14ac:dyDescent="0.3">
      <c r="A239" t="str">
        <f>IF(B239&lt;&gt;"",COUNTA($B$6:B239),"")</f>
        <v/>
      </c>
      <c r="B239" t="str">
        <f>IF(Result_Database!A235="","",Result_Database!A235)</f>
        <v/>
      </c>
      <c r="C239" t="str">
        <f>_xlfn.LET(
_xlpm.result,_xlfn.XLOOKUP($B239,Result_Database!$A$2:$A$500,Result_Database!$B$2:$B$500),
_xlfn.IFNA(_xlpm.result,"")
)</f>
        <v/>
      </c>
      <c r="D239" t="str">
        <f>_xlfn.LET(
  _xlpm.result, _xlfn.XLOOKUP($B239, Result_Database!$A$2:$A$500, Result_Database!C$2:C$500),
  _xlfn.IFNA(_xlpm.result, "")
)</f>
        <v/>
      </c>
      <c r="E239" t="str">
        <f>_xlfn.LET(
  _xlpm.result, _xlfn.XLOOKUP($B239, Result_Database!$A$2:$A$500, Result_Database!D$2:D$500),
  _xlfn.IFNA(_xlpm.result, "")
)</f>
        <v/>
      </c>
      <c r="F239" t="str">
        <f>_xlfn.LET(
  _xlpm.result, _xlfn.XLOOKUP($B239, Result_Database!$A$2:$A$500, Result_Database!E$2:E$500),
  _xlfn.IFNA(_xlpm.result, "")
)</f>
        <v/>
      </c>
      <c r="G239" t="str">
        <f>_xlfn.LET(
  _xlpm.result, _xlfn.XLOOKUP($B239, Result_Database!$A$2:$A$500, Result_Database!F$2:F$500),
  _xlfn.IFNA(_xlpm.result, "")
)</f>
        <v/>
      </c>
      <c r="H239" t="str">
        <f>_xlfn.LET(
  _xlpm.result, _xlfn.XLOOKUP($B239, Result_Database!$A$2:$A$500, Result_Database!G$2:G$500),
  _xlfn.IFNA(_xlpm.result, "")
)</f>
        <v/>
      </c>
      <c r="I239" t="str">
        <f>_xlfn.LET(
  _xlpm.result, _xlfn.XLOOKUP($B239, Result_Database!$A$2:$A$500, Result_Database!H$2:H$500),
  _xlfn.IFNA(_xlpm.result, "")
)</f>
        <v/>
      </c>
      <c r="J239" t="str">
        <f>_xlfn.LET(
  _xlpm.result, _xlfn.XLOOKUP($B239, Result_Database!$A$2:$A$500, Result_Database!I$2:I$500),
  _xlfn.IFNA(_xlpm.result, "")
)</f>
        <v/>
      </c>
      <c r="K239" t="str">
        <f>_xlfn.LET(
  _xlpm.result, _xlfn.XLOOKUP($B239, Result_Database!$A$2:$A$500, Result_Database!J$2:J$500),
  _xlfn.IFNA(_xlpm.result, "")
)</f>
        <v/>
      </c>
      <c r="L239" t="str">
        <f>_xlfn.LET(
  _xlpm.result, _xlfn.XLOOKUP($B239, Result_Database!$A$2:$A$500, Result_Database!K$2:K$500),
  _xlfn.IFNA(_xlpm.result, "")
)</f>
        <v/>
      </c>
      <c r="M239" t="str">
        <f>_xlfn.LET(
  _xlpm.result, _xlfn.XLOOKUP($B239, Result_Database!$A$2:$A$500, Result_Database!L$2:L$500),
  _xlfn.IFNA(_xlpm.result, "")
)</f>
        <v/>
      </c>
      <c r="N239" t="str">
        <f>_xlfn.LET(
  _xlpm.result, _xlfn.XLOOKUP($B239, Result_Database!$A$2:$A$500, Result_Database!M$2:M$500),
  _xlfn.IFNA(_xlpm.result, "")
)</f>
        <v/>
      </c>
      <c r="O239" t="str">
        <f>_xlfn.LET(
  _xlpm.result, _xlfn.XLOOKUP($B239, Result_Database!$A$2:$A$500, Result_Database!N$2:N$500),
  _xlfn.IFNA(_xlpm.result, "")
)</f>
        <v/>
      </c>
      <c r="P239" t="str">
        <f>_xlfn.LET(
  _xlpm.result, _xlfn.XLOOKUP($B239, Result_Database!$A$2:$A$500, Result_Database!O$2:O$500),
  _xlfn.IFNA(_xlpm.result, "")
)</f>
        <v/>
      </c>
      <c r="Q239" t="str">
        <f>_xlfn.LET(
  _xlpm.result, _xlfn.XLOOKUP($B239, Result_Database!$A$2:$A$500, Result_Database!P$2:P$500),
  _xlfn.IFNA(_xlpm.result, "")
)</f>
        <v/>
      </c>
      <c r="R239" t="str">
        <f>_xlfn.LET(
  _xlpm.result, _xlfn.XLOOKUP($B239, Result_Database!$A$2:$A$500, Result_Database!Q$2:Q$500),
  _xlfn.IFNA(_xlpm.result, "")
)</f>
        <v/>
      </c>
      <c r="S239" t="str">
        <f>_xlfn.LET(
  _xlpm.result, _xlfn.XLOOKUP($B239, Result_Database!$A$2:$A$500, Result_Database!R$2:R$500),
  _xlfn.IFNA(_xlpm.result, "")
)</f>
        <v/>
      </c>
      <c r="T239" t="str">
        <f>_xlfn.LET(
  _xlpm.result, _xlfn.XLOOKUP($B239, Result_Database!$A$2:$A$500, Result_Database!S$2:S$500),
  _xlfn.IFNA(_xlpm.result, "")
)</f>
        <v/>
      </c>
      <c r="U239" t="str">
        <f>_xlfn.LET(
  _xlpm.result, _xlfn.XLOOKUP($B239, Result_Database!$A$2:$A$500, Result_Database!T$2:T$500),
  _xlfn.IFNA(_xlpm.result, "")
)</f>
        <v/>
      </c>
      <c r="V239" t="str">
        <f>_xlfn.LET(
  _xlpm.result, _xlfn.XLOOKUP($B239, Result_Database!$A$2:$A$500, Result_Database!U$2:U$500),
  _xlfn.IFNA(_xlpm.result, "")
)</f>
        <v/>
      </c>
      <c r="W239" t="str">
        <f>_xlfn.LET(
  _xlpm.result, _xlfn.XLOOKUP($B239, Result_Database!$A$2:$A$500, Result_Database!V$2:V$500),
  _xlfn.IFNA(_xlpm.result, "")
)</f>
        <v/>
      </c>
      <c r="X239" t="str">
        <f>_xlfn.LET(
  _xlpm.result, _xlfn.XLOOKUP($B239, Result_Database!$A$2:$A$500, Result_Database!W$2:W$500),
  _xlfn.IFNA(_xlpm.result, "")
)</f>
        <v/>
      </c>
      <c r="Y239" t="str">
        <f>_xlfn.LET(
  _xlpm.result, _xlfn.XLOOKUP($B239, Result_Database!$A$2:$A$500, Result_Database!X$2:X$500),
  _xlfn.IFNA(_xlpm.result, "")
)</f>
        <v/>
      </c>
      <c r="Z239" t="str">
        <f>_xlfn.LET(
  _xlpm.result, _xlfn.XLOOKUP($B239, Result_Database!$A$2:$A$500, Result_Database!Y$2:Y$500),
  _xlfn.IFNA(_xlpm.result, "")
)</f>
        <v/>
      </c>
      <c r="AA239" t="str">
        <f>_xlfn.LET(
  _xlpm.result, _xlfn.XLOOKUP($B239, Result_Database!$A$2:$A$500, Result_Database!Z$2:Z$500),
  _xlfn.IFNA(_xlpm.result, "")
)</f>
        <v/>
      </c>
      <c r="AB239" t="str">
        <f>_xlfn.LET(
  _xlpm.result, _xlfn.XLOOKUP($B239, Result_Database!$A$2:$A$500, Result_Database!AA$2:AA$500),
  _xlfn.IFNA(_xlpm.result, "")
)</f>
        <v/>
      </c>
      <c r="AC239" t="str">
        <f>_xlfn.LET(
  _xlpm.result, _xlfn.XLOOKUP($B239, Result_Database!$A$2:$A$500, Result_Database!AB$2:AB$500),
  _xlfn.IFNA(_xlpm.result, "")
)</f>
        <v/>
      </c>
      <c r="AD239" t="str">
        <f>_xlfn.LET(
  _xlpm.result, _xlfn.XLOOKUP($B239, Result_Database!$A$2:$A$500, Result_Database!AC$2:AC$500),
  _xlfn.IFNA(_xlpm.result, "")
)</f>
        <v/>
      </c>
      <c r="AE239" t="str">
        <f>_xlfn.LET(
  _xlpm.result, _xlfn.XLOOKUP($B239, Result_Database!$A$2:$A$500, Result_Database!AD$2:AD$500),
  _xlfn.IFNA(_xlpm.result, "")
)</f>
        <v/>
      </c>
      <c r="AF239" t="str">
        <f>_xlfn.LET(
  _xlpm.result, _xlfn.XLOOKUP($B239, Result_Database!$A$2:$A$500, Result_Database!AE$2:AE$500),
  _xlfn.IFNA(_xlpm.result, "")
)</f>
        <v/>
      </c>
      <c r="AG239" t="str">
        <f>_xlfn.LET(
  _xlpm.result, _xlfn.XLOOKUP($B239, Result_Database!$A$2:$A$500, Result_Database!AF$2:AF$500),
  _xlfn.IFNA(_xlpm.result, "")
)</f>
        <v/>
      </c>
      <c r="AH239" t="str">
        <f>_xlfn.LET(
  _xlpm.result, _xlfn.XLOOKUP($B239, Result_Database!$A$2:$A$500, Result_Database!AG$2:AG$500),
  _xlfn.IFNA(_xlpm.result, "")
)</f>
        <v/>
      </c>
      <c r="AI239" t="str">
        <f>_xlfn.LET(
  _xlpm.result, _xlfn.XLOOKUP($B239, Result_Database!$A$2:$A$500, Result_Database!AH$2:AH$500),
  _xlfn.IFNA(_xlpm.result, "")
)</f>
        <v/>
      </c>
      <c r="AJ239" t="str">
        <f>_xlfn.LET(
  _xlpm.result, _xlfn.XLOOKUP($B239, Result_Database!$A$2:$A$500, Result_Database!AI$2:AI$500),
  _xlfn.IFNA(_xlpm.result, "")
)</f>
        <v/>
      </c>
      <c r="AK239" t="str">
        <f>_xlfn.LET(
  _xlpm.result, _xlfn.XLOOKUP($B239, Result_Database!$A$2:$A$500, Result_Database!AJ$2:AJ$500),
  _xlfn.IFNA(_xlpm.result, "")
)</f>
        <v/>
      </c>
      <c r="AL239" t="str">
        <f>_xlfn.LET(
  _xlpm.result, _xlfn.XLOOKUP($B239, Result_Database!$A$2:$A$500, Result_Database!AK$2:AK$500),
  _xlfn.IFNA(_xlpm.result, "")
)</f>
        <v/>
      </c>
      <c r="AM23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3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3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3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3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3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3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3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3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39" t="str">
        <f>IF(SUM(Table5[[#This Row],[A1]:[C6]])&lt;&gt;0,SUM(Table5[[#This Row],[A1]:[C6]]),"")</f>
        <v/>
      </c>
      <c r="AW239" t="str">
        <f>IF(SUM(Table5[[#This Row],[D7]:[F9]])=0,"",SUM(Table5[[#This Row],[D7]:[F9]]))</f>
        <v/>
      </c>
      <c r="AX23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3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3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3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3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3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39" t="str">
        <f>IF(COUNTIF(Table5[[#This Row],[English Language]:[Electrical/ Electronics]],"WITHHELD")=0,"",COUNTIF(Table5[[#This Row],[English Language]:[Electrical/ Electronics]],"WITHHELD"))</f>
        <v/>
      </c>
      <c r="BE239" t="str">
        <f>IF(SUM(Table5[[#This Row],[NO OF CREDITS]:[BELOW CREDITS]])=0,"",SUM(Table5[[#This Row],[NO OF CREDITS]:[BELOW CREDITS]]))</f>
        <v/>
      </c>
    </row>
    <row r="240" spans="1:57" x14ac:dyDescent="0.3">
      <c r="A240" t="str">
        <f>IF(B240&lt;&gt;"",COUNTA($B$6:B240),"")</f>
        <v/>
      </c>
      <c r="B240" t="str">
        <f>IF(Result_Database!A236="","",Result_Database!A236)</f>
        <v/>
      </c>
      <c r="C240" t="str">
        <f>_xlfn.LET(
_xlpm.result,_xlfn.XLOOKUP($B240,Result_Database!$A$2:$A$500,Result_Database!$B$2:$B$500),
_xlfn.IFNA(_xlpm.result,"")
)</f>
        <v/>
      </c>
      <c r="D240" t="str">
        <f>_xlfn.LET(
  _xlpm.result, _xlfn.XLOOKUP($B240, Result_Database!$A$2:$A$500, Result_Database!C$2:C$500),
  _xlfn.IFNA(_xlpm.result, "")
)</f>
        <v/>
      </c>
      <c r="E240" t="str">
        <f>_xlfn.LET(
  _xlpm.result, _xlfn.XLOOKUP($B240, Result_Database!$A$2:$A$500, Result_Database!D$2:D$500),
  _xlfn.IFNA(_xlpm.result, "")
)</f>
        <v/>
      </c>
      <c r="F240" t="str">
        <f>_xlfn.LET(
  _xlpm.result, _xlfn.XLOOKUP($B240, Result_Database!$A$2:$A$500, Result_Database!E$2:E$500),
  _xlfn.IFNA(_xlpm.result, "")
)</f>
        <v/>
      </c>
      <c r="G240" t="str">
        <f>_xlfn.LET(
  _xlpm.result, _xlfn.XLOOKUP($B240, Result_Database!$A$2:$A$500, Result_Database!F$2:F$500),
  _xlfn.IFNA(_xlpm.result, "")
)</f>
        <v/>
      </c>
      <c r="H240" t="str">
        <f>_xlfn.LET(
  _xlpm.result, _xlfn.XLOOKUP($B240, Result_Database!$A$2:$A$500, Result_Database!G$2:G$500),
  _xlfn.IFNA(_xlpm.result, "")
)</f>
        <v/>
      </c>
      <c r="I240" t="str">
        <f>_xlfn.LET(
  _xlpm.result, _xlfn.XLOOKUP($B240, Result_Database!$A$2:$A$500, Result_Database!H$2:H$500),
  _xlfn.IFNA(_xlpm.result, "")
)</f>
        <v/>
      </c>
      <c r="J240" t="str">
        <f>_xlfn.LET(
  _xlpm.result, _xlfn.XLOOKUP($B240, Result_Database!$A$2:$A$500, Result_Database!I$2:I$500),
  _xlfn.IFNA(_xlpm.result, "")
)</f>
        <v/>
      </c>
      <c r="K240" t="str">
        <f>_xlfn.LET(
  _xlpm.result, _xlfn.XLOOKUP($B240, Result_Database!$A$2:$A$500, Result_Database!J$2:J$500),
  _xlfn.IFNA(_xlpm.result, "")
)</f>
        <v/>
      </c>
      <c r="L240" t="str">
        <f>_xlfn.LET(
  _xlpm.result, _xlfn.XLOOKUP($B240, Result_Database!$A$2:$A$500, Result_Database!K$2:K$500),
  _xlfn.IFNA(_xlpm.result, "")
)</f>
        <v/>
      </c>
      <c r="M240" t="str">
        <f>_xlfn.LET(
  _xlpm.result, _xlfn.XLOOKUP($B240, Result_Database!$A$2:$A$500, Result_Database!L$2:L$500),
  _xlfn.IFNA(_xlpm.result, "")
)</f>
        <v/>
      </c>
      <c r="N240" t="str">
        <f>_xlfn.LET(
  _xlpm.result, _xlfn.XLOOKUP($B240, Result_Database!$A$2:$A$500, Result_Database!M$2:M$500),
  _xlfn.IFNA(_xlpm.result, "")
)</f>
        <v/>
      </c>
      <c r="O240" t="str">
        <f>_xlfn.LET(
  _xlpm.result, _xlfn.XLOOKUP($B240, Result_Database!$A$2:$A$500, Result_Database!N$2:N$500),
  _xlfn.IFNA(_xlpm.result, "")
)</f>
        <v/>
      </c>
      <c r="P240" t="str">
        <f>_xlfn.LET(
  _xlpm.result, _xlfn.XLOOKUP($B240, Result_Database!$A$2:$A$500, Result_Database!O$2:O$500),
  _xlfn.IFNA(_xlpm.result, "")
)</f>
        <v/>
      </c>
      <c r="Q240" t="str">
        <f>_xlfn.LET(
  _xlpm.result, _xlfn.XLOOKUP($B240, Result_Database!$A$2:$A$500, Result_Database!P$2:P$500),
  _xlfn.IFNA(_xlpm.result, "")
)</f>
        <v/>
      </c>
      <c r="R240" t="str">
        <f>_xlfn.LET(
  _xlpm.result, _xlfn.XLOOKUP($B240, Result_Database!$A$2:$A$500, Result_Database!Q$2:Q$500),
  _xlfn.IFNA(_xlpm.result, "")
)</f>
        <v/>
      </c>
      <c r="S240" t="str">
        <f>_xlfn.LET(
  _xlpm.result, _xlfn.XLOOKUP($B240, Result_Database!$A$2:$A$500, Result_Database!R$2:R$500),
  _xlfn.IFNA(_xlpm.result, "")
)</f>
        <v/>
      </c>
      <c r="T240" t="str">
        <f>_xlfn.LET(
  _xlpm.result, _xlfn.XLOOKUP($B240, Result_Database!$A$2:$A$500, Result_Database!S$2:S$500),
  _xlfn.IFNA(_xlpm.result, "")
)</f>
        <v/>
      </c>
      <c r="U240" t="str">
        <f>_xlfn.LET(
  _xlpm.result, _xlfn.XLOOKUP($B240, Result_Database!$A$2:$A$500, Result_Database!T$2:T$500),
  _xlfn.IFNA(_xlpm.result, "")
)</f>
        <v/>
      </c>
      <c r="V240" t="str">
        <f>_xlfn.LET(
  _xlpm.result, _xlfn.XLOOKUP($B240, Result_Database!$A$2:$A$500, Result_Database!U$2:U$500),
  _xlfn.IFNA(_xlpm.result, "")
)</f>
        <v/>
      </c>
      <c r="W240" t="str">
        <f>_xlfn.LET(
  _xlpm.result, _xlfn.XLOOKUP($B240, Result_Database!$A$2:$A$500, Result_Database!V$2:V$500),
  _xlfn.IFNA(_xlpm.result, "")
)</f>
        <v/>
      </c>
      <c r="X240" t="str">
        <f>_xlfn.LET(
  _xlpm.result, _xlfn.XLOOKUP($B240, Result_Database!$A$2:$A$500, Result_Database!W$2:W$500),
  _xlfn.IFNA(_xlpm.result, "")
)</f>
        <v/>
      </c>
      <c r="Y240" t="str">
        <f>_xlfn.LET(
  _xlpm.result, _xlfn.XLOOKUP($B240, Result_Database!$A$2:$A$500, Result_Database!X$2:X$500),
  _xlfn.IFNA(_xlpm.result, "")
)</f>
        <v/>
      </c>
      <c r="Z240" t="str">
        <f>_xlfn.LET(
  _xlpm.result, _xlfn.XLOOKUP($B240, Result_Database!$A$2:$A$500, Result_Database!Y$2:Y$500),
  _xlfn.IFNA(_xlpm.result, "")
)</f>
        <v/>
      </c>
      <c r="AA240" t="str">
        <f>_xlfn.LET(
  _xlpm.result, _xlfn.XLOOKUP($B240, Result_Database!$A$2:$A$500, Result_Database!Z$2:Z$500),
  _xlfn.IFNA(_xlpm.result, "")
)</f>
        <v/>
      </c>
      <c r="AB240" t="str">
        <f>_xlfn.LET(
  _xlpm.result, _xlfn.XLOOKUP($B240, Result_Database!$A$2:$A$500, Result_Database!AA$2:AA$500),
  _xlfn.IFNA(_xlpm.result, "")
)</f>
        <v/>
      </c>
      <c r="AC240" t="str">
        <f>_xlfn.LET(
  _xlpm.result, _xlfn.XLOOKUP($B240, Result_Database!$A$2:$A$500, Result_Database!AB$2:AB$500),
  _xlfn.IFNA(_xlpm.result, "")
)</f>
        <v/>
      </c>
      <c r="AD240" t="str">
        <f>_xlfn.LET(
  _xlpm.result, _xlfn.XLOOKUP($B240, Result_Database!$A$2:$A$500, Result_Database!AC$2:AC$500),
  _xlfn.IFNA(_xlpm.result, "")
)</f>
        <v/>
      </c>
      <c r="AE240" t="str">
        <f>_xlfn.LET(
  _xlpm.result, _xlfn.XLOOKUP($B240, Result_Database!$A$2:$A$500, Result_Database!AD$2:AD$500),
  _xlfn.IFNA(_xlpm.result, "")
)</f>
        <v/>
      </c>
      <c r="AF240" t="str">
        <f>_xlfn.LET(
  _xlpm.result, _xlfn.XLOOKUP($B240, Result_Database!$A$2:$A$500, Result_Database!AE$2:AE$500),
  _xlfn.IFNA(_xlpm.result, "")
)</f>
        <v/>
      </c>
      <c r="AG240" t="str">
        <f>_xlfn.LET(
  _xlpm.result, _xlfn.XLOOKUP($B240, Result_Database!$A$2:$A$500, Result_Database!AF$2:AF$500),
  _xlfn.IFNA(_xlpm.result, "")
)</f>
        <v/>
      </c>
      <c r="AH240" t="str">
        <f>_xlfn.LET(
  _xlpm.result, _xlfn.XLOOKUP($B240, Result_Database!$A$2:$A$500, Result_Database!AG$2:AG$500),
  _xlfn.IFNA(_xlpm.result, "")
)</f>
        <v/>
      </c>
      <c r="AI240" t="str">
        <f>_xlfn.LET(
  _xlpm.result, _xlfn.XLOOKUP($B240, Result_Database!$A$2:$A$500, Result_Database!AH$2:AH$500),
  _xlfn.IFNA(_xlpm.result, "")
)</f>
        <v/>
      </c>
      <c r="AJ240" t="str">
        <f>_xlfn.LET(
  _xlpm.result, _xlfn.XLOOKUP($B240, Result_Database!$A$2:$A$500, Result_Database!AI$2:AI$500),
  _xlfn.IFNA(_xlpm.result, "")
)</f>
        <v/>
      </c>
      <c r="AK240" t="str">
        <f>_xlfn.LET(
  _xlpm.result, _xlfn.XLOOKUP($B240, Result_Database!$A$2:$A$500, Result_Database!AJ$2:AJ$500),
  _xlfn.IFNA(_xlpm.result, "")
)</f>
        <v/>
      </c>
      <c r="AL240" t="str">
        <f>_xlfn.LET(
  _xlpm.result, _xlfn.XLOOKUP($B240, Result_Database!$A$2:$A$500, Result_Database!AK$2:AK$500),
  _xlfn.IFNA(_xlpm.result, "")
)</f>
        <v/>
      </c>
      <c r="AM24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4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4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4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4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4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4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4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4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40" t="str">
        <f>IF(SUM(Table5[[#This Row],[A1]:[C6]])&lt;&gt;0,SUM(Table5[[#This Row],[A1]:[C6]]),"")</f>
        <v/>
      </c>
      <c r="AW240" t="str">
        <f>IF(SUM(Table5[[#This Row],[D7]:[F9]])=0,"",SUM(Table5[[#This Row],[D7]:[F9]]))</f>
        <v/>
      </c>
      <c r="AX24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4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4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4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4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4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40" t="str">
        <f>IF(COUNTIF(Table5[[#This Row],[English Language]:[Electrical/ Electronics]],"WITHHELD")=0,"",COUNTIF(Table5[[#This Row],[English Language]:[Electrical/ Electronics]],"WITHHELD"))</f>
        <v/>
      </c>
      <c r="BE240" t="str">
        <f>IF(SUM(Table5[[#This Row],[NO OF CREDITS]:[BELOW CREDITS]])=0,"",SUM(Table5[[#This Row],[NO OF CREDITS]:[BELOW CREDITS]]))</f>
        <v/>
      </c>
    </row>
    <row r="241" spans="1:57" x14ac:dyDescent="0.3">
      <c r="A241" t="str">
        <f>IF(B241&lt;&gt;"",COUNTA($B$6:B241),"")</f>
        <v/>
      </c>
      <c r="B241" t="str">
        <f>IF(Result_Database!A237="","",Result_Database!A237)</f>
        <v/>
      </c>
      <c r="C241" t="str">
        <f>_xlfn.LET(
_xlpm.result,_xlfn.XLOOKUP($B241,Result_Database!$A$2:$A$500,Result_Database!$B$2:$B$500),
_xlfn.IFNA(_xlpm.result,"")
)</f>
        <v/>
      </c>
      <c r="D241" t="str">
        <f>_xlfn.LET(
  _xlpm.result, _xlfn.XLOOKUP($B241, Result_Database!$A$2:$A$500, Result_Database!C$2:C$500),
  _xlfn.IFNA(_xlpm.result, "")
)</f>
        <v/>
      </c>
      <c r="E241" t="str">
        <f>_xlfn.LET(
  _xlpm.result, _xlfn.XLOOKUP($B241, Result_Database!$A$2:$A$500, Result_Database!D$2:D$500),
  _xlfn.IFNA(_xlpm.result, "")
)</f>
        <v/>
      </c>
      <c r="F241" t="str">
        <f>_xlfn.LET(
  _xlpm.result, _xlfn.XLOOKUP($B241, Result_Database!$A$2:$A$500, Result_Database!E$2:E$500),
  _xlfn.IFNA(_xlpm.result, "")
)</f>
        <v/>
      </c>
      <c r="G241" t="str">
        <f>_xlfn.LET(
  _xlpm.result, _xlfn.XLOOKUP($B241, Result_Database!$A$2:$A$500, Result_Database!F$2:F$500),
  _xlfn.IFNA(_xlpm.result, "")
)</f>
        <v/>
      </c>
      <c r="H241" t="str">
        <f>_xlfn.LET(
  _xlpm.result, _xlfn.XLOOKUP($B241, Result_Database!$A$2:$A$500, Result_Database!G$2:G$500),
  _xlfn.IFNA(_xlpm.result, "")
)</f>
        <v/>
      </c>
      <c r="I241" t="str">
        <f>_xlfn.LET(
  _xlpm.result, _xlfn.XLOOKUP($B241, Result_Database!$A$2:$A$500, Result_Database!H$2:H$500),
  _xlfn.IFNA(_xlpm.result, "")
)</f>
        <v/>
      </c>
      <c r="J241" t="str">
        <f>_xlfn.LET(
  _xlpm.result, _xlfn.XLOOKUP($B241, Result_Database!$A$2:$A$500, Result_Database!I$2:I$500),
  _xlfn.IFNA(_xlpm.result, "")
)</f>
        <v/>
      </c>
      <c r="K241" t="str">
        <f>_xlfn.LET(
  _xlpm.result, _xlfn.XLOOKUP($B241, Result_Database!$A$2:$A$500, Result_Database!J$2:J$500),
  _xlfn.IFNA(_xlpm.result, "")
)</f>
        <v/>
      </c>
      <c r="L241" t="str">
        <f>_xlfn.LET(
  _xlpm.result, _xlfn.XLOOKUP($B241, Result_Database!$A$2:$A$500, Result_Database!K$2:K$500),
  _xlfn.IFNA(_xlpm.result, "")
)</f>
        <v/>
      </c>
      <c r="M241" t="str">
        <f>_xlfn.LET(
  _xlpm.result, _xlfn.XLOOKUP($B241, Result_Database!$A$2:$A$500, Result_Database!L$2:L$500),
  _xlfn.IFNA(_xlpm.result, "")
)</f>
        <v/>
      </c>
      <c r="N241" t="str">
        <f>_xlfn.LET(
  _xlpm.result, _xlfn.XLOOKUP($B241, Result_Database!$A$2:$A$500, Result_Database!M$2:M$500),
  _xlfn.IFNA(_xlpm.result, "")
)</f>
        <v/>
      </c>
      <c r="O241" t="str">
        <f>_xlfn.LET(
  _xlpm.result, _xlfn.XLOOKUP($B241, Result_Database!$A$2:$A$500, Result_Database!N$2:N$500),
  _xlfn.IFNA(_xlpm.result, "")
)</f>
        <v/>
      </c>
      <c r="P241" t="str">
        <f>_xlfn.LET(
  _xlpm.result, _xlfn.XLOOKUP($B241, Result_Database!$A$2:$A$500, Result_Database!O$2:O$500),
  _xlfn.IFNA(_xlpm.result, "")
)</f>
        <v/>
      </c>
      <c r="Q241" t="str">
        <f>_xlfn.LET(
  _xlpm.result, _xlfn.XLOOKUP($B241, Result_Database!$A$2:$A$500, Result_Database!P$2:P$500),
  _xlfn.IFNA(_xlpm.result, "")
)</f>
        <v/>
      </c>
      <c r="R241" t="str">
        <f>_xlfn.LET(
  _xlpm.result, _xlfn.XLOOKUP($B241, Result_Database!$A$2:$A$500, Result_Database!Q$2:Q$500),
  _xlfn.IFNA(_xlpm.result, "")
)</f>
        <v/>
      </c>
      <c r="S241" t="str">
        <f>_xlfn.LET(
  _xlpm.result, _xlfn.XLOOKUP($B241, Result_Database!$A$2:$A$500, Result_Database!R$2:R$500),
  _xlfn.IFNA(_xlpm.result, "")
)</f>
        <v/>
      </c>
      <c r="T241" t="str">
        <f>_xlfn.LET(
  _xlpm.result, _xlfn.XLOOKUP($B241, Result_Database!$A$2:$A$500, Result_Database!S$2:S$500),
  _xlfn.IFNA(_xlpm.result, "")
)</f>
        <v/>
      </c>
      <c r="U241" t="str">
        <f>_xlfn.LET(
  _xlpm.result, _xlfn.XLOOKUP($B241, Result_Database!$A$2:$A$500, Result_Database!T$2:T$500),
  _xlfn.IFNA(_xlpm.result, "")
)</f>
        <v/>
      </c>
      <c r="V241" t="str">
        <f>_xlfn.LET(
  _xlpm.result, _xlfn.XLOOKUP($B241, Result_Database!$A$2:$A$500, Result_Database!U$2:U$500),
  _xlfn.IFNA(_xlpm.result, "")
)</f>
        <v/>
      </c>
      <c r="W241" t="str">
        <f>_xlfn.LET(
  _xlpm.result, _xlfn.XLOOKUP($B241, Result_Database!$A$2:$A$500, Result_Database!V$2:V$500),
  _xlfn.IFNA(_xlpm.result, "")
)</f>
        <v/>
      </c>
      <c r="X241" t="str">
        <f>_xlfn.LET(
  _xlpm.result, _xlfn.XLOOKUP($B241, Result_Database!$A$2:$A$500, Result_Database!W$2:W$500),
  _xlfn.IFNA(_xlpm.result, "")
)</f>
        <v/>
      </c>
      <c r="Y241" t="str">
        <f>_xlfn.LET(
  _xlpm.result, _xlfn.XLOOKUP($B241, Result_Database!$A$2:$A$500, Result_Database!X$2:X$500),
  _xlfn.IFNA(_xlpm.result, "")
)</f>
        <v/>
      </c>
      <c r="Z241" t="str">
        <f>_xlfn.LET(
  _xlpm.result, _xlfn.XLOOKUP($B241, Result_Database!$A$2:$A$500, Result_Database!Y$2:Y$500),
  _xlfn.IFNA(_xlpm.result, "")
)</f>
        <v/>
      </c>
      <c r="AA241" t="str">
        <f>_xlfn.LET(
  _xlpm.result, _xlfn.XLOOKUP($B241, Result_Database!$A$2:$A$500, Result_Database!Z$2:Z$500),
  _xlfn.IFNA(_xlpm.result, "")
)</f>
        <v/>
      </c>
      <c r="AB241" t="str">
        <f>_xlfn.LET(
  _xlpm.result, _xlfn.XLOOKUP($B241, Result_Database!$A$2:$A$500, Result_Database!AA$2:AA$500),
  _xlfn.IFNA(_xlpm.result, "")
)</f>
        <v/>
      </c>
      <c r="AC241" t="str">
        <f>_xlfn.LET(
  _xlpm.result, _xlfn.XLOOKUP($B241, Result_Database!$A$2:$A$500, Result_Database!AB$2:AB$500),
  _xlfn.IFNA(_xlpm.result, "")
)</f>
        <v/>
      </c>
      <c r="AD241" t="str">
        <f>_xlfn.LET(
  _xlpm.result, _xlfn.XLOOKUP($B241, Result_Database!$A$2:$A$500, Result_Database!AC$2:AC$500),
  _xlfn.IFNA(_xlpm.result, "")
)</f>
        <v/>
      </c>
      <c r="AE241" t="str">
        <f>_xlfn.LET(
  _xlpm.result, _xlfn.XLOOKUP($B241, Result_Database!$A$2:$A$500, Result_Database!AD$2:AD$500),
  _xlfn.IFNA(_xlpm.result, "")
)</f>
        <v/>
      </c>
      <c r="AF241" t="str">
        <f>_xlfn.LET(
  _xlpm.result, _xlfn.XLOOKUP($B241, Result_Database!$A$2:$A$500, Result_Database!AE$2:AE$500),
  _xlfn.IFNA(_xlpm.result, "")
)</f>
        <v/>
      </c>
      <c r="AG241" t="str">
        <f>_xlfn.LET(
  _xlpm.result, _xlfn.XLOOKUP($B241, Result_Database!$A$2:$A$500, Result_Database!AF$2:AF$500),
  _xlfn.IFNA(_xlpm.result, "")
)</f>
        <v/>
      </c>
      <c r="AH241" t="str">
        <f>_xlfn.LET(
  _xlpm.result, _xlfn.XLOOKUP($B241, Result_Database!$A$2:$A$500, Result_Database!AG$2:AG$500),
  _xlfn.IFNA(_xlpm.result, "")
)</f>
        <v/>
      </c>
      <c r="AI241" t="str">
        <f>_xlfn.LET(
  _xlpm.result, _xlfn.XLOOKUP($B241, Result_Database!$A$2:$A$500, Result_Database!AH$2:AH$500),
  _xlfn.IFNA(_xlpm.result, "")
)</f>
        <v/>
      </c>
      <c r="AJ241" t="str">
        <f>_xlfn.LET(
  _xlpm.result, _xlfn.XLOOKUP($B241, Result_Database!$A$2:$A$500, Result_Database!AI$2:AI$500),
  _xlfn.IFNA(_xlpm.result, "")
)</f>
        <v/>
      </c>
      <c r="AK241" t="str">
        <f>_xlfn.LET(
  _xlpm.result, _xlfn.XLOOKUP($B241, Result_Database!$A$2:$A$500, Result_Database!AJ$2:AJ$500),
  _xlfn.IFNA(_xlpm.result, "")
)</f>
        <v/>
      </c>
      <c r="AL241" t="str">
        <f>_xlfn.LET(
  _xlpm.result, _xlfn.XLOOKUP($B241, Result_Database!$A$2:$A$500, Result_Database!AK$2:AK$500),
  _xlfn.IFNA(_xlpm.result, "")
)</f>
        <v/>
      </c>
      <c r="AM24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4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4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4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4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4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4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4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4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41" t="str">
        <f>IF(SUM(Table5[[#This Row],[A1]:[C6]])&lt;&gt;0,SUM(Table5[[#This Row],[A1]:[C6]]),"")</f>
        <v/>
      </c>
      <c r="AW241" t="str">
        <f>IF(SUM(Table5[[#This Row],[D7]:[F9]])=0,"",SUM(Table5[[#This Row],[D7]:[F9]]))</f>
        <v/>
      </c>
      <c r="AX24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4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4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4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4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4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41" t="str">
        <f>IF(COUNTIF(Table5[[#This Row],[English Language]:[Electrical/ Electronics]],"WITHHELD")=0,"",COUNTIF(Table5[[#This Row],[English Language]:[Electrical/ Electronics]],"WITHHELD"))</f>
        <v/>
      </c>
      <c r="BE241" t="str">
        <f>IF(SUM(Table5[[#This Row],[NO OF CREDITS]:[BELOW CREDITS]])=0,"",SUM(Table5[[#This Row],[NO OF CREDITS]:[BELOW CREDITS]]))</f>
        <v/>
      </c>
    </row>
    <row r="242" spans="1:57" x14ac:dyDescent="0.3">
      <c r="A242" t="str">
        <f>IF(B242&lt;&gt;"",COUNTA($B$6:B242),"")</f>
        <v/>
      </c>
      <c r="B242" t="str">
        <f>IF(Result_Database!A238="","",Result_Database!A238)</f>
        <v/>
      </c>
      <c r="C242" t="str">
        <f>_xlfn.LET(
_xlpm.result,_xlfn.XLOOKUP($B242,Result_Database!$A$2:$A$500,Result_Database!$B$2:$B$500),
_xlfn.IFNA(_xlpm.result,"")
)</f>
        <v/>
      </c>
      <c r="D242" t="str">
        <f>_xlfn.LET(
  _xlpm.result, _xlfn.XLOOKUP($B242, Result_Database!$A$2:$A$500, Result_Database!C$2:C$500),
  _xlfn.IFNA(_xlpm.result, "")
)</f>
        <v/>
      </c>
      <c r="E242" t="str">
        <f>_xlfn.LET(
  _xlpm.result, _xlfn.XLOOKUP($B242, Result_Database!$A$2:$A$500, Result_Database!D$2:D$500),
  _xlfn.IFNA(_xlpm.result, "")
)</f>
        <v/>
      </c>
      <c r="F242" t="str">
        <f>_xlfn.LET(
  _xlpm.result, _xlfn.XLOOKUP($B242, Result_Database!$A$2:$A$500, Result_Database!E$2:E$500),
  _xlfn.IFNA(_xlpm.result, "")
)</f>
        <v/>
      </c>
      <c r="G242" t="str">
        <f>_xlfn.LET(
  _xlpm.result, _xlfn.XLOOKUP($B242, Result_Database!$A$2:$A$500, Result_Database!F$2:F$500),
  _xlfn.IFNA(_xlpm.result, "")
)</f>
        <v/>
      </c>
      <c r="H242" t="str">
        <f>_xlfn.LET(
  _xlpm.result, _xlfn.XLOOKUP($B242, Result_Database!$A$2:$A$500, Result_Database!G$2:G$500),
  _xlfn.IFNA(_xlpm.result, "")
)</f>
        <v/>
      </c>
      <c r="I242" t="str">
        <f>_xlfn.LET(
  _xlpm.result, _xlfn.XLOOKUP($B242, Result_Database!$A$2:$A$500, Result_Database!H$2:H$500),
  _xlfn.IFNA(_xlpm.result, "")
)</f>
        <v/>
      </c>
      <c r="J242" t="str">
        <f>_xlfn.LET(
  _xlpm.result, _xlfn.XLOOKUP($B242, Result_Database!$A$2:$A$500, Result_Database!I$2:I$500),
  _xlfn.IFNA(_xlpm.result, "")
)</f>
        <v/>
      </c>
      <c r="K242" t="str">
        <f>_xlfn.LET(
  _xlpm.result, _xlfn.XLOOKUP($B242, Result_Database!$A$2:$A$500, Result_Database!J$2:J$500),
  _xlfn.IFNA(_xlpm.result, "")
)</f>
        <v/>
      </c>
      <c r="L242" t="str">
        <f>_xlfn.LET(
  _xlpm.result, _xlfn.XLOOKUP($B242, Result_Database!$A$2:$A$500, Result_Database!K$2:K$500),
  _xlfn.IFNA(_xlpm.result, "")
)</f>
        <v/>
      </c>
      <c r="M242" t="str">
        <f>_xlfn.LET(
  _xlpm.result, _xlfn.XLOOKUP($B242, Result_Database!$A$2:$A$500, Result_Database!L$2:L$500),
  _xlfn.IFNA(_xlpm.result, "")
)</f>
        <v/>
      </c>
      <c r="N242" t="str">
        <f>_xlfn.LET(
  _xlpm.result, _xlfn.XLOOKUP($B242, Result_Database!$A$2:$A$500, Result_Database!M$2:M$500),
  _xlfn.IFNA(_xlpm.result, "")
)</f>
        <v/>
      </c>
      <c r="O242" t="str">
        <f>_xlfn.LET(
  _xlpm.result, _xlfn.XLOOKUP($B242, Result_Database!$A$2:$A$500, Result_Database!N$2:N$500),
  _xlfn.IFNA(_xlpm.result, "")
)</f>
        <v/>
      </c>
      <c r="P242" t="str">
        <f>_xlfn.LET(
  _xlpm.result, _xlfn.XLOOKUP($B242, Result_Database!$A$2:$A$500, Result_Database!O$2:O$500),
  _xlfn.IFNA(_xlpm.result, "")
)</f>
        <v/>
      </c>
      <c r="Q242" t="str">
        <f>_xlfn.LET(
  _xlpm.result, _xlfn.XLOOKUP($B242, Result_Database!$A$2:$A$500, Result_Database!P$2:P$500),
  _xlfn.IFNA(_xlpm.result, "")
)</f>
        <v/>
      </c>
      <c r="R242" t="str">
        <f>_xlfn.LET(
  _xlpm.result, _xlfn.XLOOKUP($B242, Result_Database!$A$2:$A$500, Result_Database!Q$2:Q$500),
  _xlfn.IFNA(_xlpm.result, "")
)</f>
        <v/>
      </c>
      <c r="S242" t="str">
        <f>_xlfn.LET(
  _xlpm.result, _xlfn.XLOOKUP($B242, Result_Database!$A$2:$A$500, Result_Database!R$2:R$500),
  _xlfn.IFNA(_xlpm.result, "")
)</f>
        <v/>
      </c>
      <c r="T242" t="str">
        <f>_xlfn.LET(
  _xlpm.result, _xlfn.XLOOKUP($B242, Result_Database!$A$2:$A$500, Result_Database!S$2:S$500),
  _xlfn.IFNA(_xlpm.result, "")
)</f>
        <v/>
      </c>
      <c r="U242" t="str">
        <f>_xlfn.LET(
  _xlpm.result, _xlfn.XLOOKUP($B242, Result_Database!$A$2:$A$500, Result_Database!T$2:T$500),
  _xlfn.IFNA(_xlpm.result, "")
)</f>
        <v/>
      </c>
      <c r="V242" t="str">
        <f>_xlfn.LET(
  _xlpm.result, _xlfn.XLOOKUP($B242, Result_Database!$A$2:$A$500, Result_Database!U$2:U$500),
  _xlfn.IFNA(_xlpm.result, "")
)</f>
        <v/>
      </c>
      <c r="W242" t="str">
        <f>_xlfn.LET(
  _xlpm.result, _xlfn.XLOOKUP($B242, Result_Database!$A$2:$A$500, Result_Database!V$2:V$500),
  _xlfn.IFNA(_xlpm.result, "")
)</f>
        <v/>
      </c>
      <c r="X242" t="str">
        <f>_xlfn.LET(
  _xlpm.result, _xlfn.XLOOKUP($B242, Result_Database!$A$2:$A$500, Result_Database!W$2:W$500),
  _xlfn.IFNA(_xlpm.result, "")
)</f>
        <v/>
      </c>
      <c r="Y242" t="str">
        <f>_xlfn.LET(
  _xlpm.result, _xlfn.XLOOKUP($B242, Result_Database!$A$2:$A$500, Result_Database!X$2:X$500),
  _xlfn.IFNA(_xlpm.result, "")
)</f>
        <v/>
      </c>
      <c r="Z242" t="str">
        <f>_xlfn.LET(
  _xlpm.result, _xlfn.XLOOKUP($B242, Result_Database!$A$2:$A$500, Result_Database!Y$2:Y$500),
  _xlfn.IFNA(_xlpm.result, "")
)</f>
        <v/>
      </c>
      <c r="AA242" t="str">
        <f>_xlfn.LET(
  _xlpm.result, _xlfn.XLOOKUP($B242, Result_Database!$A$2:$A$500, Result_Database!Z$2:Z$500),
  _xlfn.IFNA(_xlpm.result, "")
)</f>
        <v/>
      </c>
      <c r="AB242" t="str">
        <f>_xlfn.LET(
  _xlpm.result, _xlfn.XLOOKUP($B242, Result_Database!$A$2:$A$500, Result_Database!AA$2:AA$500),
  _xlfn.IFNA(_xlpm.result, "")
)</f>
        <v/>
      </c>
      <c r="AC242" t="str">
        <f>_xlfn.LET(
  _xlpm.result, _xlfn.XLOOKUP($B242, Result_Database!$A$2:$A$500, Result_Database!AB$2:AB$500),
  _xlfn.IFNA(_xlpm.result, "")
)</f>
        <v/>
      </c>
      <c r="AD242" t="str">
        <f>_xlfn.LET(
  _xlpm.result, _xlfn.XLOOKUP($B242, Result_Database!$A$2:$A$500, Result_Database!AC$2:AC$500),
  _xlfn.IFNA(_xlpm.result, "")
)</f>
        <v/>
      </c>
      <c r="AE242" t="str">
        <f>_xlfn.LET(
  _xlpm.result, _xlfn.XLOOKUP($B242, Result_Database!$A$2:$A$500, Result_Database!AD$2:AD$500),
  _xlfn.IFNA(_xlpm.result, "")
)</f>
        <v/>
      </c>
      <c r="AF242" t="str">
        <f>_xlfn.LET(
  _xlpm.result, _xlfn.XLOOKUP($B242, Result_Database!$A$2:$A$500, Result_Database!AE$2:AE$500),
  _xlfn.IFNA(_xlpm.result, "")
)</f>
        <v/>
      </c>
      <c r="AG242" t="str">
        <f>_xlfn.LET(
  _xlpm.result, _xlfn.XLOOKUP($B242, Result_Database!$A$2:$A$500, Result_Database!AF$2:AF$500),
  _xlfn.IFNA(_xlpm.result, "")
)</f>
        <v/>
      </c>
      <c r="AH242" t="str">
        <f>_xlfn.LET(
  _xlpm.result, _xlfn.XLOOKUP($B242, Result_Database!$A$2:$A$500, Result_Database!AG$2:AG$500),
  _xlfn.IFNA(_xlpm.result, "")
)</f>
        <v/>
      </c>
      <c r="AI242" t="str">
        <f>_xlfn.LET(
  _xlpm.result, _xlfn.XLOOKUP($B242, Result_Database!$A$2:$A$500, Result_Database!AH$2:AH$500),
  _xlfn.IFNA(_xlpm.result, "")
)</f>
        <v/>
      </c>
      <c r="AJ242" t="str">
        <f>_xlfn.LET(
  _xlpm.result, _xlfn.XLOOKUP($B242, Result_Database!$A$2:$A$500, Result_Database!AI$2:AI$500),
  _xlfn.IFNA(_xlpm.result, "")
)</f>
        <v/>
      </c>
      <c r="AK242" t="str">
        <f>_xlfn.LET(
  _xlpm.result, _xlfn.XLOOKUP($B242, Result_Database!$A$2:$A$500, Result_Database!AJ$2:AJ$500),
  _xlfn.IFNA(_xlpm.result, "")
)</f>
        <v/>
      </c>
      <c r="AL242" t="str">
        <f>_xlfn.LET(
  _xlpm.result, _xlfn.XLOOKUP($B242, Result_Database!$A$2:$A$500, Result_Database!AK$2:AK$500),
  _xlfn.IFNA(_xlpm.result, "")
)</f>
        <v/>
      </c>
      <c r="AM24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4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4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4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4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4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4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4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4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42" t="str">
        <f>IF(SUM(Table5[[#This Row],[A1]:[C6]])&lt;&gt;0,SUM(Table5[[#This Row],[A1]:[C6]]),"")</f>
        <v/>
      </c>
      <c r="AW242" t="str">
        <f>IF(SUM(Table5[[#This Row],[D7]:[F9]])=0,"",SUM(Table5[[#This Row],[D7]:[F9]]))</f>
        <v/>
      </c>
      <c r="AX24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4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4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4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4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4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42" t="str">
        <f>IF(COUNTIF(Table5[[#This Row],[English Language]:[Electrical/ Electronics]],"WITHHELD")=0,"",COUNTIF(Table5[[#This Row],[English Language]:[Electrical/ Electronics]],"WITHHELD"))</f>
        <v/>
      </c>
      <c r="BE242" t="str">
        <f>IF(SUM(Table5[[#This Row],[NO OF CREDITS]:[BELOW CREDITS]])=0,"",SUM(Table5[[#This Row],[NO OF CREDITS]:[BELOW CREDITS]]))</f>
        <v/>
      </c>
    </row>
    <row r="243" spans="1:57" x14ac:dyDescent="0.3">
      <c r="A243" t="str">
        <f>IF(B243&lt;&gt;"",COUNTA($B$6:B243),"")</f>
        <v/>
      </c>
      <c r="B243" t="str">
        <f>IF(Result_Database!A239="","",Result_Database!A239)</f>
        <v/>
      </c>
      <c r="C243" t="str">
        <f>_xlfn.LET(
_xlpm.result,_xlfn.XLOOKUP($B243,Result_Database!$A$2:$A$500,Result_Database!$B$2:$B$500),
_xlfn.IFNA(_xlpm.result,"")
)</f>
        <v/>
      </c>
      <c r="D243" t="str">
        <f>_xlfn.LET(
  _xlpm.result, _xlfn.XLOOKUP($B243, Result_Database!$A$2:$A$500, Result_Database!C$2:C$500),
  _xlfn.IFNA(_xlpm.result, "")
)</f>
        <v/>
      </c>
      <c r="E243" t="str">
        <f>_xlfn.LET(
  _xlpm.result, _xlfn.XLOOKUP($B243, Result_Database!$A$2:$A$500, Result_Database!D$2:D$500),
  _xlfn.IFNA(_xlpm.result, "")
)</f>
        <v/>
      </c>
      <c r="F243" t="str">
        <f>_xlfn.LET(
  _xlpm.result, _xlfn.XLOOKUP($B243, Result_Database!$A$2:$A$500, Result_Database!E$2:E$500),
  _xlfn.IFNA(_xlpm.result, "")
)</f>
        <v/>
      </c>
      <c r="G243" t="str">
        <f>_xlfn.LET(
  _xlpm.result, _xlfn.XLOOKUP($B243, Result_Database!$A$2:$A$500, Result_Database!F$2:F$500),
  _xlfn.IFNA(_xlpm.result, "")
)</f>
        <v/>
      </c>
      <c r="H243" t="str">
        <f>_xlfn.LET(
  _xlpm.result, _xlfn.XLOOKUP($B243, Result_Database!$A$2:$A$500, Result_Database!G$2:G$500),
  _xlfn.IFNA(_xlpm.result, "")
)</f>
        <v/>
      </c>
      <c r="I243" t="str">
        <f>_xlfn.LET(
  _xlpm.result, _xlfn.XLOOKUP($B243, Result_Database!$A$2:$A$500, Result_Database!H$2:H$500),
  _xlfn.IFNA(_xlpm.result, "")
)</f>
        <v/>
      </c>
      <c r="J243" t="str">
        <f>_xlfn.LET(
  _xlpm.result, _xlfn.XLOOKUP($B243, Result_Database!$A$2:$A$500, Result_Database!I$2:I$500),
  _xlfn.IFNA(_xlpm.result, "")
)</f>
        <v/>
      </c>
      <c r="K243" t="str">
        <f>_xlfn.LET(
  _xlpm.result, _xlfn.XLOOKUP($B243, Result_Database!$A$2:$A$500, Result_Database!J$2:J$500),
  _xlfn.IFNA(_xlpm.result, "")
)</f>
        <v/>
      </c>
      <c r="L243" t="str">
        <f>_xlfn.LET(
  _xlpm.result, _xlfn.XLOOKUP($B243, Result_Database!$A$2:$A$500, Result_Database!K$2:K$500),
  _xlfn.IFNA(_xlpm.result, "")
)</f>
        <v/>
      </c>
      <c r="M243" t="str">
        <f>_xlfn.LET(
  _xlpm.result, _xlfn.XLOOKUP($B243, Result_Database!$A$2:$A$500, Result_Database!L$2:L$500),
  _xlfn.IFNA(_xlpm.result, "")
)</f>
        <v/>
      </c>
      <c r="N243" t="str">
        <f>_xlfn.LET(
  _xlpm.result, _xlfn.XLOOKUP($B243, Result_Database!$A$2:$A$500, Result_Database!M$2:M$500),
  _xlfn.IFNA(_xlpm.result, "")
)</f>
        <v/>
      </c>
      <c r="O243" t="str">
        <f>_xlfn.LET(
  _xlpm.result, _xlfn.XLOOKUP($B243, Result_Database!$A$2:$A$500, Result_Database!N$2:N$500),
  _xlfn.IFNA(_xlpm.result, "")
)</f>
        <v/>
      </c>
      <c r="P243" t="str">
        <f>_xlfn.LET(
  _xlpm.result, _xlfn.XLOOKUP($B243, Result_Database!$A$2:$A$500, Result_Database!O$2:O$500),
  _xlfn.IFNA(_xlpm.result, "")
)</f>
        <v/>
      </c>
      <c r="Q243" t="str">
        <f>_xlfn.LET(
  _xlpm.result, _xlfn.XLOOKUP($B243, Result_Database!$A$2:$A$500, Result_Database!P$2:P$500),
  _xlfn.IFNA(_xlpm.result, "")
)</f>
        <v/>
      </c>
      <c r="R243" t="str">
        <f>_xlfn.LET(
  _xlpm.result, _xlfn.XLOOKUP($B243, Result_Database!$A$2:$A$500, Result_Database!Q$2:Q$500),
  _xlfn.IFNA(_xlpm.result, "")
)</f>
        <v/>
      </c>
      <c r="S243" t="str">
        <f>_xlfn.LET(
  _xlpm.result, _xlfn.XLOOKUP($B243, Result_Database!$A$2:$A$500, Result_Database!R$2:R$500),
  _xlfn.IFNA(_xlpm.result, "")
)</f>
        <v/>
      </c>
      <c r="T243" t="str">
        <f>_xlfn.LET(
  _xlpm.result, _xlfn.XLOOKUP($B243, Result_Database!$A$2:$A$500, Result_Database!S$2:S$500),
  _xlfn.IFNA(_xlpm.result, "")
)</f>
        <v/>
      </c>
      <c r="U243" t="str">
        <f>_xlfn.LET(
  _xlpm.result, _xlfn.XLOOKUP($B243, Result_Database!$A$2:$A$500, Result_Database!T$2:T$500),
  _xlfn.IFNA(_xlpm.result, "")
)</f>
        <v/>
      </c>
      <c r="V243" t="str">
        <f>_xlfn.LET(
  _xlpm.result, _xlfn.XLOOKUP($B243, Result_Database!$A$2:$A$500, Result_Database!U$2:U$500),
  _xlfn.IFNA(_xlpm.result, "")
)</f>
        <v/>
      </c>
      <c r="W243" t="str">
        <f>_xlfn.LET(
  _xlpm.result, _xlfn.XLOOKUP($B243, Result_Database!$A$2:$A$500, Result_Database!V$2:V$500),
  _xlfn.IFNA(_xlpm.result, "")
)</f>
        <v/>
      </c>
      <c r="X243" t="str">
        <f>_xlfn.LET(
  _xlpm.result, _xlfn.XLOOKUP($B243, Result_Database!$A$2:$A$500, Result_Database!W$2:W$500),
  _xlfn.IFNA(_xlpm.result, "")
)</f>
        <v/>
      </c>
      <c r="Y243" t="str">
        <f>_xlfn.LET(
  _xlpm.result, _xlfn.XLOOKUP($B243, Result_Database!$A$2:$A$500, Result_Database!X$2:X$500),
  _xlfn.IFNA(_xlpm.result, "")
)</f>
        <v/>
      </c>
      <c r="Z243" t="str">
        <f>_xlfn.LET(
  _xlpm.result, _xlfn.XLOOKUP($B243, Result_Database!$A$2:$A$500, Result_Database!Y$2:Y$500),
  _xlfn.IFNA(_xlpm.result, "")
)</f>
        <v/>
      </c>
      <c r="AA243" t="str">
        <f>_xlfn.LET(
  _xlpm.result, _xlfn.XLOOKUP($B243, Result_Database!$A$2:$A$500, Result_Database!Z$2:Z$500),
  _xlfn.IFNA(_xlpm.result, "")
)</f>
        <v/>
      </c>
      <c r="AB243" t="str">
        <f>_xlfn.LET(
  _xlpm.result, _xlfn.XLOOKUP($B243, Result_Database!$A$2:$A$500, Result_Database!AA$2:AA$500),
  _xlfn.IFNA(_xlpm.result, "")
)</f>
        <v/>
      </c>
      <c r="AC243" t="str">
        <f>_xlfn.LET(
  _xlpm.result, _xlfn.XLOOKUP($B243, Result_Database!$A$2:$A$500, Result_Database!AB$2:AB$500),
  _xlfn.IFNA(_xlpm.result, "")
)</f>
        <v/>
      </c>
      <c r="AD243" t="str">
        <f>_xlfn.LET(
  _xlpm.result, _xlfn.XLOOKUP($B243, Result_Database!$A$2:$A$500, Result_Database!AC$2:AC$500),
  _xlfn.IFNA(_xlpm.result, "")
)</f>
        <v/>
      </c>
      <c r="AE243" t="str">
        <f>_xlfn.LET(
  _xlpm.result, _xlfn.XLOOKUP($B243, Result_Database!$A$2:$A$500, Result_Database!AD$2:AD$500),
  _xlfn.IFNA(_xlpm.result, "")
)</f>
        <v/>
      </c>
      <c r="AF243" t="str">
        <f>_xlfn.LET(
  _xlpm.result, _xlfn.XLOOKUP($B243, Result_Database!$A$2:$A$500, Result_Database!AE$2:AE$500),
  _xlfn.IFNA(_xlpm.result, "")
)</f>
        <v/>
      </c>
      <c r="AG243" t="str">
        <f>_xlfn.LET(
  _xlpm.result, _xlfn.XLOOKUP($B243, Result_Database!$A$2:$A$500, Result_Database!AF$2:AF$500),
  _xlfn.IFNA(_xlpm.result, "")
)</f>
        <v/>
      </c>
      <c r="AH243" t="str">
        <f>_xlfn.LET(
  _xlpm.result, _xlfn.XLOOKUP($B243, Result_Database!$A$2:$A$500, Result_Database!AG$2:AG$500),
  _xlfn.IFNA(_xlpm.result, "")
)</f>
        <v/>
      </c>
      <c r="AI243" t="str">
        <f>_xlfn.LET(
  _xlpm.result, _xlfn.XLOOKUP($B243, Result_Database!$A$2:$A$500, Result_Database!AH$2:AH$500),
  _xlfn.IFNA(_xlpm.result, "")
)</f>
        <v/>
      </c>
      <c r="AJ243" t="str">
        <f>_xlfn.LET(
  _xlpm.result, _xlfn.XLOOKUP($B243, Result_Database!$A$2:$A$500, Result_Database!AI$2:AI$500),
  _xlfn.IFNA(_xlpm.result, "")
)</f>
        <v/>
      </c>
      <c r="AK243" t="str">
        <f>_xlfn.LET(
  _xlpm.result, _xlfn.XLOOKUP($B243, Result_Database!$A$2:$A$500, Result_Database!AJ$2:AJ$500),
  _xlfn.IFNA(_xlpm.result, "")
)</f>
        <v/>
      </c>
      <c r="AL243" t="str">
        <f>_xlfn.LET(
  _xlpm.result, _xlfn.XLOOKUP($B243, Result_Database!$A$2:$A$500, Result_Database!AK$2:AK$500),
  _xlfn.IFNA(_xlpm.result, "")
)</f>
        <v/>
      </c>
      <c r="AM24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4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4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4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4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4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4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4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4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43" t="str">
        <f>IF(SUM(Table5[[#This Row],[A1]:[C6]])&lt;&gt;0,SUM(Table5[[#This Row],[A1]:[C6]]),"")</f>
        <v/>
      </c>
      <c r="AW243" t="str">
        <f>IF(SUM(Table5[[#This Row],[D7]:[F9]])=0,"",SUM(Table5[[#This Row],[D7]:[F9]]))</f>
        <v/>
      </c>
      <c r="AX24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4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4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4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4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4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43" t="str">
        <f>IF(COUNTIF(Table5[[#This Row],[English Language]:[Electrical/ Electronics]],"WITHHELD")=0,"",COUNTIF(Table5[[#This Row],[English Language]:[Electrical/ Electronics]],"WITHHELD"))</f>
        <v/>
      </c>
      <c r="BE243" t="str">
        <f>IF(SUM(Table5[[#This Row],[NO OF CREDITS]:[BELOW CREDITS]])=0,"",SUM(Table5[[#This Row],[NO OF CREDITS]:[BELOW CREDITS]]))</f>
        <v/>
      </c>
    </row>
    <row r="244" spans="1:57" x14ac:dyDescent="0.3">
      <c r="A244" t="str">
        <f>IF(B244&lt;&gt;"",COUNTA($B$6:B244),"")</f>
        <v/>
      </c>
      <c r="B244" t="str">
        <f>IF(Result_Database!A240="","",Result_Database!A240)</f>
        <v/>
      </c>
      <c r="C244" t="str">
        <f>_xlfn.LET(
_xlpm.result,_xlfn.XLOOKUP($B244,Result_Database!$A$2:$A$500,Result_Database!$B$2:$B$500),
_xlfn.IFNA(_xlpm.result,"")
)</f>
        <v/>
      </c>
      <c r="D244" t="str">
        <f>_xlfn.LET(
  _xlpm.result, _xlfn.XLOOKUP($B244, Result_Database!$A$2:$A$500, Result_Database!C$2:C$500),
  _xlfn.IFNA(_xlpm.result, "")
)</f>
        <v/>
      </c>
      <c r="E244" t="str">
        <f>_xlfn.LET(
  _xlpm.result, _xlfn.XLOOKUP($B244, Result_Database!$A$2:$A$500, Result_Database!D$2:D$500),
  _xlfn.IFNA(_xlpm.result, "")
)</f>
        <v/>
      </c>
      <c r="F244" t="str">
        <f>_xlfn.LET(
  _xlpm.result, _xlfn.XLOOKUP($B244, Result_Database!$A$2:$A$500, Result_Database!E$2:E$500),
  _xlfn.IFNA(_xlpm.result, "")
)</f>
        <v/>
      </c>
      <c r="G244" t="str">
        <f>_xlfn.LET(
  _xlpm.result, _xlfn.XLOOKUP($B244, Result_Database!$A$2:$A$500, Result_Database!F$2:F$500),
  _xlfn.IFNA(_xlpm.result, "")
)</f>
        <v/>
      </c>
      <c r="H244" t="str">
        <f>_xlfn.LET(
  _xlpm.result, _xlfn.XLOOKUP($B244, Result_Database!$A$2:$A$500, Result_Database!G$2:G$500),
  _xlfn.IFNA(_xlpm.result, "")
)</f>
        <v/>
      </c>
      <c r="I244" t="str">
        <f>_xlfn.LET(
  _xlpm.result, _xlfn.XLOOKUP($B244, Result_Database!$A$2:$A$500, Result_Database!H$2:H$500),
  _xlfn.IFNA(_xlpm.result, "")
)</f>
        <v/>
      </c>
      <c r="J244" t="str">
        <f>_xlfn.LET(
  _xlpm.result, _xlfn.XLOOKUP($B244, Result_Database!$A$2:$A$500, Result_Database!I$2:I$500),
  _xlfn.IFNA(_xlpm.result, "")
)</f>
        <v/>
      </c>
      <c r="K244" t="str">
        <f>_xlfn.LET(
  _xlpm.result, _xlfn.XLOOKUP($B244, Result_Database!$A$2:$A$500, Result_Database!J$2:J$500),
  _xlfn.IFNA(_xlpm.result, "")
)</f>
        <v/>
      </c>
      <c r="L244" t="str">
        <f>_xlfn.LET(
  _xlpm.result, _xlfn.XLOOKUP($B244, Result_Database!$A$2:$A$500, Result_Database!K$2:K$500),
  _xlfn.IFNA(_xlpm.result, "")
)</f>
        <v/>
      </c>
      <c r="M244" t="str">
        <f>_xlfn.LET(
  _xlpm.result, _xlfn.XLOOKUP($B244, Result_Database!$A$2:$A$500, Result_Database!L$2:L$500),
  _xlfn.IFNA(_xlpm.result, "")
)</f>
        <v/>
      </c>
      <c r="N244" t="str">
        <f>_xlfn.LET(
  _xlpm.result, _xlfn.XLOOKUP($B244, Result_Database!$A$2:$A$500, Result_Database!M$2:M$500),
  _xlfn.IFNA(_xlpm.result, "")
)</f>
        <v/>
      </c>
      <c r="O244" t="str">
        <f>_xlfn.LET(
  _xlpm.result, _xlfn.XLOOKUP($B244, Result_Database!$A$2:$A$500, Result_Database!N$2:N$500),
  _xlfn.IFNA(_xlpm.result, "")
)</f>
        <v/>
      </c>
      <c r="P244" t="str">
        <f>_xlfn.LET(
  _xlpm.result, _xlfn.XLOOKUP($B244, Result_Database!$A$2:$A$500, Result_Database!O$2:O$500),
  _xlfn.IFNA(_xlpm.result, "")
)</f>
        <v/>
      </c>
      <c r="Q244" t="str">
        <f>_xlfn.LET(
  _xlpm.result, _xlfn.XLOOKUP($B244, Result_Database!$A$2:$A$500, Result_Database!P$2:P$500),
  _xlfn.IFNA(_xlpm.result, "")
)</f>
        <v/>
      </c>
      <c r="R244" t="str">
        <f>_xlfn.LET(
  _xlpm.result, _xlfn.XLOOKUP($B244, Result_Database!$A$2:$A$500, Result_Database!Q$2:Q$500),
  _xlfn.IFNA(_xlpm.result, "")
)</f>
        <v/>
      </c>
      <c r="S244" t="str">
        <f>_xlfn.LET(
  _xlpm.result, _xlfn.XLOOKUP($B244, Result_Database!$A$2:$A$500, Result_Database!R$2:R$500),
  _xlfn.IFNA(_xlpm.result, "")
)</f>
        <v/>
      </c>
      <c r="T244" t="str">
        <f>_xlfn.LET(
  _xlpm.result, _xlfn.XLOOKUP($B244, Result_Database!$A$2:$A$500, Result_Database!S$2:S$500),
  _xlfn.IFNA(_xlpm.result, "")
)</f>
        <v/>
      </c>
      <c r="U244" t="str">
        <f>_xlfn.LET(
  _xlpm.result, _xlfn.XLOOKUP($B244, Result_Database!$A$2:$A$500, Result_Database!T$2:T$500),
  _xlfn.IFNA(_xlpm.result, "")
)</f>
        <v/>
      </c>
      <c r="V244" t="str">
        <f>_xlfn.LET(
  _xlpm.result, _xlfn.XLOOKUP($B244, Result_Database!$A$2:$A$500, Result_Database!U$2:U$500),
  _xlfn.IFNA(_xlpm.result, "")
)</f>
        <v/>
      </c>
      <c r="W244" t="str">
        <f>_xlfn.LET(
  _xlpm.result, _xlfn.XLOOKUP($B244, Result_Database!$A$2:$A$500, Result_Database!V$2:V$500),
  _xlfn.IFNA(_xlpm.result, "")
)</f>
        <v/>
      </c>
      <c r="X244" t="str">
        <f>_xlfn.LET(
  _xlpm.result, _xlfn.XLOOKUP($B244, Result_Database!$A$2:$A$500, Result_Database!W$2:W$500),
  _xlfn.IFNA(_xlpm.result, "")
)</f>
        <v/>
      </c>
      <c r="Y244" t="str">
        <f>_xlfn.LET(
  _xlpm.result, _xlfn.XLOOKUP($B244, Result_Database!$A$2:$A$500, Result_Database!X$2:X$500),
  _xlfn.IFNA(_xlpm.result, "")
)</f>
        <v/>
      </c>
      <c r="Z244" t="str">
        <f>_xlfn.LET(
  _xlpm.result, _xlfn.XLOOKUP($B244, Result_Database!$A$2:$A$500, Result_Database!Y$2:Y$500),
  _xlfn.IFNA(_xlpm.result, "")
)</f>
        <v/>
      </c>
      <c r="AA244" t="str">
        <f>_xlfn.LET(
  _xlpm.result, _xlfn.XLOOKUP($B244, Result_Database!$A$2:$A$500, Result_Database!Z$2:Z$500),
  _xlfn.IFNA(_xlpm.result, "")
)</f>
        <v/>
      </c>
      <c r="AB244" t="str">
        <f>_xlfn.LET(
  _xlpm.result, _xlfn.XLOOKUP($B244, Result_Database!$A$2:$A$500, Result_Database!AA$2:AA$500),
  _xlfn.IFNA(_xlpm.result, "")
)</f>
        <v/>
      </c>
      <c r="AC244" t="str">
        <f>_xlfn.LET(
  _xlpm.result, _xlfn.XLOOKUP($B244, Result_Database!$A$2:$A$500, Result_Database!AB$2:AB$500),
  _xlfn.IFNA(_xlpm.result, "")
)</f>
        <v/>
      </c>
      <c r="AD244" t="str">
        <f>_xlfn.LET(
  _xlpm.result, _xlfn.XLOOKUP($B244, Result_Database!$A$2:$A$500, Result_Database!AC$2:AC$500),
  _xlfn.IFNA(_xlpm.result, "")
)</f>
        <v/>
      </c>
      <c r="AE244" t="str">
        <f>_xlfn.LET(
  _xlpm.result, _xlfn.XLOOKUP($B244, Result_Database!$A$2:$A$500, Result_Database!AD$2:AD$500),
  _xlfn.IFNA(_xlpm.result, "")
)</f>
        <v/>
      </c>
      <c r="AF244" t="str">
        <f>_xlfn.LET(
  _xlpm.result, _xlfn.XLOOKUP($B244, Result_Database!$A$2:$A$500, Result_Database!AE$2:AE$500),
  _xlfn.IFNA(_xlpm.result, "")
)</f>
        <v/>
      </c>
      <c r="AG244" t="str">
        <f>_xlfn.LET(
  _xlpm.result, _xlfn.XLOOKUP($B244, Result_Database!$A$2:$A$500, Result_Database!AF$2:AF$500),
  _xlfn.IFNA(_xlpm.result, "")
)</f>
        <v/>
      </c>
      <c r="AH244" t="str">
        <f>_xlfn.LET(
  _xlpm.result, _xlfn.XLOOKUP($B244, Result_Database!$A$2:$A$500, Result_Database!AG$2:AG$500),
  _xlfn.IFNA(_xlpm.result, "")
)</f>
        <v/>
      </c>
      <c r="AI244" t="str">
        <f>_xlfn.LET(
  _xlpm.result, _xlfn.XLOOKUP($B244, Result_Database!$A$2:$A$500, Result_Database!AH$2:AH$500),
  _xlfn.IFNA(_xlpm.result, "")
)</f>
        <v/>
      </c>
      <c r="AJ244" t="str">
        <f>_xlfn.LET(
  _xlpm.result, _xlfn.XLOOKUP($B244, Result_Database!$A$2:$A$500, Result_Database!AI$2:AI$500),
  _xlfn.IFNA(_xlpm.result, "")
)</f>
        <v/>
      </c>
      <c r="AK244" t="str">
        <f>_xlfn.LET(
  _xlpm.result, _xlfn.XLOOKUP($B244, Result_Database!$A$2:$A$500, Result_Database!AJ$2:AJ$500),
  _xlfn.IFNA(_xlpm.result, "")
)</f>
        <v/>
      </c>
      <c r="AL244" t="str">
        <f>_xlfn.LET(
  _xlpm.result, _xlfn.XLOOKUP($B244, Result_Database!$A$2:$A$500, Result_Database!AK$2:AK$500),
  _xlfn.IFNA(_xlpm.result, "")
)</f>
        <v/>
      </c>
      <c r="AM24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4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4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4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4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4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4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4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4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44" t="str">
        <f>IF(SUM(Table5[[#This Row],[A1]:[C6]])&lt;&gt;0,SUM(Table5[[#This Row],[A1]:[C6]]),"")</f>
        <v/>
      </c>
      <c r="AW244" t="str">
        <f>IF(SUM(Table5[[#This Row],[D7]:[F9]])=0,"",SUM(Table5[[#This Row],[D7]:[F9]]))</f>
        <v/>
      </c>
      <c r="AX24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4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4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4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4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4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44" t="str">
        <f>IF(COUNTIF(Table5[[#This Row],[English Language]:[Electrical/ Electronics]],"WITHHELD")=0,"",COUNTIF(Table5[[#This Row],[English Language]:[Electrical/ Electronics]],"WITHHELD"))</f>
        <v/>
      </c>
      <c r="BE244" t="str">
        <f>IF(SUM(Table5[[#This Row],[NO OF CREDITS]:[BELOW CREDITS]])=0,"",SUM(Table5[[#This Row],[NO OF CREDITS]:[BELOW CREDITS]]))</f>
        <v/>
      </c>
    </row>
    <row r="245" spans="1:57" x14ac:dyDescent="0.3">
      <c r="A245" t="str">
        <f>IF(B245&lt;&gt;"",COUNTA($B$6:B245),"")</f>
        <v/>
      </c>
      <c r="B245" t="str">
        <f>IF(Result_Database!A241="","",Result_Database!A241)</f>
        <v/>
      </c>
      <c r="C245" t="str">
        <f>_xlfn.LET(
_xlpm.result,_xlfn.XLOOKUP($B245,Result_Database!$A$2:$A$500,Result_Database!$B$2:$B$500),
_xlfn.IFNA(_xlpm.result,"")
)</f>
        <v/>
      </c>
      <c r="D245" t="str">
        <f>_xlfn.LET(
  _xlpm.result, _xlfn.XLOOKUP($B245, Result_Database!$A$2:$A$500, Result_Database!C$2:C$500),
  _xlfn.IFNA(_xlpm.result, "")
)</f>
        <v/>
      </c>
      <c r="E245" t="str">
        <f>_xlfn.LET(
  _xlpm.result, _xlfn.XLOOKUP($B245, Result_Database!$A$2:$A$500, Result_Database!D$2:D$500),
  _xlfn.IFNA(_xlpm.result, "")
)</f>
        <v/>
      </c>
      <c r="F245" t="str">
        <f>_xlfn.LET(
  _xlpm.result, _xlfn.XLOOKUP($B245, Result_Database!$A$2:$A$500, Result_Database!E$2:E$500),
  _xlfn.IFNA(_xlpm.result, "")
)</f>
        <v/>
      </c>
      <c r="G245" t="str">
        <f>_xlfn.LET(
  _xlpm.result, _xlfn.XLOOKUP($B245, Result_Database!$A$2:$A$500, Result_Database!F$2:F$500),
  _xlfn.IFNA(_xlpm.result, "")
)</f>
        <v/>
      </c>
      <c r="H245" t="str">
        <f>_xlfn.LET(
  _xlpm.result, _xlfn.XLOOKUP($B245, Result_Database!$A$2:$A$500, Result_Database!G$2:G$500),
  _xlfn.IFNA(_xlpm.result, "")
)</f>
        <v/>
      </c>
      <c r="I245" t="str">
        <f>_xlfn.LET(
  _xlpm.result, _xlfn.XLOOKUP($B245, Result_Database!$A$2:$A$500, Result_Database!H$2:H$500),
  _xlfn.IFNA(_xlpm.result, "")
)</f>
        <v/>
      </c>
      <c r="J245" t="str">
        <f>_xlfn.LET(
  _xlpm.result, _xlfn.XLOOKUP($B245, Result_Database!$A$2:$A$500, Result_Database!I$2:I$500),
  _xlfn.IFNA(_xlpm.result, "")
)</f>
        <v/>
      </c>
      <c r="K245" t="str">
        <f>_xlfn.LET(
  _xlpm.result, _xlfn.XLOOKUP($B245, Result_Database!$A$2:$A$500, Result_Database!J$2:J$500),
  _xlfn.IFNA(_xlpm.result, "")
)</f>
        <v/>
      </c>
      <c r="L245" t="str">
        <f>_xlfn.LET(
  _xlpm.result, _xlfn.XLOOKUP($B245, Result_Database!$A$2:$A$500, Result_Database!K$2:K$500),
  _xlfn.IFNA(_xlpm.result, "")
)</f>
        <v/>
      </c>
      <c r="M245" t="str">
        <f>_xlfn.LET(
  _xlpm.result, _xlfn.XLOOKUP($B245, Result_Database!$A$2:$A$500, Result_Database!L$2:L$500),
  _xlfn.IFNA(_xlpm.result, "")
)</f>
        <v/>
      </c>
      <c r="N245" t="str">
        <f>_xlfn.LET(
  _xlpm.result, _xlfn.XLOOKUP($B245, Result_Database!$A$2:$A$500, Result_Database!M$2:M$500),
  _xlfn.IFNA(_xlpm.result, "")
)</f>
        <v/>
      </c>
      <c r="O245" t="str">
        <f>_xlfn.LET(
  _xlpm.result, _xlfn.XLOOKUP($B245, Result_Database!$A$2:$A$500, Result_Database!N$2:N$500),
  _xlfn.IFNA(_xlpm.result, "")
)</f>
        <v/>
      </c>
      <c r="P245" t="str">
        <f>_xlfn.LET(
  _xlpm.result, _xlfn.XLOOKUP($B245, Result_Database!$A$2:$A$500, Result_Database!O$2:O$500),
  _xlfn.IFNA(_xlpm.result, "")
)</f>
        <v/>
      </c>
      <c r="Q245" t="str">
        <f>_xlfn.LET(
  _xlpm.result, _xlfn.XLOOKUP($B245, Result_Database!$A$2:$A$500, Result_Database!P$2:P$500),
  _xlfn.IFNA(_xlpm.result, "")
)</f>
        <v/>
      </c>
      <c r="R245" t="str">
        <f>_xlfn.LET(
  _xlpm.result, _xlfn.XLOOKUP($B245, Result_Database!$A$2:$A$500, Result_Database!Q$2:Q$500),
  _xlfn.IFNA(_xlpm.result, "")
)</f>
        <v/>
      </c>
      <c r="S245" t="str">
        <f>_xlfn.LET(
  _xlpm.result, _xlfn.XLOOKUP($B245, Result_Database!$A$2:$A$500, Result_Database!R$2:R$500),
  _xlfn.IFNA(_xlpm.result, "")
)</f>
        <v/>
      </c>
      <c r="T245" t="str">
        <f>_xlfn.LET(
  _xlpm.result, _xlfn.XLOOKUP($B245, Result_Database!$A$2:$A$500, Result_Database!S$2:S$500),
  _xlfn.IFNA(_xlpm.result, "")
)</f>
        <v/>
      </c>
      <c r="U245" t="str">
        <f>_xlfn.LET(
  _xlpm.result, _xlfn.XLOOKUP($B245, Result_Database!$A$2:$A$500, Result_Database!T$2:T$500),
  _xlfn.IFNA(_xlpm.result, "")
)</f>
        <v/>
      </c>
      <c r="V245" t="str">
        <f>_xlfn.LET(
  _xlpm.result, _xlfn.XLOOKUP($B245, Result_Database!$A$2:$A$500, Result_Database!U$2:U$500),
  _xlfn.IFNA(_xlpm.result, "")
)</f>
        <v/>
      </c>
      <c r="W245" t="str">
        <f>_xlfn.LET(
  _xlpm.result, _xlfn.XLOOKUP($B245, Result_Database!$A$2:$A$500, Result_Database!V$2:V$500),
  _xlfn.IFNA(_xlpm.result, "")
)</f>
        <v/>
      </c>
      <c r="X245" t="str">
        <f>_xlfn.LET(
  _xlpm.result, _xlfn.XLOOKUP($B245, Result_Database!$A$2:$A$500, Result_Database!W$2:W$500),
  _xlfn.IFNA(_xlpm.result, "")
)</f>
        <v/>
      </c>
      <c r="Y245" t="str">
        <f>_xlfn.LET(
  _xlpm.result, _xlfn.XLOOKUP($B245, Result_Database!$A$2:$A$500, Result_Database!X$2:X$500),
  _xlfn.IFNA(_xlpm.result, "")
)</f>
        <v/>
      </c>
      <c r="Z245" t="str">
        <f>_xlfn.LET(
  _xlpm.result, _xlfn.XLOOKUP($B245, Result_Database!$A$2:$A$500, Result_Database!Y$2:Y$500),
  _xlfn.IFNA(_xlpm.result, "")
)</f>
        <v/>
      </c>
      <c r="AA245" t="str">
        <f>_xlfn.LET(
  _xlpm.result, _xlfn.XLOOKUP($B245, Result_Database!$A$2:$A$500, Result_Database!Z$2:Z$500),
  _xlfn.IFNA(_xlpm.result, "")
)</f>
        <v/>
      </c>
      <c r="AB245" t="str">
        <f>_xlfn.LET(
  _xlpm.result, _xlfn.XLOOKUP($B245, Result_Database!$A$2:$A$500, Result_Database!AA$2:AA$500),
  _xlfn.IFNA(_xlpm.result, "")
)</f>
        <v/>
      </c>
      <c r="AC245" t="str">
        <f>_xlfn.LET(
  _xlpm.result, _xlfn.XLOOKUP($B245, Result_Database!$A$2:$A$500, Result_Database!AB$2:AB$500),
  _xlfn.IFNA(_xlpm.result, "")
)</f>
        <v/>
      </c>
      <c r="AD245" t="str">
        <f>_xlfn.LET(
  _xlpm.result, _xlfn.XLOOKUP($B245, Result_Database!$A$2:$A$500, Result_Database!AC$2:AC$500),
  _xlfn.IFNA(_xlpm.result, "")
)</f>
        <v/>
      </c>
      <c r="AE245" t="str">
        <f>_xlfn.LET(
  _xlpm.result, _xlfn.XLOOKUP($B245, Result_Database!$A$2:$A$500, Result_Database!AD$2:AD$500),
  _xlfn.IFNA(_xlpm.result, "")
)</f>
        <v/>
      </c>
      <c r="AF245" t="str">
        <f>_xlfn.LET(
  _xlpm.result, _xlfn.XLOOKUP($B245, Result_Database!$A$2:$A$500, Result_Database!AE$2:AE$500),
  _xlfn.IFNA(_xlpm.result, "")
)</f>
        <v/>
      </c>
      <c r="AG245" t="str">
        <f>_xlfn.LET(
  _xlpm.result, _xlfn.XLOOKUP($B245, Result_Database!$A$2:$A$500, Result_Database!AF$2:AF$500),
  _xlfn.IFNA(_xlpm.result, "")
)</f>
        <v/>
      </c>
      <c r="AH245" t="str">
        <f>_xlfn.LET(
  _xlpm.result, _xlfn.XLOOKUP($B245, Result_Database!$A$2:$A$500, Result_Database!AG$2:AG$500),
  _xlfn.IFNA(_xlpm.result, "")
)</f>
        <v/>
      </c>
      <c r="AI245" t="str">
        <f>_xlfn.LET(
  _xlpm.result, _xlfn.XLOOKUP($B245, Result_Database!$A$2:$A$500, Result_Database!AH$2:AH$500),
  _xlfn.IFNA(_xlpm.result, "")
)</f>
        <v/>
      </c>
      <c r="AJ245" t="str">
        <f>_xlfn.LET(
  _xlpm.result, _xlfn.XLOOKUP($B245, Result_Database!$A$2:$A$500, Result_Database!AI$2:AI$500),
  _xlfn.IFNA(_xlpm.result, "")
)</f>
        <v/>
      </c>
      <c r="AK245" t="str">
        <f>_xlfn.LET(
  _xlpm.result, _xlfn.XLOOKUP($B245, Result_Database!$A$2:$A$500, Result_Database!AJ$2:AJ$500),
  _xlfn.IFNA(_xlpm.result, "")
)</f>
        <v/>
      </c>
      <c r="AL245" t="str">
        <f>_xlfn.LET(
  _xlpm.result, _xlfn.XLOOKUP($B245, Result_Database!$A$2:$A$500, Result_Database!AK$2:AK$500),
  _xlfn.IFNA(_xlpm.result, "")
)</f>
        <v/>
      </c>
      <c r="AM24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4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4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4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4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4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4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4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4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45" t="str">
        <f>IF(SUM(Table5[[#This Row],[A1]:[C6]])&lt;&gt;0,SUM(Table5[[#This Row],[A1]:[C6]]),"")</f>
        <v/>
      </c>
      <c r="AW245" t="str">
        <f>IF(SUM(Table5[[#This Row],[D7]:[F9]])=0,"",SUM(Table5[[#This Row],[D7]:[F9]]))</f>
        <v/>
      </c>
      <c r="AX24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4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4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4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4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4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45" t="str">
        <f>IF(COUNTIF(Table5[[#This Row],[English Language]:[Electrical/ Electronics]],"WITHHELD")=0,"",COUNTIF(Table5[[#This Row],[English Language]:[Electrical/ Electronics]],"WITHHELD"))</f>
        <v/>
      </c>
      <c r="BE245" t="str">
        <f>IF(SUM(Table5[[#This Row],[NO OF CREDITS]:[BELOW CREDITS]])=0,"",SUM(Table5[[#This Row],[NO OF CREDITS]:[BELOW CREDITS]]))</f>
        <v/>
      </c>
    </row>
    <row r="246" spans="1:57" x14ac:dyDescent="0.3">
      <c r="A246" t="str">
        <f>IF(B246&lt;&gt;"",COUNTA($B$6:B246),"")</f>
        <v/>
      </c>
      <c r="B246" t="str">
        <f>IF(Result_Database!A242="","",Result_Database!A242)</f>
        <v/>
      </c>
      <c r="C246" t="str">
        <f>_xlfn.LET(
_xlpm.result,_xlfn.XLOOKUP($B246,Result_Database!$A$2:$A$500,Result_Database!$B$2:$B$500),
_xlfn.IFNA(_xlpm.result,"")
)</f>
        <v/>
      </c>
      <c r="D246" t="str">
        <f>_xlfn.LET(
  _xlpm.result, _xlfn.XLOOKUP($B246, Result_Database!$A$2:$A$500, Result_Database!C$2:C$500),
  _xlfn.IFNA(_xlpm.result, "")
)</f>
        <v/>
      </c>
      <c r="E246" t="str">
        <f>_xlfn.LET(
  _xlpm.result, _xlfn.XLOOKUP($B246, Result_Database!$A$2:$A$500, Result_Database!D$2:D$500),
  _xlfn.IFNA(_xlpm.result, "")
)</f>
        <v/>
      </c>
      <c r="F246" t="str">
        <f>_xlfn.LET(
  _xlpm.result, _xlfn.XLOOKUP($B246, Result_Database!$A$2:$A$500, Result_Database!E$2:E$500),
  _xlfn.IFNA(_xlpm.result, "")
)</f>
        <v/>
      </c>
      <c r="G246" t="str">
        <f>_xlfn.LET(
  _xlpm.result, _xlfn.XLOOKUP($B246, Result_Database!$A$2:$A$500, Result_Database!F$2:F$500),
  _xlfn.IFNA(_xlpm.result, "")
)</f>
        <v/>
      </c>
      <c r="H246" t="str">
        <f>_xlfn.LET(
  _xlpm.result, _xlfn.XLOOKUP($B246, Result_Database!$A$2:$A$500, Result_Database!G$2:G$500),
  _xlfn.IFNA(_xlpm.result, "")
)</f>
        <v/>
      </c>
      <c r="I246" t="str">
        <f>_xlfn.LET(
  _xlpm.result, _xlfn.XLOOKUP($B246, Result_Database!$A$2:$A$500, Result_Database!H$2:H$500),
  _xlfn.IFNA(_xlpm.result, "")
)</f>
        <v/>
      </c>
      <c r="J246" t="str">
        <f>_xlfn.LET(
  _xlpm.result, _xlfn.XLOOKUP($B246, Result_Database!$A$2:$A$500, Result_Database!I$2:I$500),
  _xlfn.IFNA(_xlpm.result, "")
)</f>
        <v/>
      </c>
      <c r="K246" t="str">
        <f>_xlfn.LET(
  _xlpm.result, _xlfn.XLOOKUP($B246, Result_Database!$A$2:$A$500, Result_Database!J$2:J$500),
  _xlfn.IFNA(_xlpm.result, "")
)</f>
        <v/>
      </c>
      <c r="L246" t="str">
        <f>_xlfn.LET(
  _xlpm.result, _xlfn.XLOOKUP($B246, Result_Database!$A$2:$A$500, Result_Database!K$2:K$500),
  _xlfn.IFNA(_xlpm.result, "")
)</f>
        <v/>
      </c>
      <c r="M246" t="str">
        <f>_xlfn.LET(
  _xlpm.result, _xlfn.XLOOKUP($B246, Result_Database!$A$2:$A$500, Result_Database!L$2:L$500),
  _xlfn.IFNA(_xlpm.result, "")
)</f>
        <v/>
      </c>
      <c r="N246" t="str">
        <f>_xlfn.LET(
  _xlpm.result, _xlfn.XLOOKUP($B246, Result_Database!$A$2:$A$500, Result_Database!M$2:M$500),
  _xlfn.IFNA(_xlpm.result, "")
)</f>
        <v/>
      </c>
      <c r="O246" t="str">
        <f>_xlfn.LET(
  _xlpm.result, _xlfn.XLOOKUP($B246, Result_Database!$A$2:$A$500, Result_Database!N$2:N$500),
  _xlfn.IFNA(_xlpm.result, "")
)</f>
        <v/>
      </c>
      <c r="P246" t="str">
        <f>_xlfn.LET(
  _xlpm.result, _xlfn.XLOOKUP($B246, Result_Database!$A$2:$A$500, Result_Database!O$2:O$500),
  _xlfn.IFNA(_xlpm.result, "")
)</f>
        <v/>
      </c>
      <c r="Q246" t="str">
        <f>_xlfn.LET(
  _xlpm.result, _xlfn.XLOOKUP($B246, Result_Database!$A$2:$A$500, Result_Database!P$2:P$500),
  _xlfn.IFNA(_xlpm.result, "")
)</f>
        <v/>
      </c>
      <c r="R246" t="str">
        <f>_xlfn.LET(
  _xlpm.result, _xlfn.XLOOKUP($B246, Result_Database!$A$2:$A$500, Result_Database!Q$2:Q$500),
  _xlfn.IFNA(_xlpm.result, "")
)</f>
        <v/>
      </c>
      <c r="S246" t="str">
        <f>_xlfn.LET(
  _xlpm.result, _xlfn.XLOOKUP($B246, Result_Database!$A$2:$A$500, Result_Database!R$2:R$500),
  _xlfn.IFNA(_xlpm.result, "")
)</f>
        <v/>
      </c>
      <c r="T246" t="str">
        <f>_xlfn.LET(
  _xlpm.result, _xlfn.XLOOKUP($B246, Result_Database!$A$2:$A$500, Result_Database!S$2:S$500),
  _xlfn.IFNA(_xlpm.result, "")
)</f>
        <v/>
      </c>
      <c r="U246" t="str">
        <f>_xlfn.LET(
  _xlpm.result, _xlfn.XLOOKUP($B246, Result_Database!$A$2:$A$500, Result_Database!T$2:T$500),
  _xlfn.IFNA(_xlpm.result, "")
)</f>
        <v/>
      </c>
      <c r="V246" t="str">
        <f>_xlfn.LET(
  _xlpm.result, _xlfn.XLOOKUP($B246, Result_Database!$A$2:$A$500, Result_Database!U$2:U$500),
  _xlfn.IFNA(_xlpm.result, "")
)</f>
        <v/>
      </c>
      <c r="W246" t="str">
        <f>_xlfn.LET(
  _xlpm.result, _xlfn.XLOOKUP($B246, Result_Database!$A$2:$A$500, Result_Database!V$2:V$500),
  _xlfn.IFNA(_xlpm.result, "")
)</f>
        <v/>
      </c>
      <c r="X246" t="str">
        <f>_xlfn.LET(
  _xlpm.result, _xlfn.XLOOKUP($B246, Result_Database!$A$2:$A$500, Result_Database!W$2:W$500),
  _xlfn.IFNA(_xlpm.result, "")
)</f>
        <v/>
      </c>
      <c r="Y246" t="str">
        <f>_xlfn.LET(
  _xlpm.result, _xlfn.XLOOKUP($B246, Result_Database!$A$2:$A$500, Result_Database!X$2:X$500),
  _xlfn.IFNA(_xlpm.result, "")
)</f>
        <v/>
      </c>
      <c r="Z246" t="str">
        <f>_xlfn.LET(
  _xlpm.result, _xlfn.XLOOKUP($B246, Result_Database!$A$2:$A$500, Result_Database!Y$2:Y$500),
  _xlfn.IFNA(_xlpm.result, "")
)</f>
        <v/>
      </c>
      <c r="AA246" t="str">
        <f>_xlfn.LET(
  _xlpm.result, _xlfn.XLOOKUP($B246, Result_Database!$A$2:$A$500, Result_Database!Z$2:Z$500),
  _xlfn.IFNA(_xlpm.result, "")
)</f>
        <v/>
      </c>
      <c r="AB246" t="str">
        <f>_xlfn.LET(
  _xlpm.result, _xlfn.XLOOKUP($B246, Result_Database!$A$2:$A$500, Result_Database!AA$2:AA$500),
  _xlfn.IFNA(_xlpm.result, "")
)</f>
        <v/>
      </c>
      <c r="AC246" t="str">
        <f>_xlfn.LET(
  _xlpm.result, _xlfn.XLOOKUP($B246, Result_Database!$A$2:$A$500, Result_Database!AB$2:AB$500),
  _xlfn.IFNA(_xlpm.result, "")
)</f>
        <v/>
      </c>
      <c r="AD246" t="str">
        <f>_xlfn.LET(
  _xlpm.result, _xlfn.XLOOKUP($B246, Result_Database!$A$2:$A$500, Result_Database!AC$2:AC$500),
  _xlfn.IFNA(_xlpm.result, "")
)</f>
        <v/>
      </c>
      <c r="AE246" t="str">
        <f>_xlfn.LET(
  _xlpm.result, _xlfn.XLOOKUP($B246, Result_Database!$A$2:$A$500, Result_Database!AD$2:AD$500),
  _xlfn.IFNA(_xlpm.result, "")
)</f>
        <v/>
      </c>
      <c r="AF246" t="str">
        <f>_xlfn.LET(
  _xlpm.result, _xlfn.XLOOKUP($B246, Result_Database!$A$2:$A$500, Result_Database!AE$2:AE$500),
  _xlfn.IFNA(_xlpm.result, "")
)</f>
        <v/>
      </c>
      <c r="AG246" t="str">
        <f>_xlfn.LET(
  _xlpm.result, _xlfn.XLOOKUP($B246, Result_Database!$A$2:$A$500, Result_Database!AF$2:AF$500),
  _xlfn.IFNA(_xlpm.result, "")
)</f>
        <v/>
      </c>
      <c r="AH246" t="str">
        <f>_xlfn.LET(
  _xlpm.result, _xlfn.XLOOKUP($B246, Result_Database!$A$2:$A$500, Result_Database!AG$2:AG$500),
  _xlfn.IFNA(_xlpm.result, "")
)</f>
        <v/>
      </c>
      <c r="AI246" t="str">
        <f>_xlfn.LET(
  _xlpm.result, _xlfn.XLOOKUP($B246, Result_Database!$A$2:$A$500, Result_Database!AH$2:AH$500),
  _xlfn.IFNA(_xlpm.result, "")
)</f>
        <v/>
      </c>
      <c r="AJ246" t="str">
        <f>_xlfn.LET(
  _xlpm.result, _xlfn.XLOOKUP($B246, Result_Database!$A$2:$A$500, Result_Database!AI$2:AI$500),
  _xlfn.IFNA(_xlpm.result, "")
)</f>
        <v/>
      </c>
      <c r="AK246" t="str">
        <f>_xlfn.LET(
  _xlpm.result, _xlfn.XLOOKUP($B246, Result_Database!$A$2:$A$500, Result_Database!AJ$2:AJ$500),
  _xlfn.IFNA(_xlpm.result, "")
)</f>
        <v/>
      </c>
      <c r="AL246" t="str">
        <f>_xlfn.LET(
  _xlpm.result, _xlfn.XLOOKUP($B246, Result_Database!$A$2:$A$500, Result_Database!AK$2:AK$500),
  _xlfn.IFNA(_xlpm.result, "")
)</f>
        <v/>
      </c>
      <c r="AM24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4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4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4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4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4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4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4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4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46" t="str">
        <f>IF(SUM(Table5[[#This Row],[A1]:[C6]])&lt;&gt;0,SUM(Table5[[#This Row],[A1]:[C6]]),"")</f>
        <v/>
      </c>
      <c r="AW246" t="str">
        <f>IF(SUM(Table5[[#This Row],[D7]:[F9]])=0,"",SUM(Table5[[#This Row],[D7]:[F9]]))</f>
        <v/>
      </c>
      <c r="AX24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4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4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4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4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4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46" t="str">
        <f>IF(COUNTIF(Table5[[#This Row],[English Language]:[Electrical/ Electronics]],"WITHHELD")=0,"",COUNTIF(Table5[[#This Row],[English Language]:[Electrical/ Electronics]],"WITHHELD"))</f>
        <v/>
      </c>
      <c r="BE246" t="str">
        <f>IF(SUM(Table5[[#This Row],[NO OF CREDITS]:[BELOW CREDITS]])=0,"",SUM(Table5[[#This Row],[NO OF CREDITS]:[BELOW CREDITS]]))</f>
        <v/>
      </c>
    </row>
    <row r="247" spans="1:57" x14ac:dyDescent="0.3">
      <c r="A247" t="str">
        <f>IF(B247&lt;&gt;"",COUNTA($B$6:B247),"")</f>
        <v/>
      </c>
      <c r="B247" t="str">
        <f>IF(Result_Database!A243="","",Result_Database!A243)</f>
        <v/>
      </c>
      <c r="C247" t="str">
        <f>_xlfn.LET(
_xlpm.result,_xlfn.XLOOKUP($B247,Result_Database!$A$2:$A$500,Result_Database!$B$2:$B$500),
_xlfn.IFNA(_xlpm.result,"")
)</f>
        <v/>
      </c>
      <c r="D247" t="str">
        <f>_xlfn.LET(
  _xlpm.result, _xlfn.XLOOKUP($B247, Result_Database!$A$2:$A$500, Result_Database!C$2:C$500),
  _xlfn.IFNA(_xlpm.result, "")
)</f>
        <v/>
      </c>
      <c r="E247" t="str">
        <f>_xlfn.LET(
  _xlpm.result, _xlfn.XLOOKUP($B247, Result_Database!$A$2:$A$500, Result_Database!D$2:D$500),
  _xlfn.IFNA(_xlpm.result, "")
)</f>
        <v/>
      </c>
      <c r="F247" t="str">
        <f>_xlfn.LET(
  _xlpm.result, _xlfn.XLOOKUP($B247, Result_Database!$A$2:$A$500, Result_Database!E$2:E$500),
  _xlfn.IFNA(_xlpm.result, "")
)</f>
        <v/>
      </c>
      <c r="G247" t="str">
        <f>_xlfn.LET(
  _xlpm.result, _xlfn.XLOOKUP($B247, Result_Database!$A$2:$A$500, Result_Database!F$2:F$500),
  _xlfn.IFNA(_xlpm.result, "")
)</f>
        <v/>
      </c>
      <c r="H247" t="str">
        <f>_xlfn.LET(
  _xlpm.result, _xlfn.XLOOKUP($B247, Result_Database!$A$2:$A$500, Result_Database!G$2:G$500),
  _xlfn.IFNA(_xlpm.result, "")
)</f>
        <v/>
      </c>
      <c r="I247" t="str">
        <f>_xlfn.LET(
  _xlpm.result, _xlfn.XLOOKUP($B247, Result_Database!$A$2:$A$500, Result_Database!H$2:H$500),
  _xlfn.IFNA(_xlpm.result, "")
)</f>
        <v/>
      </c>
      <c r="J247" t="str">
        <f>_xlfn.LET(
  _xlpm.result, _xlfn.XLOOKUP($B247, Result_Database!$A$2:$A$500, Result_Database!I$2:I$500),
  _xlfn.IFNA(_xlpm.result, "")
)</f>
        <v/>
      </c>
      <c r="K247" t="str">
        <f>_xlfn.LET(
  _xlpm.result, _xlfn.XLOOKUP($B247, Result_Database!$A$2:$A$500, Result_Database!J$2:J$500),
  _xlfn.IFNA(_xlpm.result, "")
)</f>
        <v/>
      </c>
      <c r="L247" t="str">
        <f>_xlfn.LET(
  _xlpm.result, _xlfn.XLOOKUP($B247, Result_Database!$A$2:$A$500, Result_Database!K$2:K$500),
  _xlfn.IFNA(_xlpm.result, "")
)</f>
        <v/>
      </c>
      <c r="M247" t="str">
        <f>_xlfn.LET(
  _xlpm.result, _xlfn.XLOOKUP($B247, Result_Database!$A$2:$A$500, Result_Database!L$2:L$500),
  _xlfn.IFNA(_xlpm.result, "")
)</f>
        <v/>
      </c>
      <c r="N247" t="str">
        <f>_xlfn.LET(
  _xlpm.result, _xlfn.XLOOKUP($B247, Result_Database!$A$2:$A$500, Result_Database!M$2:M$500),
  _xlfn.IFNA(_xlpm.result, "")
)</f>
        <v/>
      </c>
      <c r="O247" t="str">
        <f>_xlfn.LET(
  _xlpm.result, _xlfn.XLOOKUP($B247, Result_Database!$A$2:$A$500, Result_Database!N$2:N$500),
  _xlfn.IFNA(_xlpm.result, "")
)</f>
        <v/>
      </c>
      <c r="P247" t="str">
        <f>_xlfn.LET(
  _xlpm.result, _xlfn.XLOOKUP($B247, Result_Database!$A$2:$A$500, Result_Database!O$2:O$500),
  _xlfn.IFNA(_xlpm.result, "")
)</f>
        <v/>
      </c>
      <c r="Q247" t="str">
        <f>_xlfn.LET(
  _xlpm.result, _xlfn.XLOOKUP($B247, Result_Database!$A$2:$A$500, Result_Database!P$2:P$500),
  _xlfn.IFNA(_xlpm.result, "")
)</f>
        <v/>
      </c>
      <c r="R247" t="str">
        <f>_xlfn.LET(
  _xlpm.result, _xlfn.XLOOKUP($B247, Result_Database!$A$2:$A$500, Result_Database!Q$2:Q$500),
  _xlfn.IFNA(_xlpm.result, "")
)</f>
        <v/>
      </c>
      <c r="S247" t="str">
        <f>_xlfn.LET(
  _xlpm.result, _xlfn.XLOOKUP($B247, Result_Database!$A$2:$A$500, Result_Database!R$2:R$500),
  _xlfn.IFNA(_xlpm.result, "")
)</f>
        <v/>
      </c>
      <c r="T247" t="str">
        <f>_xlfn.LET(
  _xlpm.result, _xlfn.XLOOKUP($B247, Result_Database!$A$2:$A$500, Result_Database!S$2:S$500),
  _xlfn.IFNA(_xlpm.result, "")
)</f>
        <v/>
      </c>
      <c r="U247" t="str">
        <f>_xlfn.LET(
  _xlpm.result, _xlfn.XLOOKUP($B247, Result_Database!$A$2:$A$500, Result_Database!T$2:T$500),
  _xlfn.IFNA(_xlpm.result, "")
)</f>
        <v/>
      </c>
      <c r="V247" t="str">
        <f>_xlfn.LET(
  _xlpm.result, _xlfn.XLOOKUP($B247, Result_Database!$A$2:$A$500, Result_Database!U$2:U$500),
  _xlfn.IFNA(_xlpm.result, "")
)</f>
        <v/>
      </c>
      <c r="W247" t="str">
        <f>_xlfn.LET(
  _xlpm.result, _xlfn.XLOOKUP($B247, Result_Database!$A$2:$A$500, Result_Database!V$2:V$500),
  _xlfn.IFNA(_xlpm.result, "")
)</f>
        <v/>
      </c>
      <c r="X247" t="str">
        <f>_xlfn.LET(
  _xlpm.result, _xlfn.XLOOKUP($B247, Result_Database!$A$2:$A$500, Result_Database!W$2:W$500),
  _xlfn.IFNA(_xlpm.result, "")
)</f>
        <v/>
      </c>
      <c r="Y247" t="str">
        <f>_xlfn.LET(
  _xlpm.result, _xlfn.XLOOKUP($B247, Result_Database!$A$2:$A$500, Result_Database!X$2:X$500),
  _xlfn.IFNA(_xlpm.result, "")
)</f>
        <v/>
      </c>
      <c r="Z247" t="str">
        <f>_xlfn.LET(
  _xlpm.result, _xlfn.XLOOKUP($B247, Result_Database!$A$2:$A$500, Result_Database!Y$2:Y$500),
  _xlfn.IFNA(_xlpm.result, "")
)</f>
        <v/>
      </c>
      <c r="AA247" t="str">
        <f>_xlfn.LET(
  _xlpm.result, _xlfn.XLOOKUP($B247, Result_Database!$A$2:$A$500, Result_Database!Z$2:Z$500),
  _xlfn.IFNA(_xlpm.result, "")
)</f>
        <v/>
      </c>
      <c r="AB247" t="str">
        <f>_xlfn.LET(
  _xlpm.result, _xlfn.XLOOKUP($B247, Result_Database!$A$2:$A$500, Result_Database!AA$2:AA$500),
  _xlfn.IFNA(_xlpm.result, "")
)</f>
        <v/>
      </c>
      <c r="AC247" t="str">
        <f>_xlfn.LET(
  _xlpm.result, _xlfn.XLOOKUP($B247, Result_Database!$A$2:$A$500, Result_Database!AB$2:AB$500),
  _xlfn.IFNA(_xlpm.result, "")
)</f>
        <v/>
      </c>
      <c r="AD247" t="str">
        <f>_xlfn.LET(
  _xlpm.result, _xlfn.XLOOKUP($B247, Result_Database!$A$2:$A$500, Result_Database!AC$2:AC$500),
  _xlfn.IFNA(_xlpm.result, "")
)</f>
        <v/>
      </c>
      <c r="AE247" t="str">
        <f>_xlfn.LET(
  _xlpm.result, _xlfn.XLOOKUP($B247, Result_Database!$A$2:$A$500, Result_Database!AD$2:AD$500),
  _xlfn.IFNA(_xlpm.result, "")
)</f>
        <v/>
      </c>
      <c r="AF247" t="str">
        <f>_xlfn.LET(
  _xlpm.result, _xlfn.XLOOKUP($B247, Result_Database!$A$2:$A$500, Result_Database!AE$2:AE$500),
  _xlfn.IFNA(_xlpm.result, "")
)</f>
        <v/>
      </c>
      <c r="AG247" t="str">
        <f>_xlfn.LET(
  _xlpm.result, _xlfn.XLOOKUP($B247, Result_Database!$A$2:$A$500, Result_Database!AF$2:AF$500),
  _xlfn.IFNA(_xlpm.result, "")
)</f>
        <v/>
      </c>
      <c r="AH247" t="str">
        <f>_xlfn.LET(
  _xlpm.result, _xlfn.XLOOKUP($B247, Result_Database!$A$2:$A$500, Result_Database!AG$2:AG$500),
  _xlfn.IFNA(_xlpm.result, "")
)</f>
        <v/>
      </c>
      <c r="AI247" t="str">
        <f>_xlfn.LET(
  _xlpm.result, _xlfn.XLOOKUP($B247, Result_Database!$A$2:$A$500, Result_Database!AH$2:AH$500),
  _xlfn.IFNA(_xlpm.result, "")
)</f>
        <v/>
      </c>
      <c r="AJ247" t="str">
        <f>_xlfn.LET(
  _xlpm.result, _xlfn.XLOOKUP($B247, Result_Database!$A$2:$A$500, Result_Database!AI$2:AI$500),
  _xlfn.IFNA(_xlpm.result, "")
)</f>
        <v/>
      </c>
      <c r="AK247" t="str">
        <f>_xlfn.LET(
  _xlpm.result, _xlfn.XLOOKUP($B247, Result_Database!$A$2:$A$500, Result_Database!AJ$2:AJ$500),
  _xlfn.IFNA(_xlpm.result, "")
)</f>
        <v/>
      </c>
      <c r="AL247" t="str">
        <f>_xlfn.LET(
  _xlpm.result, _xlfn.XLOOKUP($B247, Result_Database!$A$2:$A$500, Result_Database!AK$2:AK$500),
  _xlfn.IFNA(_xlpm.result, "")
)</f>
        <v/>
      </c>
      <c r="AM24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4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4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4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4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4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4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4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4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47" t="str">
        <f>IF(SUM(Table5[[#This Row],[A1]:[C6]])&lt;&gt;0,SUM(Table5[[#This Row],[A1]:[C6]]),"")</f>
        <v/>
      </c>
      <c r="AW247" t="str">
        <f>IF(SUM(Table5[[#This Row],[D7]:[F9]])=0,"",SUM(Table5[[#This Row],[D7]:[F9]]))</f>
        <v/>
      </c>
      <c r="AX24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4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4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4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4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4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47" t="str">
        <f>IF(COUNTIF(Table5[[#This Row],[English Language]:[Electrical/ Electronics]],"WITHHELD")=0,"",COUNTIF(Table5[[#This Row],[English Language]:[Electrical/ Electronics]],"WITHHELD"))</f>
        <v/>
      </c>
      <c r="BE247" t="str">
        <f>IF(SUM(Table5[[#This Row],[NO OF CREDITS]:[BELOW CREDITS]])=0,"",SUM(Table5[[#This Row],[NO OF CREDITS]:[BELOW CREDITS]]))</f>
        <v/>
      </c>
    </row>
    <row r="248" spans="1:57" x14ac:dyDescent="0.3">
      <c r="A248" t="str">
        <f>IF(B248&lt;&gt;"",COUNTA($B$6:B248),"")</f>
        <v/>
      </c>
      <c r="B248" t="str">
        <f>IF(Result_Database!A244="","",Result_Database!A244)</f>
        <v/>
      </c>
      <c r="C248" t="str">
        <f>_xlfn.LET(
_xlpm.result,_xlfn.XLOOKUP($B248,Result_Database!$A$2:$A$500,Result_Database!$B$2:$B$500),
_xlfn.IFNA(_xlpm.result,"")
)</f>
        <v/>
      </c>
      <c r="D248" t="str">
        <f>_xlfn.LET(
  _xlpm.result, _xlfn.XLOOKUP($B248, Result_Database!$A$2:$A$500, Result_Database!C$2:C$500),
  _xlfn.IFNA(_xlpm.result, "")
)</f>
        <v/>
      </c>
      <c r="E248" t="str">
        <f>_xlfn.LET(
  _xlpm.result, _xlfn.XLOOKUP($B248, Result_Database!$A$2:$A$500, Result_Database!D$2:D$500),
  _xlfn.IFNA(_xlpm.result, "")
)</f>
        <v/>
      </c>
      <c r="F248" t="str">
        <f>_xlfn.LET(
  _xlpm.result, _xlfn.XLOOKUP($B248, Result_Database!$A$2:$A$500, Result_Database!E$2:E$500),
  _xlfn.IFNA(_xlpm.result, "")
)</f>
        <v/>
      </c>
      <c r="G248" t="str">
        <f>_xlfn.LET(
  _xlpm.result, _xlfn.XLOOKUP($B248, Result_Database!$A$2:$A$500, Result_Database!F$2:F$500),
  _xlfn.IFNA(_xlpm.result, "")
)</f>
        <v/>
      </c>
      <c r="H248" t="str">
        <f>_xlfn.LET(
  _xlpm.result, _xlfn.XLOOKUP($B248, Result_Database!$A$2:$A$500, Result_Database!G$2:G$500),
  _xlfn.IFNA(_xlpm.result, "")
)</f>
        <v/>
      </c>
      <c r="I248" t="str">
        <f>_xlfn.LET(
  _xlpm.result, _xlfn.XLOOKUP($B248, Result_Database!$A$2:$A$500, Result_Database!H$2:H$500),
  _xlfn.IFNA(_xlpm.result, "")
)</f>
        <v/>
      </c>
      <c r="J248" t="str">
        <f>_xlfn.LET(
  _xlpm.result, _xlfn.XLOOKUP($B248, Result_Database!$A$2:$A$500, Result_Database!I$2:I$500),
  _xlfn.IFNA(_xlpm.result, "")
)</f>
        <v/>
      </c>
      <c r="K248" t="str">
        <f>_xlfn.LET(
  _xlpm.result, _xlfn.XLOOKUP($B248, Result_Database!$A$2:$A$500, Result_Database!J$2:J$500),
  _xlfn.IFNA(_xlpm.result, "")
)</f>
        <v/>
      </c>
      <c r="L248" t="str">
        <f>_xlfn.LET(
  _xlpm.result, _xlfn.XLOOKUP($B248, Result_Database!$A$2:$A$500, Result_Database!K$2:K$500),
  _xlfn.IFNA(_xlpm.result, "")
)</f>
        <v/>
      </c>
      <c r="M248" t="str">
        <f>_xlfn.LET(
  _xlpm.result, _xlfn.XLOOKUP($B248, Result_Database!$A$2:$A$500, Result_Database!L$2:L$500),
  _xlfn.IFNA(_xlpm.result, "")
)</f>
        <v/>
      </c>
      <c r="N248" t="str">
        <f>_xlfn.LET(
  _xlpm.result, _xlfn.XLOOKUP($B248, Result_Database!$A$2:$A$500, Result_Database!M$2:M$500),
  _xlfn.IFNA(_xlpm.result, "")
)</f>
        <v/>
      </c>
      <c r="O248" t="str">
        <f>_xlfn.LET(
  _xlpm.result, _xlfn.XLOOKUP($B248, Result_Database!$A$2:$A$500, Result_Database!N$2:N$500),
  _xlfn.IFNA(_xlpm.result, "")
)</f>
        <v/>
      </c>
      <c r="P248" t="str">
        <f>_xlfn.LET(
  _xlpm.result, _xlfn.XLOOKUP($B248, Result_Database!$A$2:$A$500, Result_Database!O$2:O$500),
  _xlfn.IFNA(_xlpm.result, "")
)</f>
        <v/>
      </c>
      <c r="Q248" t="str">
        <f>_xlfn.LET(
  _xlpm.result, _xlfn.XLOOKUP($B248, Result_Database!$A$2:$A$500, Result_Database!P$2:P$500),
  _xlfn.IFNA(_xlpm.result, "")
)</f>
        <v/>
      </c>
      <c r="R248" t="str">
        <f>_xlfn.LET(
  _xlpm.result, _xlfn.XLOOKUP($B248, Result_Database!$A$2:$A$500, Result_Database!Q$2:Q$500),
  _xlfn.IFNA(_xlpm.result, "")
)</f>
        <v/>
      </c>
      <c r="S248" t="str">
        <f>_xlfn.LET(
  _xlpm.result, _xlfn.XLOOKUP($B248, Result_Database!$A$2:$A$500, Result_Database!R$2:R$500),
  _xlfn.IFNA(_xlpm.result, "")
)</f>
        <v/>
      </c>
      <c r="T248" t="str">
        <f>_xlfn.LET(
  _xlpm.result, _xlfn.XLOOKUP($B248, Result_Database!$A$2:$A$500, Result_Database!S$2:S$500),
  _xlfn.IFNA(_xlpm.result, "")
)</f>
        <v/>
      </c>
      <c r="U248" t="str">
        <f>_xlfn.LET(
  _xlpm.result, _xlfn.XLOOKUP($B248, Result_Database!$A$2:$A$500, Result_Database!T$2:T$500),
  _xlfn.IFNA(_xlpm.result, "")
)</f>
        <v/>
      </c>
      <c r="V248" t="str">
        <f>_xlfn.LET(
  _xlpm.result, _xlfn.XLOOKUP($B248, Result_Database!$A$2:$A$500, Result_Database!U$2:U$500),
  _xlfn.IFNA(_xlpm.result, "")
)</f>
        <v/>
      </c>
      <c r="W248" t="str">
        <f>_xlfn.LET(
  _xlpm.result, _xlfn.XLOOKUP($B248, Result_Database!$A$2:$A$500, Result_Database!V$2:V$500),
  _xlfn.IFNA(_xlpm.result, "")
)</f>
        <v/>
      </c>
      <c r="X248" t="str">
        <f>_xlfn.LET(
  _xlpm.result, _xlfn.XLOOKUP($B248, Result_Database!$A$2:$A$500, Result_Database!W$2:W$500),
  _xlfn.IFNA(_xlpm.result, "")
)</f>
        <v/>
      </c>
      <c r="Y248" t="str">
        <f>_xlfn.LET(
  _xlpm.result, _xlfn.XLOOKUP($B248, Result_Database!$A$2:$A$500, Result_Database!X$2:X$500),
  _xlfn.IFNA(_xlpm.result, "")
)</f>
        <v/>
      </c>
      <c r="Z248" t="str">
        <f>_xlfn.LET(
  _xlpm.result, _xlfn.XLOOKUP($B248, Result_Database!$A$2:$A$500, Result_Database!Y$2:Y$500),
  _xlfn.IFNA(_xlpm.result, "")
)</f>
        <v/>
      </c>
      <c r="AA248" t="str">
        <f>_xlfn.LET(
  _xlpm.result, _xlfn.XLOOKUP($B248, Result_Database!$A$2:$A$500, Result_Database!Z$2:Z$500),
  _xlfn.IFNA(_xlpm.result, "")
)</f>
        <v/>
      </c>
      <c r="AB248" t="str">
        <f>_xlfn.LET(
  _xlpm.result, _xlfn.XLOOKUP($B248, Result_Database!$A$2:$A$500, Result_Database!AA$2:AA$500),
  _xlfn.IFNA(_xlpm.result, "")
)</f>
        <v/>
      </c>
      <c r="AC248" t="str">
        <f>_xlfn.LET(
  _xlpm.result, _xlfn.XLOOKUP($B248, Result_Database!$A$2:$A$500, Result_Database!AB$2:AB$500),
  _xlfn.IFNA(_xlpm.result, "")
)</f>
        <v/>
      </c>
      <c r="AD248" t="str">
        <f>_xlfn.LET(
  _xlpm.result, _xlfn.XLOOKUP($B248, Result_Database!$A$2:$A$500, Result_Database!AC$2:AC$500),
  _xlfn.IFNA(_xlpm.result, "")
)</f>
        <v/>
      </c>
      <c r="AE248" t="str">
        <f>_xlfn.LET(
  _xlpm.result, _xlfn.XLOOKUP($B248, Result_Database!$A$2:$A$500, Result_Database!AD$2:AD$500),
  _xlfn.IFNA(_xlpm.result, "")
)</f>
        <v/>
      </c>
      <c r="AF248" t="str">
        <f>_xlfn.LET(
  _xlpm.result, _xlfn.XLOOKUP($B248, Result_Database!$A$2:$A$500, Result_Database!AE$2:AE$500),
  _xlfn.IFNA(_xlpm.result, "")
)</f>
        <v/>
      </c>
      <c r="AG248" t="str">
        <f>_xlfn.LET(
  _xlpm.result, _xlfn.XLOOKUP($B248, Result_Database!$A$2:$A$500, Result_Database!AF$2:AF$500),
  _xlfn.IFNA(_xlpm.result, "")
)</f>
        <v/>
      </c>
      <c r="AH248" t="str">
        <f>_xlfn.LET(
  _xlpm.result, _xlfn.XLOOKUP($B248, Result_Database!$A$2:$A$500, Result_Database!AG$2:AG$500),
  _xlfn.IFNA(_xlpm.result, "")
)</f>
        <v/>
      </c>
      <c r="AI248" t="str">
        <f>_xlfn.LET(
  _xlpm.result, _xlfn.XLOOKUP($B248, Result_Database!$A$2:$A$500, Result_Database!AH$2:AH$500),
  _xlfn.IFNA(_xlpm.result, "")
)</f>
        <v/>
      </c>
      <c r="AJ248" t="str">
        <f>_xlfn.LET(
  _xlpm.result, _xlfn.XLOOKUP($B248, Result_Database!$A$2:$A$500, Result_Database!AI$2:AI$500),
  _xlfn.IFNA(_xlpm.result, "")
)</f>
        <v/>
      </c>
      <c r="AK248" t="str">
        <f>_xlfn.LET(
  _xlpm.result, _xlfn.XLOOKUP($B248, Result_Database!$A$2:$A$500, Result_Database!AJ$2:AJ$500),
  _xlfn.IFNA(_xlpm.result, "")
)</f>
        <v/>
      </c>
      <c r="AL248" t="str">
        <f>_xlfn.LET(
  _xlpm.result, _xlfn.XLOOKUP($B248, Result_Database!$A$2:$A$500, Result_Database!AK$2:AK$500),
  _xlfn.IFNA(_xlpm.result, "")
)</f>
        <v/>
      </c>
      <c r="AM24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4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4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4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4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4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4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4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4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48" t="str">
        <f>IF(SUM(Table5[[#This Row],[A1]:[C6]])&lt;&gt;0,SUM(Table5[[#This Row],[A1]:[C6]]),"")</f>
        <v/>
      </c>
      <c r="AW248" t="str">
        <f>IF(SUM(Table5[[#This Row],[D7]:[F9]])=0,"",SUM(Table5[[#This Row],[D7]:[F9]]))</f>
        <v/>
      </c>
      <c r="AX24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4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4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4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4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4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48" t="str">
        <f>IF(COUNTIF(Table5[[#This Row],[English Language]:[Electrical/ Electronics]],"WITHHELD")=0,"",COUNTIF(Table5[[#This Row],[English Language]:[Electrical/ Electronics]],"WITHHELD"))</f>
        <v/>
      </c>
      <c r="BE248" t="str">
        <f>IF(SUM(Table5[[#This Row],[NO OF CREDITS]:[BELOW CREDITS]])=0,"",SUM(Table5[[#This Row],[NO OF CREDITS]:[BELOW CREDITS]]))</f>
        <v/>
      </c>
    </row>
    <row r="249" spans="1:57" x14ac:dyDescent="0.3">
      <c r="A249" t="str">
        <f>IF(B249&lt;&gt;"",COUNTA($B$6:B249),"")</f>
        <v/>
      </c>
      <c r="B249" t="str">
        <f>IF(Result_Database!A245="","",Result_Database!A245)</f>
        <v/>
      </c>
      <c r="C249" t="str">
        <f>_xlfn.LET(
_xlpm.result,_xlfn.XLOOKUP($B249,Result_Database!$A$2:$A$500,Result_Database!$B$2:$B$500),
_xlfn.IFNA(_xlpm.result,"")
)</f>
        <v/>
      </c>
      <c r="D249" t="str">
        <f>_xlfn.LET(
  _xlpm.result, _xlfn.XLOOKUP($B249, Result_Database!$A$2:$A$500, Result_Database!C$2:C$500),
  _xlfn.IFNA(_xlpm.result, "")
)</f>
        <v/>
      </c>
      <c r="E249" t="str">
        <f>_xlfn.LET(
  _xlpm.result, _xlfn.XLOOKUP($B249, Result_Database!$A$2:$A$500, Result_Database!D$2:D$500),
  _xlfn.IFNA(_xlpm.result, "")
)</f>
        <v/>
      </c>
      <c r="F249" t="str">
        <f>_xlfn.LET(
  _xlpm.result, _xlfn.XLOOKUP($B249, Result_Database!$A$2:$A$500, Result_Database!E$2:E$500),
  _xlfn.IFNA(_xlpm.result, "")
)</f>
        <v/>
      </c>
      <c r="G249" t="str">
        <f>_xlfn.LET(
  _xlpm.result, _xlfn.XLOOKUP($B249, Result_Database!$A$2:$A$500, Result_Database!F$2:F$500),
  _xlfn.IFNA(_xlpm.result, "")
)</f>
        <v/>
      </c>
      <c r="H249" t="str">
        <f>_xlfn.LET(
  _xlpm.result, _xlfn.XLOOKUP($B249, Result_Database!$A$2:$A$500, Result_Database!G$2:G$500),
  _xlfn.IFNA(_xlpm.result, "")
)</f>
        <v/>
      </c>
      <c r="I249" t="str">
        <f>_xlfn.LET(
  _xlpm.result, _xlfn.XLOOKUP($B249, Result_Database!$A$2:$A$500, Result_Database!H$2:H$500),
  _xlfn.IFNA(_xlpm.result, "")
)</f>
        <v/>
      </c>
      <c r="J249" t="str">
        <f>_xlfn.LET(
  _xlpm.result, _xlfn.XLOOKUP($B249, Result_Database!$A$2:$A$500, Result_Database!I$2:I$500),
  _xlfn.IFNA(_xlpm.result, "")
)</f>
        <v/>
      </c>
      <c r="K249" t="str">
        <f>_xlfn.LET(
  _xlpm.result, _xlfn.XLOOKUP($B249, Result_Database!$A$2:$A$500, Result_Database!J$2:J$500),
  _xlfn.IFNA(_xlpm.result, "")
)</f>
        <v/>
      </c>
      <c r="L249" t="str">
        <f>_xlfn.LET(
  _xlpm.result, _xlfn.XLOOKUP($B249, Result_Database!$A$2:$A$500, Result_Database!K$2:K$500),
  _xlfn.IFNA(_xlpm.result, "")
)</f>
        <v/>
      </c>
      <c r="M249" t="str">
        <f>_xlfn.LET(
  _xlpm.result, _xlfn.XLOOKUP($B249, Result_Database!$A$2:$A$500, Result_Database!L$2:L$500),
  _xlfn.IFNA(_xlpm.result, "")
)</f>
        <v/>
      </c>
      <c r="N249" t="str">
        <f>_xlfn.LET(
  _xlpm.result, _xlfn.XLOOKUP($B249, Result_Database!$A$2:$A$500, Result_Database!M$2:M$500),
  _xlfn.IFNA(_xlpm.result, "")
)</f>
        <v/>
      </c>
      <c r="O249" t="str">
        <f>_xlfn.LET(
  _xlpm.result, _xlfn.XLOOKUP($B249, Result_Database!$A$2:$A$500, Result_Database!N$2:N$500),
  _xlfn.IFNA(_xlpm.result, "")
)</f>
        <v/>
      </c>
      <c r="P249" t="str">
        <f>_xlfn.LET(
  _xlpm.result, _xlfn.XLOOKUP($B249, Result_Database!$A$2:$A$500, Result_Database!O$2:O$500),
  _xlfn.IFNA(_xlpm.result, "")
)</f>
        <v/>
      </c>
      <c r="Q249" t="str">
        <f>_xlfn.LET(
  _xlpm.result, _xlfn.XLOOKUP($B249, Result_Database!$A$2:$A$500, Result_Database!P$2:P$500),
  _xlfn.IFNA(_xlpm.result, "")
)</f>
        <v/>
      </c>
      <c r="R249" t="str">
        <f>_xlfn.LET(
  _xlpm.result, _xlfn.XLOOKUP($B249, Result_Database!$A$2:$A$500, Result_Database!Q$2:Q$500),
  _xlfn.IFNA(_xlpm.result, "")
)</f>
        <v/>
      </c>
      <c r="S249" t="str">
        <f>_xlfn.LET(
  _xlpm.result, _xlfn.XLOOKUP($B249, Result_Database!$A$2:$A$500, Result_Database!R$2:R$500),
  _xlfn.IFNA(_xlpm.result, "")
)</f>
        <v/>
      </c>
      <c r="T249" t="str">
        <f>_xlfn.LET(
  _xlpm.result, _xlfn.XLOOKUP($B249, Result_Database!$A$2:$A$500, Result_Database!S$2:S$500),
  _xlfn.IFNA(_xlpm.result, "")
)</f>
        <v/>
      </c>
      <c r="U249" t="str">
        <f>_xlfn.LET(
  _xlpm.result, _xlfn.XLOOKUP($B249, Result_Database!$A$2:$A$500, Result_Database!T$2:T$500),
  _xlfn.IFNA(_xlpm.result, "")
)</f>
        <v/>
      </c>
      <c r="V249" t="str">
        <f>_xlfn.LET(
  _xlpm.result, _xlfn.XLOOKUP($B249, Result_Database!$A$2:$A$500, Result_Database!U$2:U$500),
  _xlfn.IFNA(_xlpm.result, "")
)</f>
        <v/>
      </c>
      <c r="W249" t="str">
        <f>_xlfn.LET(
  _xlpm.result, _xlfn.XLOOKUP($B249, Result_Database!$A$2:$A$500, Result_Database!V$2:V$500),
  _xlfn.IFNA(_xlpm.result, "")
)</f>
        <v/>
      </c>
      <c r="X249" t="str">
        <f>_xlfn.LET(
  _xlpm.result, _xlfn.XLOOKUP($B249, Result_Database!$A$2:$A$500, Result_Database!W$2:W$500),
  _xlfn.IFNA(_xlpm.result, "")
)</f>
        <v/>
      </c>
      <c r="Y249" t="str">
        <f>_xlfn.LET(
  _xlpm.result, _xlfn.XLOOKUP($B249, Result_Database!$A$2:$A$500, Result_Database!X$2:X$500),
  _xlfn.IFNA(_xlpm.result, "")
)</f>
        <v/>
      </c>
      <c r="Z249" t="str">
        <f>_xlfn.LET(
  _xlpm.result, _xlfn.XLOOKUP($B249, Result_Database!$A$2:$A$500, Result_Database!Y$2:Y$500),
  _xlfn.IFNA(_xlpm.result, "")
)</f>
        <v/>
      </c>
      <c r="AA249" t="str">
        <f>_xlfn.LET(
  _xlpm.result, _xlfn.XLOOKUP($B249, Result_Database!$A$2:$A$500, Result_Database!Z$2:Z$500),
  _xlfn.IFNA(_xlpm.result, "")
)</f>
        <v/>
      </c>
      <c r="AB249" t="str">
        <f>_xlfn.LET(
  _xlpm.result, _xlfn.XLOOKUP($B249, Result_Database!$A$2:$A$500, Result_Database!AA$2:AA$500),
  _xlfn.IFNA(_xlpm.result, "")
)</f>
        <v/>
      </c>
      <c r="AC249" t="str">
        <f>_xlfn.LET(
  _xlpm.result, _xlfn.XLOOKUP($B249, Result_Database!$A$2:$A$500, Result_Database!AB$2:AB$500),
  _xlfn.IFNA(_xlpm.result, "")
)</f>
        <v/>
      </c>
      <c r="AD249" t="str">
        <f>_xlfn.LET(
  _xlpm.result, _xlfn.XLOOKUP($B249, Result_Database!$A$2:$A$500, Result_Database!AC$2:AC$500),
  _xlfn.IFNA(_xlpm.result, "")
)</f>
        <v/>
      </c>
      <c r="AE249" t="str">
        <f>_xlfn.LET(
  _xlpm.result, _xlfn.XLOOKUP($B249, Result_Database!$A$2:$A$500, Result_Database!AD$2:AD$500),
  _xlfn.IFNA(_xlpm.result, "")
)</f>
        <v/>
      </c>
      <c r="AF249" t="str">
        <f>_xlfn.LET(
  _xlpm.result, _xlfn.XLOOKUP($B249, Result_Database!$A$2:$A$500, Result_Database!AE$2:AE$500),
  _xlfn.IFNA(_xlpm.result, "")
)</f>
        <v/>
      </c>
      <c r="AG249" t="str">
        <f>_xlfn.LET(
  _xlpm.result, _xlfn.XLOOKUP($B249, Result_Database!$A$2:$A$500, Result_Database!AF$2:AF$500),
  _xlfn.IFNA(_xlpm.result, "")
)</f>
        <v/>
      </c>
      <c r="AH249" t="str">
        <f>_xlfn.LET(
  _xlpm.result, _xlfn.XLOOKUP($B249, Result_Database!$A$2:$A$500, Result_Database!AG$2:AG$500),
  _xlfn.IFNA(_xlpm.result, "")
)</f>
        <v/>
      </c>
      <c r="AI249" t="str">
        <f>_xlfn.LET(
  _xlpm.result, _xlfn.XLOOKUP($B249, Result_Database!$A$2:$A$500, Result_Database!AH$2:AH$500),
  _xlfn.IFNA(_xlpm.result, "")
)</f>
        <v/>
      </c>
      <c r="AJ249" t="str">
        <f>_xlfn.LET(
  _xlpm.result, _xlfn.XLOOKUP($B249, Result_Database!$A$2:$A$500, Result_Database!AI$2:AI$500),
  _xlfn.IFNA(_xlpm.result, "")
)</f>
        <v/>
      </c>
      <c r="AK249" t="str">
        <f>_xlfn.LET(
  _xlpm.result, _xlfn.XLOOKUP($B249, Result_Database!$A$2:$A$500, Result_Database!AJ$2:AJ$500),
  _xlfn.IFNA(_xlpm.result, "")
)</f>
        <v/>
      </c>
      <c r="AL249" t="str">
        <f>_xlfn.LET(
  _xlpm.result, _xlfn.XLOOKUP($B249, Result_Database!$A$2:$A$500, Result_Database!AK$2:AK$500),
  _xlfn.IFNA(_xlpm.result, "")
)</f>
        <v/>
      </c>
      <c r="AM24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4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4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4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4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4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4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4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4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49" t="str">
        <f>IF(SUM(Table5[[#This Row],[A1]:[C6]])&lt;&gt;0,SUM(Table5[[#This Row],[A1]:[C6]]),"")</f>
        <v/>
      </c>
      <c r="AW249" t="str">
        <f>IF(SUM(Table5[[#This Row],[D7]:[F9]])=0,"",SUM(Table5[[#This Row],[D7]:[F9]]))</f>
        <v/>
      </c>
      <c r="AX24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4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4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4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4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4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49" t="str">
        <f>IF(COUNTIF(Table5[[#This Row],[English Language]:[Electrical/ Electronics]],"WITHHELD")=0,"",COUNTIF(Table5[[#This Row],[English Language]:[Electrical/ Electronics]],"WITHHELD"))</f>
        <v/>
      </c>
      <c r="BE249" t="str">
        <f>IF(SUM(Table5[[#This Row],[NO OF CREDITS]:[BELOW CREDITS]])=0,"",SUM(Table5[[#This Row],[NO OF CREDITS]:[BELOW CREDITS]]))</f>
        <v/>
      </c>
    </row>
    <row r="250" spans="1:57" x14ac:dyDescent="0.3">
      <c r="A250" t="str">
        <f>IF(B250&lt;&gt;"",COUNTA($B$6:B250),"")</f>
        <v/>
      </c>
      <c r="B250" t="str">
        <f>IF(Result_Database!A246="","",Result_Database!A246)</f>
        <v/>
      </c>
      <c r="C250" t="str">
        <f>_xlfn.LET(
_xlpm.result,_xlfn.XLOOKUP($B250,Result_Database!$A$2:$A$500,Result_Database!$B$2:$B$500),
_xlfn.IFNA(_xlpm.result,"")
)</f>
        <v/>
      </c>
      <c r="D250" t="str">
        <f>_xlfn.LET(
  _xlpm.result, _xlfn.XLOOKUP($B250, Result_Database!$A$2:$A$500, Result_Database!C$2:C$500),
  _xlfn.IFNA(_xlpm.result, "")
)</f>
        <v/>
      </c>
      <c r="E250" t="str">
        <f>_xlfn.LET(
  _xlpm.result, _xlfn.XLOOKUP($B250, Result_Database!$A$2:$A$500, Result_Database!D$2:D$500),
  _xlfn.IFNA(_xlpm.result, "")
)</f>
        <v/>
      </c>
      <c r="F250" t="str">
        <f>_xlfn.LET(
  _xlpm.result, _xlfn.XLOOKUP($B250, Result_Database!$A$2:$A$500, Result_Database!E$2:E$500),
  _xlfn.IFNA(_xlpm.result, "")
)</f>
        <v/>
      </c>
      <c r="G250" t="str">
        <f>_xlfn.LET(
  _xlpm.result, _xlfn.XLOOKUP($B250, Result_Database!$A$2:$A$500, Result_Database!F$2:F$500),
  _xlfn.IFNA(_xlpm.result, "")
)</f>
        <v/>
      </c>
      <c r="H250" t="str">
        <f>_xlfn.LET(
  _xlpm.result, _xlfn.XLOOKUP($B250, Result_Database!$A$2:$A$500, Result_Database!G$2:G$500),
  _xlfn.IFNA(_xlpm.result, "")
)</f>
        <v/>
      </c>
      <c r="I250" t="str">
        <f>_xlfn.LET(
  _xlpm.result, _xlfn.XLOOKUP($B250, Result_Database!$A$2:$A$500, Result_Database!H$2:H$500),
  _xlfn.IFNA(_xlpm.result, "")
)</f>
        <v/>
      </c>
      <c r="J250" t="str">
        <f>_xlfn.LET(
  _xlpm.result, _xlfn.XLOOKUP($B250, Result_Database!$A$2:$A$500, Result_Database!I$2:I$500),
  _xlfn.IFNA(_xlpm.result, "")
)</f>
        <v/>
      </c>
      <c r="K250" t="str">
        <f>_xlfn.LET(
  _xlpm.result, _xlfn.XLOOKUP($B250, Result_Database!$A$2:$A$500, Result_Database!J$2:J$500),
  _xlfn.IFNA(_xlpm.result, "")
)</f>
        <v/>
      </c>
      <c r="L250" t="str">
        <f>_xlfn.LET(
  _xlpm.result, _xlfn.XLOOKUP($B250, Result_Database!$A$2:$A$500, Result_Database!K$2:K$500),
  _xlfn.IFNA(_xlpm.result, "")
)</f>
        <v/>
      </c>
      <c r="M250" t="str">
        <f>_xlfn.LET(
  _xlpm.result, _xlfn.XLOOKUP($B250, Result_Database!$A$2:$A$500, Result_Database!L$2:L$500),
  _xlfn.IFNA(_xlpm.result, "")
)</f>
        <v/>
      </c>
      <c r="N250" t="str">
        <f>_xlfn.LET(
  _xlpm.result, _xlfn.XLOOKUP($B250, Result_Database!$A$2:$A$500, Result_Database!M$2:M$500),
  _xlfn.IFNA(_xlpm.result, "")
)</f>
        <v/>
      </c>
      <c r="O250" t="str">
        <f>_xlfn.LET(
  _xlpm.result, _xlfn.XLOOKUP($B250, Result_Database!$A$2:$A$500, Result_Database!N$2:N$500),
  _xlfn.IFNA(_xlpm.result, "")
)</f>
        <v/>
      </c>
      <c r="P250" t="str">
        <f>_xlfn.LET(
  _xlpm.result, _xlfn.XLOOKUP($B250, Result_Database!$A$2:$A$500, Result_Database!O$2:O$500),
  _xlfn.IFNA(_xlpm.result, "")
)</f>
        <v/>
      </c>
      <c r="Q250" t="str">
        <f>_xlfn.LET(
  _xlpm.result, _xlfn.XLOOKUP($B250, Result_Database!$A$2:$A$500, Result_Database!P$2:P$500),
  _xlfn.IFNA(_xlpm.result, "")
)</f>
        <v/>
      </c>
      <c r="R250" t="str">
        <f>_xlfn.LET(
  _xlpm.result, _xlfn.XLOOKUP($B250, Result_Database!$A$2:$A$500, Result_Database!Q$2:Q$500),
  _xlfn.IFNA(_xlpm.result, "")
)</f>
        <v/>
      </c>
      <c r="S250" t="str">
        <f>_xlfn.LET(
  _xlpm.result, _xlfn.XLOOKUP($B250, Result_Database!$A$2:$A$500, Result_Database!R$2:R$500),
  _xlfn.IFNA(_xlpm.result, "")
)</f>
        <v/>
      </c>
      <c r="T250" t="str">
        <f>_xlfn.LET(
  _xlpm.result, _xlfn.XLOOKUP($B250, Result_Database!$A$2:$A$500, Result_Database!S$2:S$500),
  _xlfn.IFNA(_xlpm.result, "")
)</f>
        <v/>
      </c>
      <c r="U250" t="str">
        <f>_xlfn.LET(
  _xlpm.result, _xlfn.XLOOKUP($B250, Result_Database!$A$2:$A$500, Result_Database!T$2:T$500),
  _xlfn.IFNA(_xlpm.result, "")
)</f>
        <v/>
      </c>
      <c r="V250" t="str">
        <f>_xlfn.LET(
  _xlpm.result, _xlfn.XLOOKUP($B250, Result_Database!$A$2:$A$500, Result_Database!U$2:U$500),
  _xlfn.IFNA(_xlpm.result, "")
)</f>
        <v/>
      </c>
      <c r="W250" t="str">
        <f>_xlfn.LET(
  _xlpm.result, _xlfn.XLOOKUP($B250, Result_Database!$A$2:$A$500, Result_Database!V$2:V$500),
  _xlfn.IFNA(_xlpm.result, "")
)</f>
        <v/>
      </c>
      <c r="X250" t="str">
        <f>_xlfn.LET(
  _xlpm.result, _xlfn.XLOOKUP($B250, Result_Database!$A$2:$A$500, Result_Database!W$2:W$500),
  _xlfn.IFNA(_xlpm.result, "")
)</f>
        <v/>
      </c>
      <c r="Y250" t="str">
        <f>_xlfn.LET(
  _xlpm.result, _xlfn.XLOOKUP($B250, Result_Database!$A$2:$A$500, Result_Database!X$2:X$500),
  _xlfn.IFNA(_xlpm.result, "")
)</f>
        <v/>
      </c>
      <c r="Z250" t="str">
        <f>_xlfn.LET(
  _xlpm.result, _xlfn.XLOOKUP($B250, Result_Database!$A$2:$A$500, Result_Database!Y$2:Y$500),
  _xlfn.IFNA(_xlpm.result, "")
)</f>
        <v/>
      </c>
      <c r="AA250" t="str">
        <f>_xlfn.LET(
  _xlpm.result, _xlfn.XLOOKUP($B250, Result_Database!$A$2:$A$500, Result_Database!Z$2:Z$500),
  _xlfn.IFNA(_xlpm.result, "")
)</f>
        <v/>
      </c>
      <c r="AB250" t="str">
        <f>_xlfn.LET(
  _xlpm.result, _xlfn.XLOOKUP($B250, Result_Database!$A$2:$A$500, Result_Database!AA$2:AA$500),
  _xlfn.IFNA(_xlpm.result, "")
)</f>
        <v/>
      </c>
      <c r="AC250" t="str">
        <f>_xlfn.LET(
  _xlpm.result, _xlfn.XLOOKUP($B250, Result_Database!$A$2:$A$500, Result_Database!AB$2:AB$500),
  _xlfn.IFNA(_xlpm.result, "")
)</f>
        <v/>
      </c>
      <c r="AD250" t="str">
        <f>_xlfn.LET(
  _xlpm.result, _xlfn.XLOOKUP($B250, Result_Database!$A$2:$A$500, Result_Database!AC$2:AC$500),
  _xlfn.IFNA(_xlpm.result, "")
)</f>
        <v/>
      </c>
      <c r="AE250" t="str">
        <f>_xlfn.LET(
  _xlpm.result, _xlfn.XLOOKUP($B250, Result_Database!$A$2:$A$500, Result_Database!AD$2:AD$500),
  _xlfn.IFNA(_xlpm.result, "")
)</f>
        <v/>
      </c>
      <c r="AF250" t="str">
        <f>_xlfn.LET(
  _xlpm.result, _xlfn.XLOOKUP($B250, Result_Database!$A$2:$A$500, Result_Database!AE$2:AE$500),
  _xlfn.IFNA(_xlpm.result, "")
)</f>
        <v/>
      </c>
      <c r="AG250" t="str">
        <f>_xlfn.LET(
  _xlpm.result, _xlfn.XLOOKUP($B250, Result_Database!$A$2:$A$500, Result_Database!AF$2:AF$500),
  _xlfn.IFNA(_xlpm.result, "")
)</f>
        <v/>
      </c>
      <c r="AH250" t="str">
        <f>_xlfn.LET(
  _xlpm.result, _xlfn.XLOOKUP($B250, Result_Database!$A$2:$A$500, Result_Database!AG$2:AG$500),
  _xlfn.IFNA(_xlpm.result, "")
)</f>
        <v/>
      </c>
      <c r="AI250" t="str">
        <f>_xlfn.LET(
  _xlpm.result, _xlfn.XLOOKUP($B250, Result_Database!$A$2:$A$500, Result_Database!AH$2:AH$500),
  _xlfn.IFNA(_xlpm.result, "")
)</f>
        <v/>
      </c>
      <c r="AJ250" t="str">
        <f>_xlfn.LET(
  _xlpm.result, _xlfn.XLOOKUP($B250, Result_Database!$A$2:$A$500, Result_Database!AI$2:AI$500),
  _xlfn.IFNA(_xlpm.result, "")
)</f>
        <v/>
      </c>
      <c r="AK250" t="str">
        <f>_xlfn.LET(
  _xlpm.result, _xlfn.XLOOKUP($B250, Result_Database!$A$2:$A$500, Result_Database!AJ$2:AJ$500),
  _xlfn.IFNA(_xlpm.result, "")
)</f>
        <v/>
      </c>
      <c r="AL250" t="str">
        <f>_xlfn.LET(
  _xlpm.result, _xlfn.XLOOKUP($B250, Result_Database!$A$2:$A$500, Result_Database!AK$2:AK$500),
  _xlfn.IFNA(_xlpm.result, "")
)</f>
        <v/>
      </c>
      <c r="AM25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5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5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5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5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5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5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5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5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50" t="str">
        <f>IF(SUM(Table5[[#This Row],[A1]:[C6]])&lt;&gt;0,SUM(Table5[[#This Row],[A1]:[C6]]),"")</f>
        <v/>
      </c>
      <c r="AW250" t="str">
        <f>IF(SUM(Table5[[#This Row],[D7]:[F9]])=0,"",SUM(Table5[[#This Row],[D7]:[F9]]))</f>
        <v/>
      </c>
      <c r="AX25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5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5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5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5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5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50" t="str">
        <f>IF(COUNTIF(Table5[[#This Row],[English Language]:[Electrical/ Electronics]],"WITHHELD")=0,"",COUNTIF(Table5[[#This Row],[English Language]:[Electrical/ Electronics]],"WITHHELD"))</f>
        <v/>
      </c>
      <c r="BE250" t="str">
        <f>IF(SUM(Table5[[#This Row],[NO OF CREDITS]:[BELOW CREDITS]])=0,"",SUM(Table5[[#This Row],[NO OF CREDITS]:[BELOW CREDITS]]))</f>
        <v/>
      </c>
    </row>
    <row r="251" spans="1:57" x14ac:dyDescent="0.3">
      <c r="A251" t="str">
        <f>IF(B251&lt;&gt;"",COUNTA($B$6:B251),"")</f>
        <v/>
      </c>
      <c r="B251" t="str">
        <f>IF(Result_Database!A247="","",Result_Database!A247)</f>
        <v/>
      </c>
      <c r="C251" t="str">
        <f>_xlfn.LET(
_xlpm.result,_xlfn.XLOOKUP($B251,Result_Database!$A$2:$A$500,Result_Database!$B$2:$B$500),
_xlfn.IFNA(_xlpm.result,"")
)</f>
        <v/>
      </c>
      <c r="D251" t="str">
        <f>_xlfn.LET(
  _xlpm.result, _xlfn.XLOOKUP($B251, Result_Database!$A$2:$A$500, Result_Database!C$2:C$500),
  _xlfn.IFNA(_xlpm.result, "")
)</f>
        <v/>
      </c>
      <c r="E251" t="str">
        <f>_xlfn.LET(
  _xlpm.result, _xlfn.XLOOKUP($B251, Result_Database!$A$2:$A$500, Result_Database!D$2:D$500),
  _xlfn.IFNA(_xlpm.result, "")
)</f>
        <v/>
      </c>
      <c r="F251" t="str">
        <f>_xlfn.LET(
  _xlpm.result, _xlfn.XLOOKUP($B251, Result_Database!$A$2:$A$500, Result_Database!E$2:E$500),
  _xlfn.IFNA(_xlpm.result, "")
)</f>
        <v/>
      </c>
      <c r="G251" t="str">
        <f>_xlfn.LET(
  _xlpm.result, _xlfn.XLOOKUP($B251, Result_Database!$A$2:$A$500, Result_Database!F$2:F$500),
  _xlfn.IFNA(_xlpm.result, "")
)</f>
        <v/>
      </c>
      <c r="H251" t="str">
        <f>_xlfn.LET(
  _xlpm.result, _xlfn.XLOOKUP($B251, Result_Database!$A$2:$A$500, Result_Database!G$2:G$500),
  _xlfn.IFNA(_xlpm.result, "")
)</f>
        <v/>
      </c>
      <c r="I251" t="str">
        <f>_xlfn.LET(
  _xlpm.result, _xlfn.XLOOKUP($B251, Result_Database!$A$2:$A$500, Result_Database!H$2:H$500),
  _xlfn.IFNA(_xlpm.result, "")
)</f>
        <v/>
      </c>
      <c r="J251" t="str">
        <f>_xlfn.LET(
  _xlpm.result, _xlfn.XLOOKUP($B251, Result_Database!$A$2:$A$500, Result_Database!I$2:I$500),
  _xlfn.IFNA(_xlpm.result, "")
)</f>
        <v/>
      </c>
      <c r="K251" t="str">
        <f>_xlfn.LET(
  _xlpm.result, _xlfn.XLOOKUP($B251, Result_Database!$A$2:$A$500, Result_Database!J$2:J$500),
  _xlfn.IFNA(_xlpm.result, "")
)</f>
        <v/>
      </c>
      <c r="L251" t="str">
        <f>_xlfn.LET(
  _xlpm.result, _xlfn.XLOOKUP($B251, Result_Database!$A$2:$A$500, Result_Database!K$2:K$500),
  _xlfn.IFNA(_xlpm.result, "")
)</f>
        <v/>
      </c>
      <c r="M251" t="str">
        <f>_xlfn.LET(
  _xlpm.result, _xlfn.XLOOKUP($B251, Result_Database!$A$2:$A$500, Result_Database!L$2:L$500),
  _xlfn.IFNA(_xlpm.result, "")
)</f>
        <v/>
      </c>
      <c r="N251" t="str">
        <f>_xlfn.LET(
  _xlpm.result, _xlfn.XLOOKUP($B251, Result_Database!$A$2:$A$500, Result_Database!M$2:M$500),
  _xlfn.IFNA(_xlpm.result, "")
)</f>
        <v/>
      </c>
      <c r="O251" t="str">
        <f>_xlfn.LET(
  _xlpm.result, _xlfn.XLOOKUP($B251, Result_Database!$A$2:$A$500, Result_Database!N$2:N$500),
  _xlfn.IFNA(_xlpm.result, "")
)</f>
        <v/>
      </c>
      <c r="P251" t="str">
        <f>_xlfn.LET(
  _xlpm.result, _xlfn.XLOOKUP($B251, Result_Database!$A$2:$A$500, Result_Database!O$2:O$500),
  _xlfn.IFNA(_xlpm.result, "")
)</f>
        <v/>
      </c>
      <c r="Q251" t="str">
        <f>_xlfn.LET(
  _xlpm.result, _xlfn.XLOOKUP($B251, Result_Database!$A$2:$A$500, Result_Database!P$2:P$500),
  _xlfn.IFNA(_xlpm.result, "")
)</f>
        <v/>
      </c>
      <c r="R251" t="str">
        <f>_xlfn.LET(
  _xlpm.result, _xlfn.XLOOKUP($B251, Result_Database!$A$2:$A$500, Result_Database!Q$2:Q$500),
  _xlfn.IFNA(_xlpm.result, "")
)</f>
        <v/>
      </c>
      <c r="S251" t="str">
        <f>_xlfn.LET(
  _xlpm.result, _xlfn.XLOOKUP($B251, Result_Database!$A$2:$A$500, Result_Database!R$2:R$500),
  _xlfn.IFNA(_xlpm.result, "")
)</f>
        <v/>
      </c>
      <c r="T251" t="str">
        <f>_xlfn.LET(
  _xlpm.result, _xlfn.XLOOKUP($B251, Result_Database!$A$2:$A$500, Result_Database!S$2:S$500),
  _xlfn.IFNA(_xlpm.result, "")
)</f>
        <v/>
      </c>
      <c r="U251" t="str">
        <f>_xlfn.LET(
  _xlpm.result, _xlfn.XLOOKUP($B251, Result_Database!$A$2:$A$500, Result_Database!T$2:T$500),
  _xlfn.IFNA(_xlpm.result, "")
)</f>
        <v/>
      </c>
      <c r="V251" t="str">
        <f>_xlfn.LET(
  _xlpm.result, _xlfn.XLOOKUP($B251, Result_Database!$A$2:$A$500, Result_Database!U$2:U$500),
  _xlfn.IFNA(_xlpm.result, "")
)</f>
        <v/>
      </c>
      <c r="W251" t="str">
        <f>_xlfn.LET(
  _xlpm.result, _xlfn.XLOOKUP($B251, Result_Database!$A$2:$A$500, Result_Database!V$2:V$500),
  _xlfn.IFNA(_xlpm.result, "")
)</f>
        <v/>
      </c>
      <c r="X251" t="str">
        <f>_xlfn.LET(
  _xlpm.result, _xlfn.XLOOKUP($B251, Result_Database!$A$2:$A$500, Result_Database!W$2:W$500),
  _xlfn.IFNA(_xlpm.result, "")
)</f>
        <v/>
      </c>
      <c r="Y251" t="str">
        <f>_xlfn.LET(
  _xlpm.result, _xlfn.XLOOKUP($B251, Result_Database!$A$2:$A$500, Result_Database!X$2:X$500),
  _xlfn.IFNA(_xlpm.result, "")
)</f>
        <v/>
      </c>
      <c r="Z251" t="str">
        <f>_xlfn.LET(
  _xlpm.result, _xlfn.XLOOKUP($B251, Result_Database!$A$2:$A$500, Result_Database!Y$2:Y$500),
  _xlfn.IFNA(_xlpm.result, "")
)</f>
        <v/>
      </c>
      <c r="AA251" t="str">
        <f>_xlfn.LET(
  _xlpm.result, _xlfn.XLOOKUP($B251, Result_Database!$A$2:$A$500, Result_Database!Z$2:Z$500),
  _xlfn.IFNA(_xlpm.result, "")
)</f>
        <v/>
      </c>
      <c r="AB251" t="str">
        <f>_xlfn.LET(
  _xlpm.result, _xlfn.XLOOKUP($B251, Result_Database!$A$2:$A$500, Result_Database!AA$2:AA$500),
  _xlfn.IFNA(_xlpm.result, "")
)</f>
        <v/>
      </c>
      <c r="AC251" t="str">
        <f>_xlfn.LET(
  _xlpm.result, _xlfn.XLOOKUP($B251, Result_Database!$A$2:$A$500, Result_Database!AB$2:AB$500),
  _xlfn.IFNA(_xlpm.result, "")
)</f>
        <v/>
      </c>
      <c r="AD251" t="str">
        <f>_xlfn.LET(
  _xlpm.result, _xlfn.XLOOKUP($B251, Result_Database!$A$2:$A$500, Result_Database!AC$2:AC$500),
  _xlfn.IFNA(_xlpm.result, "")
)</f>
        <v/>
      </c>
      <c r="AE251" t="str">
        <f>_xlfn.LET(
  _xlpm.result, _xlfn.XLOOKUP($B251, Result_Database!$A$2:$A$500, Result_Database!AD$2:AD$500),
  _xlfn.IFNA(_xlpm.result, "")
)</f>
        <v/>
      </c>
      <c r="AF251" t="str">
        <f>_xlfn.LET(
  _xlpm.result, _xlfn.XLOOKUP($B251, Result_Database!$A$2:$A$500, Result_Database!AE$2:AE$500),
  _xlfn.IFNA(_xlpm.result, "")
)</f>
        <v/>
      </c>
      <c r="AG251" t="str">
        <f>_xlfn.LET(
  _xlpm.result, _xlfn.XLOOKUP($B251, Result_Database!$A$2:$A$500, Result_Database!AF$2:AF$500),
  _xlfn.IFNA(_xlpm.result, "")
)</f>
        <v/>
      </c>
      <c r="AH251" t="str">
        <f>_xlfn.LET(
  _xlpm.result, _xlfn.XLOOKUP($B251, Result_Database!$A$2:$A$500, Result_Database!AG$2:AG$500),
  _xlfn.IFNA(_xlpm.result, "")
)</f>
        <v/>
      </c>
      <c r="AI251" t="str">
        <f>_xlfn.LET(
  _xlpm.result, _xlfn.XLOOKUP($B251, Result_Database!$A$2:$A$500, Result_Database!AH$2:AH$500),
  _xlfn.IFNA(_xlpm.result, "")
)</f>
        <v/>
      </c>
      <c r="AJ251" t="str">
        <f>_xlfn.LET(
  _xlpm.result, _xlfn.XLOOKUP($B251, Result_Database!$A$2:$A$500, Result_Database!AI$2:AI$500),
  _xlfn.IFNA(_xlpm.result, "")
)</f>
        <v/>
      </c>
      <c r="AK251" t="str">
        <f>_xlfn.LET(
  _xlpm.result, _xlfn.XLOOKUP($B251, Result_Database!$A$2:$A$500, Result_Database!AJ$2:AJ$500),
  _xlfn.IFNA(_xlpm.result, "")
)</f>
        <v/>
      </c>
      <c r="AL251" t="str">
        <f>_xlfn.LET(
  _xlpm.result, _xlfn.XLOOKUP($B251, Result_Database!$A$2:$A$500, Result_Database!AK$2:AK$500),
  _xlfn.IFNA(_xlpm.result, "")
)</f>
        <v/>
      </c>
      <c r="AM25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5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5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5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5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5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5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5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5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51" t="str">
        <f>IF(SUM(Table5[[#This Row],[A1]:[C6]])&lt;&gt;0,SUM(Table5[[#This Row],[A1]:[C6]]),"")</f>
        <v/>
      </c>
      <c r="AW251" t="str">
        <f>IF(SUM(Table5[[#This Row],[D7]:[F9]])=0,"",SUM(Table5[[#This Row],[D7]:[F9]]))</f>
        <v/>
      </c>
      <c r="AX25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5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5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5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5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5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51" t="str">
        <f>IF(COUNTIF(Table5[[#This Row],[English Language]:[Electrical/ Electronics]],"WITHHELD")=0,"",COUNTIF(Table5[[#This Row],[English Language]:[Electrical/ Electronics]],"WITHHELD"))</f>
        <v/>
      </c>
      <c r="BE251" t="str">
        <f>IF(SUM(Table5[[#This Row],[NO OF CREDITS]:[BELOW CREDITS]])=0,"",SUM(Table5[[#This Row],[NO OF CREDITS]:[BELOW CREDITS]]))</f>
        <v/>
      </c>
    </row>
    <row r="252" spans="1:57" x14ac:dyDescent="0.3">
      <c r="A252" t="str">
        <f>IF(B252&lt;&gt;"",COUNTA($B$6:B252),"")</f>
        <v/>
      </c>
      <c r="B252" t="str">
        <f>IF(Result_Database!A248="","",Result_Database!A248)</f>
        <v/>
      </c>
      <c r="C252" t="str">
        <f>_xlfn.LET(
_xlpm.result,_xlfn.XLOOKUP($B252,Result_Database!$A$2:$A$500,Result_Database!$B$2:$B$500),
_xlfn.IFNA(_xlpm.result,"")
)</f>
        <v/>
      </c>
      <c r="D252" t="str">
        <f>_xlfn.LET(
  _xlpm.result, _xlfn.XLOOKUP($B252, Result_Database!$A$2:$A$500, Result_Database!C$2:C$500),
  _xlfn.IFNA(_xlpm.result, "")
)</f>
        <v/>
      </c>
      <c r="E252" t="str">
        <f>_xlfn.LET(
  _xlpm.result, _xlfn.XLOOKUP($B252, Result_Database!$A$2:$A$500, Result_Database!D$2:D$500),
  _xlfn.IFNA(_xlpm.result, "")
)</f>
        <v/>
      </c>
      <c r="F252" t="str">
        <f>_xlfn.LET(
  _xlpm.result, _xlfn.XLOOKUP($B252, Result_Database!$A$2:$A$500, Result_Database!E$2:E$500),
  _xlfn.IFNA(_xlpm.result, "")
)</f>
        <v/>
      </c>
      <c r="G252" t="str">
        <f>_xlfn.LET(
  _xlpm.result, _xlfn.XLOOKUP($B252, Result_Database!$A$2:$A$500, Result_Database!F$2:F$500),
  _xlfn.IFNA(_xlpm.result, "")
)</f>
        <v/>
      </c>
      <c r="H252" t="str">
        <f>_xlfn.LET(
  _xlpm.result, _xlfn.XLOOKUP($B252, Result_Database!$A$2:$A$500, Result_Database!G$2:G$500),
  _xlfn.IFNA(_xlpm.result, "")
)</f>
        <v/>
      </c>
      <c r="I252" t="str">
        <f>_xlfn.LET(
  _xlpm.result, _xlfn.XLOOKUP($B252, Result_Database!$A$2:$A$500, Result_Database!H$2:H$500),
  _xlfn.IFNA(_xlpm.result, "")
)</f>
        <v/>
      </c>
      <c r="J252" t="str">
        <f>_xlfn.LET(
  _xlpm.result, _xlfn.XLOOKUP($B252, Result_Database!$A$2:$A$500, Result_Database!I$2:I$500),
  _xlfn.IFNA(_xlpm.result, "")
)</f>
        <v/>
      </c>
      <c r="K252" t="str">
        <f>_xlfn.LET(
  _xlpm.result, _xlfn.XLOOKUP($B252, Result_Database!$A$2:$A$500, Result_Database!J$2:J$500),
  _xlfn.IFNA(_xlpm.result, "")
)</f>
        <v/>
      </c>
      <c r="L252" t="str">
        <f>_xlfn.LET(
  _xlpm.result, _xlfn.XLOOKUP($B252, Result_Database!$A$2:$A$500, Result_Database!K$2:K$500),
  _xlfn.IFNA(_xlpm.result, "")
)</f>
        <v/>
      </c>
      <c r="M252" t="str">
        <f>_xlfn.LET(
  _xlpm.result, _xlfn.XLOOKUP($B252, Result_Database!$A$2:$A$500, Result_Database!L$2:L$500),
  _xlfn.IFNA(_xlpm.result, "")
)</f>
        <v/>
      </c>
      <c r="N252" t="str">
        <f>_xlfn.LET(
  _xlpm.result, _xlfn.XLOOKUP($B252, Result_Database!$A$2:$A$500, Result_Database!M$2:M$500),
  _xlfn.IFNA(_xlpm.result, "")
)</f>
        <v/>
      </c>
      <c r="O252" t="str">
        <f>_xlfn.LET(
  _xlpm.result, _xlfn.XLOOKUP($B252, Result_Database!$A$2:$A$500, Result_Database!N$2:N$500),
  _xlfn.IFNA(_xlpm.result, "")
)</f>
        <v/>
      </c>
      <c r="P252" t="str">
        <f>_xlfn.LET(
  _xlpm.result, _xlfn.XLOOKUP($B252, Result_Database!$A$2:$A$500, Result_Database!O$2:O$500),
  _xlfn.IFNA(_xlpm.result, "")
)</f>
        <v/>
      </c>
      <c r="Q252" t="str">
        <f>_xlfn.LET(
  _xlpm.result, _xlfn.XLOOKUP($B252, Result_Database!$A$2:$A$500, Result_Database!P$2:P$500),
  _xlfn.IFNA(_xlpm.result, "")
)</f>
        <v/>
      </c>
      <c r="R252" t="str">
        <f>_xlfn.LET(
  _xlpm.result, _xlfn.XLOOKUP($B252, Result_Database!$A$2:$A$500, Result_Database!Q$2:Q$500),
  _xlfn.IFNA(_xlpm.result, "")
)</f>
        <v/>
      </c>
      <c r="S252" t="str">
        <f>_xlfn.LET(
  _xlpm.result, _xlfn.XLOOKUP($B252, Result_Database!$A$2:$A$500, Result_Database!R$2:R$500),
  _xlfn.IFNA(_xlpm.result, "")
)</f>
        <v/>
      </c>
      <c r="T252" t="str">
        <f>_xlfn.LET(
  _xlpm.result, _xlfn.XLOOKUP($B252, Result_Database!$A$2:$A$500, Result_Database!S$2:S$500),
  _xlfn.IFNA(_xlpm.result, "")
)</f>
        <v/>
      </c>
      <c r="U252" t="str">
        <f>_xlfn.LET(
  _xlpm.result, _xlfn.XLOOKUP($B252, Result_Database!$A$2:$A$500, Result_Database!T$2:T$500),
  _xlfn.IFNA(_xlpm.result, "")
)</f>
        <v/>
      </c>
      <c r="V252" t="str">
        <f>_xlfn.LET(
  _xlpm.result, _xlfn.XLOOKUP($B252, Result_Database!$A$2:$A$500, Result_Database!U$2:U$500),
  _xlfn.IFNA(_xlpm.result, "")
)</f>
        <v/>
      </c>
      <c r="W252" t="str">
        <f>_xlfn.LET(
  _xlpm.result, _xlfn.XLOOKUP($B252, Result_Database!$A$2:$A$500, Result_Database!V$2:V$500),
  _xlfn.IFNA(_xlpm.result, "")
)</f>
        <v/>
      </c>
      <c r="X252" t="str">
        <f>_xlfn.LET(
  _xlpm.result, _xlfn.XLOOKUP($B252, Result_Database!$A$2:$A$500, Result_Database!W$2:W$500),
  _xlfn.IFNA(_xlpm.result, "")
)</f>
        <v/>
      </c>
      <c r="Y252" t="str">
        <f>_xlfn.LET(
  _xlpm.result, _xlfn.XLOOKUP($B252, Result_Database!$A$2:$A$500, Result_Database!X$2:X$500),
  _xlfn.IFNA(_xlpm.result, "")
)</f>
        <v/>
      </c>
      <c r="Z252" t="str">
        <f>_xlfn.LET(
  _xlpm.result, _xlfn.XLOOKUP($B252, Result_Database!$A$2:$A$500, Result_Database!Y$2:Y$500),
  _xlfn.IFNA(_xlpm.result, "")
)</f>
        <v/>
      </c>
      <c r="AA252" t="str">
        <f>_xlfn.LET(
  _xlpm.result, _xlfn.XLOOKUP($B252, Result_Database!$A$2:$A$500, Result_Database!Z$2:Z$500),
  _xlfn.IFNA(_xlpm.result, "")
)</f>
        <v/>
      </c>
      <c r="AB252" t="str">
        <f>_xlfn.LET(
  _xlpm.result, _xlfn.XLOOKUP($B252, Result_Database!$A$2:$A$500, Result_Database!AA$2:AA$500),
  _xlfn.IFNA(_xlpm.result, "")
)</f>
        <v/>
      </c>
      <c r="AC252" t="str">
        <f>_xlfn.LET(
  _xlpm.result, _xlfn.XLOOKUP($B252, Result_Database!$A$2:$A$500, Result_Database!AB$2:AB$500),
  _xlfn.IFNA(_xlpm.result, "")
)</f>
        <v/>
      </c>
      <c r="AD252" t="str">
        <f>_xlfn.LET(
  _xlpm.result, _xlfn.XLOOKUP($B252, Result_Database!$A$2:$A$500, Result_Database!AC$2:AC$500),
  _xlfn.IFNA(_xlpm.result, "")
)</f>
        <v/>
      </c>
      <c r="AE252" t="str">
        <f>_xlfn.LET(
  _xlpm.result, _xlfn.XLOOKUP($B252, Result_Database!$A$2:$A$500, Result_Database!AD$2:AD$500),
  _xlfn.IFNA(_xlpm.result, "")
)</f>
        <v/>
      </c>
      <c r="AF252" t="str">
        <f>_xlfn.LET(
  _xlpm.result, _xlfn.XLOOKUP($B252, Result_Database!$A$2:$A$500, Result_Database!AE$2:AE$500),
  _xlfn.IFNA(_xlpm.result, "")
)</f>
        <v/>
      </c>
      <c r="AG252" t="str">
        <f>_xlfn.LET(
  _xlpm.result, _xlfn.XLOOKUP($B252, Result_Database!$A$2:$A$500, Result_Database!AF$2:AF$500),
  _xlfn.IFNA(_xlpm.result, "")
)</f>
        <v/>
      </c>
      <c r="AH252" t="str">
        <f>_xlfn.LET(
  _xlpm.result, _xlfn.XLOOKUP($B252, Result_Database!$A$2:$A$500, Result_Database!AG$2:AG$500),
  _xlfn.IFNA(_xlpm.result, "")
)</f>
        <v/>
      </c>
      <c r="AI252" t="str">
        <f>_xlfn.LET(
  _xlpm.result, _xlfn.XLOOKUP($B252, Result_Database!$A$2:$A$500, Result_Database!AH$2:AH$500),
  _xlfn.IFNA(_xlpm.result, "")
)</f>
        <v/>
      </c>
      <c r="AJ252" t="str">
        <f>_xlfn.LET(
  _xlpm.result, _xlfn.XLOOKUP($B252, Result_Database!$A$2:$A$500, Result_Database!AI$2:AI$500),
  _xlfn.IFNA(_xlpm.result, "")
)</f>
        <v/>
      </c>
      <c r="AK252" t="str">
        <f>_xlfn.LET(
  _xlpm.result, _xlfn.XLOOKUP($B252, Result_Database!$A$2:$A$500, Result_Database!AJ$2:AJ$500),
  _xlfn.IFNA(_xlpm.result, "")
)</f>
        <v/>
      </c>
      <c r="AL252" t="str">
        <f>_xlfn.LET(
  _xlpm.result, _xlfn.XLOOKUP($B252, Result_Database!$A$2:$A$500, Result_Database!AK$2:AK$500),
  _xlfn.IFNA(_xlpm.result, "")
)</f>
        <v/>
      </c>
      <c r="AM25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5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5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5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5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5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5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5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5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52" t="str">
        <f>IF(SUM(Table5[[#This Row],[A1]:[C6]])&lt;&gt;0,SUM(Table5[[#This Row],[A1]:[C6]]),"")</f>
        <v/>
      </c>
      <c r="AW252" t="str">
        <f>IF(SUM(Table5[[#This Row],[D7]:[F9]])=0,"",SUM(Table5[[#This Row],[D7]:[F9]]))</f>
        <v/>
      </c>
      <c r="AX25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5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5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5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5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5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52" t="str">
        <f>IF(COUNTIF(Table5[[#This Row],[English Language]:[Electrical/ Electronics]],"WITHHELD")=0,"",COUNTIF(Table5[[#This Row],[English Language]:[Electrical/ Electronics]],"WITHHELD"))</f>
        <v/>
      </c>
      <c r="BE252" t="str">
        <f>IF(SUM(Table5[[#This Row],[NO OF CREDITS]:[BELOW CREDITS]])=0,"",SUM(Table5[[#This Row],[NO OF CREDITS]:[BELOW CREDITS]]))</f>
        <v/>
      </c>
    </row>
    <row r="253" spans="1:57" x14ac:dyDescent="0.3">
      <c r="A253" t="str">
        <f>IF(B253&lt;&gt;"",COUNTA($B$6:B253),"")</f>
        <v/>
      </c>
      <c r="B253" t="str">
        <f>IF(Result_Database!A249="","",Result_Database!A249)</f>
        <v/>
      </c>
      <c r="C253" t="str">
        <f>_xlfn.LET(
_xlpm.result,_xlfn.XLOOKUP($B253,Result_Database!$A$2:$A$500,Result_Database!$B$2:$B$500),
_xlfn.IFNA(_xlpm.result,"")
)</f>
        <v/>
      </c>
      <c r="D253" t="str">
        <f>_xlfn.LET(
  _xlpm.result, _xlfn.XLOOKUP($B253, Result_Database!$A$2:$A$500, Result_Database!C$2:C$500),
  _xlfn.IFNA(_xlpm.result, "")
)</f>
        <v/>
      </c>
      <c r="E253" t="str">
        <f>_xlfn.LET(
  _xlpm.result, _xlfn.XLOOKUP($B253, Result_Database!$A$2:$A$500, Result_Database!D$2:D$500),
  _xlfn.IFNA(_xlpm.result, "")
)</f>
        <v/>
      </c>
      <c r="F253" t="str">
        <f>_xlfn.LET(
  _xlpm.result, _xlfn.XLOOKUP($B253, Result_Database!$A$2:$A$500, Result_Database!E$2:E$500),
  _xlfn.IFNA(_xlpm.result, "")
)</f>
        <v/>
      </c>
      <c r="G253" t="str">
        <f>_xlfn.LET(
  _xlpm.result, _xlfn.XLOOKUP($B253, Result_Database!$A$2:$A$500, Result_Database!F$2:F$500),
  _xlfn.IFNA(_xlpm.result, "")
)</f>
        <v/>
      </c>
      <c r="H253" t="str">
        <f>_xlfn.LET(
  _xlpm.result, _xlfn.XLOOKUP($B253, Result_Database!$A$2:$A$500, Result_Database!G$2:G$500),
  _xlfn.IFNA(_xlpm.result, "")
)</f>
        <v/>
      </c>
      <c r="I253" t="str">
        <f>_xlfn.LET(
  _xlpm.result, _xlfn.XLOOKUP($B253, Result_Database!$A$2:$A$500, Result_Database!H$2:H$500),
  _xlfn.IFNA(_xlpm.result, "")
)</f>
        <v/>
      </c>
      <c r="J253" t="str">
        <f>_xlfn.LET(
  _xlpm.result, _xlfn.XLOOKUP($B253, Result_Database!$A$2:$A$500, Result_Database!I$2:I$500),
  _xlfn.IFNA(_xlpm.result, "")
)</f>
        <v/>
      </c>
      <c r="K253" t="str">
        <f>_xlfn.LET(
  _xlpm.result, _xlfn.XLOOKUP($B253, Result_Database!$A$2:$A$500, Result_Database!J$2:J$500),
  _xlfn.IFNA(_xlpm.result, "")
)</f>
        <v/>
      </c>
      <c r="L253" t="str">
        <f>_xlfn.LET(
  _xlpm.result, _xlfn.XLOOKUP($B253, Result_Database!$A$2:$A$500, Result_Database!K$2:K$500),
  _xlfn.IFNA(_xlpm.result, "")
)</f>
        <v/>
      </c>
      <c r="M253" t="str">
        <f>_xlfn.LET(
  _xlpm.result, _xlfn.XLOOKUP($B253, Result_Database!$A$2:$A$500, Result_Database!L$2:L$500),
  _xlfn.IFNA(_xlpm.result, "")
)</f>
        <v/>
      </c>
      <c r="N253" t="str">
        <f>_xlfn.LET(
  _xlpm.result, _xlfn.XLOOKUP($B253, Result_Database!$A$2:$A$500, Result_Database!M$2:M$500),
  _xlfn.IFNA(_xlpm.result, "")
)</f>
        <v/>
      </c>
      <c r="O253" t="str">
        <f>_xlfn.LET(
  _xlpm.result, _xlfn.XLOOKUP($B253, Result_Database!$A$2:$A$500, Result_Database!N$2:N$500),
  _xlfn.IFNA(_xlpm.result, "")
)</f>
        <v/>
      </c>
      <c r="P253" t="str">
        <f>_xlfn.LET(
  _xlpm.result, _xlfn.XLOOKUP($B253, Result_Database!$A$2:$A$500, Result_Database!O$2:O$500),
  _xlfn.IFNA(_xlpm.result, "")
)</f>
        <v/>
      </c>
      <c r="Q253" t="str">
        <f>_xlfn.LET(
  _xlpm.result, _xlfn.XLOOKUP($B253, Result_Database!$A$2:$A$500, Result_Database!P$2:P$500),
  _xlfn.IFNA(_xlpm.result, "")
)</f>
        <v/>
      </c>
      <c r="R253" t="str">
        <f>_xlfn.LET(
  _xlpm.result, _xlfn.XLOOKUP($B253, Result_Database!$A$2:$A$500, Result_Database!Q$2:Q$500),
  _xlfn.IFNA(_xlpm.result, "")
)</f>
        <v/>
      </c>
      <c r="S253" t="str">
        <f>_xlfn.LET(
  _xlpm.result, _xlfn.XLOOKUP($B253, Result_Database!$A$2:$A$500, Result_Database!R$2:R$500),
  _xlfn.IFNA(_xlpm.result, "")
)</f>
        <v/>
      </c>
      <c r="T253" t="str">
        <f>_xlfn.LET(
  _xlpm.result, _xlfn.XLOOKUP($B253, Result_Database!$A$2:$A$500, Result_Database!S$2:S$500),
  _xlfn.IFNA(_xlpm.result, "")
)</f>
        <v/>
      </c>
      <c r="U253" t="str">
        <f>_xlfn.LET(
  _xlpm.result, _xlfn.XLOOKUP($B253, Result_Database!$A$2:$A$500, Result_Database!T$2:T$500),
  _xlfn.IFNA(_xlpm.result, "")
)</f>
        <v/>
      </c>
      <c r="V253" t="str">
        <f>_xlfn.LET(
  _xlpm.result, _xlfn.XLOOKUP($B253, Result_Database!$A$2:$A$500, Result_Database!U$2:U$500),
  _xlfn.IFNA(_xlpm.result, "")
)</f>
        <v/>
      </c>
      <c r="W253" t="str">
        <f>_xlfn.LET(
  _xlpm.result, _xlfn.XLOOKUP($B253, Result_Database!$A$2:$A$500, Result_Database!V$2:V$500),
  _xlfn.IFNA(_xlpm.result, "")
)</f>
        <v/>
      </c>
      <c r="X253" t="str">
        <f>_xlfn.LET(
  _xlpm.result, _xlfn.XLOOKUP($B253, Result_Database!$A$2:$A$500, Result_Database!W$2:W$500),
  _xlfn.IFNA(_xlpm.result, "")
)</f>
        <v/>
      </c>
      <c r="Y253" t="str">
        <f>_xlfn.LET(
  _xlpm.result, _xlfn.XLOOKUP($B253, Result_Database!$A$2:$A$500, Result_Database!X$2:X$500),
  _xlfn.IFNA(_xlpm.result, "")
)</f>
        <v/>
      </c>
      <c r="Z253" t="str">
        <f>_xlfn.LET(
  _xlpm.result, _xlfn.XLOOKUP($B253, Result_Database!$A$2:$A$500, Result_Database!Y$2:Y$500),
  _xlfn.IFNA(_xlpm.result, "")
)</f>
        <v/>
      </c>
      <c r="AA253" t="str">
        <f>_xlfn.LET(
  _xlpm.result, _xlfn.XLOOKUP($B253, Result_Database!$A$2:$A$500, Result_Database!Z$2:Z$500),
  _xlfn.IFNA(_xlpm.result, "")
)</f>
        <v/>
      </c>
      <c r="AB253" t="str">
        <f>_xlfn.LET(
  _xlpm.result, _xlfn.XLOOKUP($B253, Result_Database!$A$2:$A$500, Result_Database!AA$2:AA$500),
  _xlfn.IFNA(_xlpm.result, "")
)</f>
        <v/>
      </c>
      <c r="AC253" t="str">
        <f>_xlfn.LET(
  _xlpm.result, _xlfn.XLOOKUP($B253, Result_Database!$A$2:$A$500, Result_Database!AB$2:AB$500),
  _xlfn.IFNA(_xlpm.result, "")
)</f>
        <v/>
      </c>
      <c r="AD253" t="str">
        <f>_xlfn.LET(
  _xlpm.result, _xlfn.XLOOKUP($B253, Result_Database!$A$2:$A$500, Result_Database!AC$2:AC$500),
  _xlfn.IFNA(_xlpm.result, "")
)</f>
        <v/>
      </c>
      <c r="AE253" t="str">
        <f>_xlfn.LET(
  _xlpm.result, _xlfn.XLOOKUP($B253, Result_Database!$A$2:$A$500, Result_Database!AD$2:AD$500),
  _xlfn.IFNA(_xlpm.result, "")
)</f>
        <v/>
      </c>
      <c r="AF253" t="str">
        <f>_xlfn.LET(
  _xlpm.result, _xlfn.XLOOKUP($B253, Result_Database!$A$2:$A$500, Result_Database!AE$2:AE$500),
  _xlfn.IFNA(_xlpm.result, "")
)</f>
        <v/>
      </c>
      <c r="AG253" t="str">
        <f>_xlfn.LET(
  _xlpm.result, _xlfn.XLOOKUP($B253, Result_Database!$A$2:$A$500, Result_Database!AF$2:AF$500),
  _xlfn.IFNA(_xlpm.result, "")
)</f>
        <v/>
      </c>
      <c r="AH253" t="str">
        <f>_xlfn.LET(
  _xlpm.result, _xlfn.XLOOKUP($B253, Result_Database!$A$2:$A$500, Result_Database!AG$2:AG$500),
  _xlfn.IFNA(_xlpm.result, "")
)</f>
        <v/>
      </c>
      <c r="AI253" t="str">
        <f>_xlfn.LET(
  _xlpm.result, _xlfn.XLOOKUP($B253, Result_Database!$A$2:$A$500, Result_Database!AH$2:AH$500),
  _xlfn.IFNA(_xlpm.result, "")
)</f>
        <v/>
      </c>
      <c r="AJ253" t="str">
        <f>_xlfn.LET(
  _xlpm.result, _xlfn.XLOOKUP($B253, Result_Database!$A$2:$A$500, Result_Database!AI$2:AI$500),
  _xlfn.IFNA(_xlpm.result, "")
)</f>
        <v/>
      </c>
      <c r="AK253" t="str">
        <f>_xlfn.LET(
  _xlpm.result, _xlfn.XLOOKUP($B253, Result_Database!$A$2:$A$500, Result_Database!AJ$2:AJ$500),
  _xlfn.IFNA(_xlpm.result, "")
)</f>
        <v/>
      </c>
      <c r="AL253" t="str">
        <f>_xlfn.LET(
  _xlpm.result, _xlfn.XLOOKUP($B253, Result_Database!$A$2:$A$500, Result_Database!AK$2:AK$500),
  _xlfn.IFNA(_xlpm.result, "")
)</f>
        <v/>
      </c>
      <c r="AM25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5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5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5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5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5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5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5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5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53" t="str">
        <f>IF(SUM(Table5[[#This Row],[A1]:[C6]])&lt;&gt;0,SUM(Table5[[#This Row],[A1]:[C6]]),"")</f>
        <v/>
      </c>
      <c r="AW253" t="str">
        <f>IF(SUM(Table5[[#This Row],[D7]:[F9]])=0,"",SUM(Table5[[#This Row],[D7]:[F9]]))</f>
        <v/>
      </c>
      <c r="AX25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5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5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5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5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5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53" t="str">
        <f>IF(COUNTIF(Table5[[#This Row],[English Language]:[Electrical/ Electronics]],"WITHHELD")=0,"",COUNTIF(Table5[[#This Row],[English Language]:[Electrical/ Electronics]],"WITHHELD"))</f>
        <v/>
      </c>
      <c r="BE253" t="str">
        <f>IF(SUM(Table5[[#This Row],[NO OF CREDITS]:[BELOW CREDITS]])=0,"",SUM(Table5[[#This Row],[NO OF CREDITS]:[BELOW CREDITS]]))</f>
        <v/>
      </c>
    </row>
    <row r="254" spans="1:57" x14ac:dyDescent="0.3">
      <c r="A254" t="str">
        <f>IF(B254&lt;&gt;"",COUNTA($B$6:B254),"")</f>
        <v/>
      </c>
      <c r="B254" t="str">
        <f>IF(Result_Database!A250="","",Result_Database!A250)</f>
        <v/>
      </c>
      <c r="C254" t="str">
        <f>_xlfn.LET(
_xlpm.result,_xlfn.XLOOKUP($B254,Result_Database!$A$2:$A$500,Result_Database!$B$2:$B$500),
_xlfn.IFNA(_xlpm.result,"")
)</f>
        <v/>
      </c>
      <c r="D254" t="str">
        <f>_xlfn.LET(
  _xlpm.result, _xlfn.XLOOKUP($B254, Result_Database!$A$2:$A$500, Result_Database!C$2:C$500),
  _xlfn.IFNA(_xlpm.result, "")
)</f>
        <v/>
      </c>
      <c r="E254" t="str">
        <f>_xlfn.LET(
  _xlpm.result, _xlfn.XLOOKUP($B254, Result_Database!$A$2:$A$500, Result_Database!D$2:D$500),
  _xlfn.IFNA(_xlpm.result, "")
)</f>
        <v/>
      </c>
      <c r="F254" t="str">
        <f>_xlfn.LET(
  _xlpm.result, _xlfn.XLOOKUP($B254, Result_Database!$A$2:$A$500, Result_Database!E$2:E$500),
  _xlfn.IFNA(_xlpm.result, "")
)</f>
        <v/>
      </c>
      <c r="G254" t="str">
        <f>_xlfn.LET(
  _xlpm.result, _xlfn.XLOOKUP($B254, Result_Database!$A$2:$A$500, Result_Database!F$2:F$500),
  _xlfn.IFNA(_xlpm.result, "")
)</f>
        <v/>
      </c>
      <c r="H254" t="str">
        <f>_xlfn.LET(
  _xlpm.result, _xlfn.XLOOKUP($B254, Result_Database!$A$2:$A$500, Result_Database!G$2:G$500),
  _xlfn.IFNA(_xlpm.result, "")
)</f>
        <v/>
      </c>
      <c r="I254" t="str">
        <f>_xlfn.LET(
  _xlpm.result, _xlfn.XLOOKUP($B254, Result_Database!$A$2:$A$500, Result_Database!H$2:H$500),
  _xlfn.IFNA(_xlpm.result, "")
)</f>
        <v/>
      </c>
      <c r="J254" t="str">
        <f>_xlfn.LET(
  _xlpm.result, _xlfn.XLOOKUP($B254, Result_Database!$A$2:$A$500, Result_Database!I$2:I$500),
  _xlfn.IFNA(_xlpm.result, "")
)</f>
        <v/>
      </c>
      <c r="K254" t="str">
        <f>_xlfn.LET(
  _xlpm.result, _xlfn.XLOOKUP($B254, Result_Database!$A$2:$A$500, Result_Database!J$2:J$500),
  _xlfn.IFNA(_xlpm.result, "")
)</f>
        <v/>
      </c>
      <c r="L254" t="str">
        <f>_xlfn.LET(
  _xlpm.result, _xlfn.XLOOKUP($B254, Result_Database!$A$2:$A$500, Result_Database!K$2:K$500),
  _xlfn.IFNA(_xlpm.result, "")
)</f>
        <v/>
      </c>
      <c r="M254" t="str">
        <f>_xlfn.LET(
  _xlpm.result, _xlfn.XLOOKUP($B254, Result_Database!$A$2:$A$500, Result_Database!L$2:L$500),
  _xlfn.IFNA(_xlpm.result, "")
)</f>
        <v/>
      </c>
      <c r="N254" t="str">
        <f>_xlfn.LET(
  _xlpm.result, _xlfn.XLOOKUP($B254, Result_Database!$A$2:$A$500, Result_Database!M$2:M$500),
  _xlfn.IFNA(_xlpm.result, "")
)</f>
        <v/>
      </c>
      <c r="O254" t="str">
        <f>_xlfn.LET(
  _xlpm.result, _xlfn.XLOOKUP($B254, Result_Database!$A$2:$A$500, Result_Database!N$2:N$500),
  _xlfn.IFNA(_xlpm.result, "")
)</f>
        <v/>
      </c>
      <c r="P254" t="str">
        <f>_xlfn.LET(
  _xlpm.result, _xlfn.XLOOKUP($B254, Result_Database!$A$2:$A$500, Result_Database!O$2:O$500),
  _xlfn.IFNA(_xlpm.result, "")
)</f>
        <v/>
      </c>
      <c r="Q254" t="str">
        <f>_xlfn.LET(
  _xlpm.result, _xlfn.XLOOKUP($B254, Result_Database!$A$2:$A$500, Result_Database!P$2:P$500),
  _xlfn.IFNA(_xlpm.result, "")
)</f>
        <v/>
      </c>
      <c r="R254" t="str">
        <f>_xlfn.LET(
  _xlpm.result, _xlfn.XLOOKUP($B254, Result_Database!$A$2:$A$500, Result_Database!Q$2:Q$500),
  _xlfn.IFNA(_xlpm.result, "")
)</f>
        <v/>
      </c>
      <c r="S254" t="str">
        <f>_xlfn.LET(
  _xlpm.result, _xlfn.XLOOKUP($B254, Result_Database!$A$2:$A$500, Result_Database!R$2:R$500),
  _xlfn.IFNA(_xlpm.result, "")
)</f>
        <v/>
      </c>
      <c r="T254" t="str">
        <f>_xlfn.LET(
  _xlpm.result, _xlfn.XLOOKUP($B254, Result_Database!$A$2:$A$500, Result_Database!S$2:S$500),
  _xlfn.IFNA(_xlpm.result, "")
)</f>
        <v/>
      </c>
      <c r="U254" t="str">
        <f>_xlfn.LET(
  _xlpm.result, _xlfn.XLOOKUP($B254, Result_Database!$A$2:$A$500, Result_Database!T$2:T$500),
  _xlfn.IFNA(_xlpm.result, "")
)</f>
        <v/>
      </c>
      <c r="V254" t="str">
        <f>_xlfn.LET(
  _xlpm.result, _xlfn.XLOOKUP($B254, Result_Database!$A$2:$A$500, Result_Database!U$2:U$500),
  _xlfn.IFNA(_xlpm.result, "")
)</f>
        <v/>
      </c>
      <c r="W254" t="str">
        <f>_xlfn.LET(
  _xlpm.result, _xlfn.XLOOKUP($B254, Result_Database!$A$2:$A$500, Result_Database!V$2:V$500),
  _xlfn.IFNA(_xlpm.result, "")
)</f>
        <v/>
      </c>
      <c r="X254" t="str">
        <f>_xlfn.LET(
  _xlpm.result, _xlfn.XLOOKUP($B254, Result_Database!$A$2:$A$500, Result_Database!W$2:W$500),
  _xlfn.IFNA(_xlpm.result, "")
)</f>
        <v/>
      </c>
      <c r="Y254" t="str">
        <f>_xlfn.LET(
  _xlpm.result, _xlfn.XLOOKUP($B254, Result_Database!$A$2:$A$500, Result_Database!X$2:X$500),
  _xlfn.IFNA(_xlpm.result, "")
)</f>
        <v/>
      </c>
      <c r="Z254" t="str">
        <f>_xlfn.LET(
  _xlpm.result, _xlfn.XLOOKUP($B254, Result_Database!$A$2:$A$500, Result_Database!Y$2:Y$500),
  _xlfn.IFNA(_xlpm.result, "")
)</f>
        <v/>
      </c>
      <c r="AA254" t="str">
        <f>_xlfn.LET(
  _xlpm.result, _xlfn.XLOOKUP($B254, Result_Database!$A$2:$A$500, Result_Database!Z$2:Z$500),
  _xlfn.IFNA(_xlpm.result, "")
)</f>
        <v/>
      </c>
      <c r="AB254" t="str">
        <f>_xlfn.LET(
  _xlpm.result, _xlfn.XLOOKUP($B254, Result_Database!$A$2:$A$500, Result_Database!AA$2:AA$500),
  _xlfn.IFNA(_xlpm.result, "")
)</f>
        <v/>
      </c>
      <c r="AC254" t="str">
        <f>_xlfn.LET(
  _xlpm.result, _xlfn.XLOOKUP($B254, Result_Database!$A$2:$A$500, Result_Database!AB$2:AB$500),
  _xlfn.IFNA(_xlpm.result, "")
)</f>
        <v/>
      </c>
      <c r="AD254" t="str">
        <f>_xlfn.LET(
  _xlpm.result, _xlfn.XLOOKUP($B254, Result_Database!$A$2:$A$500, Result_Database!AC$2:AC$500),
  _xlfn.IFNA(_xlpm.result, "")
)</f>
        <v/>
      </c>
      <c r="AE254" t="str">
        <f>_xlfn.LET(
  _xlpm.result, _xlfn.XLOOKUP($B254, Result_Database!$A$2:$A$500, Result_Database!AD$2:AD$500),
  _xlfn.IFNA(_xlpm.result, "")
)</f>
        <v/>
      </c>
      <c r="AF254" t="str">
        <f>_xlfn.LET(
  _xlpm.result, _xlfn.XLOOKUP($B254, Result_Database!$A$2:$A$500, Result_Database!AE$2:AE$500),
  _xlfn.IFNA(_xlpm.result, "")
)</f>
        <v/>
      </c>
      <c r="AG254" t="str">
        <f>_xlfn.LET(
  _xlpm.result, _xlfn.XLOOKUP($B254, Result_Database!$A$2:$A$500, Result_Database!AF$2:AF$500),
  _xlfn.IFNA(_xlpm.result, "")
)</f>
        <v/>
      </c>
      <c r="AH254" t="str">
        <f>_xlfn.LET(
  _xlpm.result, _xlfn.XLOOKUP($B254, Result_Database!$A$2:$A$500, Result_Database!AG$2:AG$500),
  _xlfn.IFNA(_xlpm.result, "")
)</f>
        <v/>
      </c>
      <c r="AI254" t="str">
        <f>_xlfn.LET(
  _xlpm.result, _xlfn.XLOOKUP($B254, Result_Database!$A$2:$A$500, Result_Database!AH$2:AH$500),
  _xlfn.IFNA(_xlpm.result, "")
)</f>
        <v/>
      </c>
      <c r="AJ254" t="str">
        <f>_xlfn.LET(
  _xlpm.result, _xlfn.XLOOKUP($B254, Result_Database!$A$2:$A$500, Result_Database!AI$2:AI$500),
  _xlfn.IFNA(_xlpm.result, "")
)</f>
        <v/>
      </c>
      <c r="AK254" t="str">
        <f>_xlfn.LET(
  _xlpm.result, _xlfn.XLOOKUP($B254, Result_Database!$A$2:$A$500, Result_Database!AJ$2:AJ$500),
  _xlfn.IFNA(_xlpm.result, "")
)</f>
        <v/>
      </c>
      <c r="AL254" t="str">
        <f>_xlfn.LET(
  _xlpm.result, _xlfn.XLOOKUP($B254, Result_Database!$A$2:$A$500, Result_Database!AK$2:AK$500),
  _xlfn.IFNA(_xlpm.result, "")
)</f>
        <v/>
      </c>
      <c r="AM25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5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5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5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5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5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5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5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5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54" t="str">
        <f>IF(SUM(Table5[[#This Row],[A1]:[C6]])&lt;&gt;0,SUM(Table5[[#This Row],[A1]:[C6]]),"")</f>
        <v/>
      </c>
      <c r="AW254" t="str">
        <f>IF(SUM(Table5[[#This Row],[D7]:[F9]])=0,"",SUM(Table5[[#This Row],[D7]:[F9]]))</f>
        <v/>
      </c>
      <c r="AX25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5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5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5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5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5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54" t="str">
        <f>IF(COUNTIF(Table5[[#This Row],[English Language]:[Electrical/ Electronics]],"WITHHELD")=0,"",COUNTIF(Table5[[#This Row],[English Language]:[Electrical/ Electronics]],"WITHHELD"))</f>
        <v/>
      </c>
      <c r="BE254" t="str">
        <f>IF(SUM(Table5[[#This Row],[NO OF CREDITS]:[BELOW CREDITS]])=0,"",SUM(Table5[[#This Row],[NO OF CREDITS]:[BELOW CREDITS]]))</f>
        <v/>
      </c>
    </row>
    <row r="255" spans="1:57" x14ac:dyDescent="0.3">
      <c r="A255" t="str">
        <f>IF(B255&lt;&gt;"",COUNTA($B$6:B255),"")</f>
        <v/>
      </c>
      <c r="B255" t="str">
        <f>IF(Result_Database!A251="","",Result_Database!A251)</f>
        <v/>
      </c>
      <c r="C255" t="str">
        <f>_xlfn.LET(
_xlpm.result,_xlfn.XLOOKUP($B255,Result_Database!$A$2:$A$500,Result_Database!$B$2:$B$500),
_xlfn.IFNA(_xlpm.result,"")
)</f>
        <v/>
      </c>
      <c r="D255" t="str">
        <f>_xlfn.LET(
  _xlpm.result, _xlfn.XLOOKUP($B255, Result_Database!$A$2:$A$500, Result_Database!C$2:C$500),
  _xlfn.IFNA(_xlpm.result, "")
)</f>
        <v/>
      </c>
      <c r="E255" t="str">
        <f>_xlfn.LET(
  _xlpm.result, _xlfn.XLOOKUP($B255, Result_Database!$A$2:$A$500, Result_Database!D$2:D$500),
  _xlfn.IFNA(_xlpm.result, "")
)</f>
        <v/>
      </c>
      <c r="F255" t="str">
        <f>_xlfn.LET(
  _xlpm.result, _xlfn.XLOOKUP($B255, Result_Database!$A$2:$A$500, Result_Database!E$2:E$500),
  _xlfn.IFNA(_xlpm.result, "")
)</f>
        <v/>
      </c>
      <c r="G255" t="str">
        <f>_xlfn.LET(
  _xlpm.result, _xlfn.XLOOKUP($B255, Result_Database!$A$2:$A$500, Result_Database!F$2:F$500),
  _xlfn.IFNA(_xlpm.result, "")
)</f>
        <v/>
      </c>
      <c r="H255" t="str">
        <f>_xlfn.LET(
  _xlpm.result, _xlfn.XLOOKUP($B255, Result_Database!$A$2:$A$500, Result_Database!G$2:G$500),
  _xlfn.IFNA(_xlpm.result, "")
)</f>
        <v/>
      </c>
      <c r="I255" t="str">
        <f>_xlfn.LET(
  _xlpm.result, _xlfn.XLOOKUP($B255, Result_Database!$A$2:$A$500, Result_Database!H$2:H$500),
  _xlfn.IFNA(_xlpm.result, "")
)</f>
        <v/>
      </c>
      <c r="J255" t="str">
        <f>_xlfn.LET(
  _xlpm.result, _xlfn.XLOOKUP($B255, Result_Database!$A$2:$A$500, Result_Database!I$2:I$500),
  _xlfn.IFNA(_xlpm.result, "")
)</f>
        <v/>
      </c>
      <c r="K255" t="str">
        <f>_xlfn.LET(
  _xlpm.result, _xlfn.XLOOKUP($B255, Result_Database!$A$2:$A$500, Result_Database!J$2:J$500),
  _xlfn.IFNA(_xlpm.result, "")
)</f>
        <v/>
      </c>
      <c r="L255" t="str">
        <f>_xlfn.LET(
  _xlpm.result, _xlfn.XLOOKUP($B255, Result_Database!$A$2:$A$500, Result_Database!K$2:K$500),
  _xlfn.IFNA(_xlpm.result, "")
)</f>
        <v/>
      </c>
      <c r="M255" t="str">
        <f>_xlfn.LET(
  _xlpm.result, _xlfn.XLOOKUP($B255, Result_Database!$A$2:$A$500, Result_Database!L$2:L$500),
  _xlfn.IFNA(_xlpm.result, "")
)</f>
        <v/>
      </c>
      <c r="N255" t="str">
        <f>_xlfn.LET(
  _xlpm.result, _xlfn.XLOOKUP($B255, Result_Database!$A$2:$A$500, Result_Database!M$2:M$500),
  _xlfn.IFNA(_xlpm.result, "")
)</f>
        <v/>
      </c>
      <c r="O255" t="str">
        <f>_xlfn.LET(
  _xlpm.result, _xlfn.XLOOKUP($B255, Result_Database!$A$2:$A$500, Result_Database!N$2:N$500),
  _xlfn.IFNA(_xlpm.result, "")
)</f>
        <v/>
      </c>
      <c r="P255" t="str">
        <f>_xlfn.LET(
  _xlpm.result, _xlfn.XLOOKUP($B255, Result_Database!$A$2:$A$500, Result_Database!O$2:O$500),
  _xlfn.IFNA(_xlpm.result, "")
)</f>
        <v/>
      </c>
      <c r="Q255" t="str">
        <f>_xlfn.LET(
  _xlpm.result, _xlfn.XLOOKUP($B255, Result_Database!$A$2:$A$500, Result_Database!P$2:P$500),
  _xlfn.IFNA(_xlpm.result, "")
)</f>
        <v/>
      </c>
      <c r="R255" t="str">
        <f>_xlfn.LET(
  _xlpm.result, _xlfn.XLOOKUP($B255, Result_Database!$A$2:$A$500, Result_Database!Q$2:Q$500),
  _xlfn.IFNA(_xlpm.result, "")
)</f>
        <v/>
      </c>
      <c r="S255" t="str">
        <f>_xlfn.LET(
  _xlpm.result, _xlfn.XLOOKUP($B255, Result_Database!$A$2:$A$500, Result_Database!R$2:R$500),
  _xlfn.IFNA(_xlpm.result, "")
)</f>
        <v/>
      </c>
      <c r="T255" t="str">
        <f>_xlfn.LET(
  _xlpm.result, _xlfn.XLOOKUP($B255, Result_Database!$A$2:$A$500, Result_Database!S$2:S$500),
  _xlfn.IFNA(_xlpm.result, "")
)</f>
        <v/>
      </c>
      <c r="U255" t="str">
        <f>_xlfn.LET(
  _xlpm.result, _xlfn.XLOOKUP($B255, Result_Database!$A$2:$A$500, Result_Database!T$2:T$500),
  _xlfn.IFNA(_xlpm.result, "")
)</f>
        <v/>
      </c>
      <c r="V255" t="str">
        <f>_xlfn.LET(
  _xlpm.result, _xlfn.XLOOKUP($B255, Result_Database!$A$2:$A$500, Result_Database!U$2:U$500),
  _xlfn.IFNA(_xlpm.result, "")
)</f>
        <v/>
      </c>
      <c r="W255" t="str">
        <f>_xlfn.LET(
  _xlpm.result, _xlfn.XLOOKUP($B255, Result_Database!$A$2:$A$500, Result_Database!V$2:V$500),
  _xlfn.IFNA(_xlpm.result, "")
)</f>
        <v/>
      </c>
      <c r="X255" t="str">
        <f>_xlfn.LET(
  _xlpm.result, _xlfn.XLOOKUP($B255, Result_Database!$A$2:$A$500, Result_Database!W$2:W$500),
  _xlfn.IFNA(_xlpm.result, "")
)</f>
        <v/>
      </c>
      <c r="Y255" t="str">
        <f>_xlfn.LET(
  _xlpm.result, _xlfn.XLOOKUP($B255, Result_Database!$A$2:$A$500, Result_Database!X$2:X$500),
  _xlfn.IFNA(_xlpm.result, "")
)</f>
        <v/>
      </c>
      <c r="Z255" t="str">
        <f>_xlfn.LET(
  _xlpm.result, _xlfn.XLOOKUP($B255, Result_Database!$A$2:$A$500, Result_Database!Y$2:Y$500),
  _xlfn.IFNA(_xlpm.result, "")
)</f>
        <v/>
      </c>
      <c r="AA255" t="str">
        <f>_xlfn.LET(
  _xlpm.result, _xlfn.XLOOKUP($B255, Result_Database!$A$2:$A$500, Result_Database!Z$2:Z$500),
  _xlfn.IFNA(_xlpm.result, "")
)</f>
        <v/>
      </c>
      <c r="AB255" t="str">
        <f>_xlfn.LET(
  _xlpm.result, _xlfn.XLOOKUP($B255, Result_Database!$A$2:$A$500, Result_Database!AA$2:AA$500),
  _xlfn.IFNA(_xlpm.result, "")
)</f>
        <v/>
      </c>
      <c r="AC255" t="str">
        <f>_xlfn.LET(
  _xlpm.result, _xlfn.XLOOKUP($B255, Result_Database!$A$2:$A$500, Result_Database!AB$2:AB$500),
  _xlfn.IFNA(_xlpm.result, "")
)</f>
        <v/>
      </c>
      <c r="AD255" t="str">
        <f>_xlfn.LET(
  _xlpm.result, _xlfn.XLOOKUP($B255, Result_Database!$A$2:$A$500, Result_Database!AC$2:AC$500),
  _xlfn.IFNA(_xlpm.result, "")
)</f>
        <v/>
      </c>
      <c r="AE255" t="str">
        <f>_xlfn.LET(
  _xlpm.result, _xlfn.XLOOKUP($B255, Result_Database!$A$2:$A$500, Result_Database!AD$2:AD$500),
  _xlfn.IFNA(_xlpm.result, "")
)</f>
        <v/>
      </c>
      <c r="AF255" t="str">
        <f>_xlfn.LET(
  _xlpm.result, _xlfn.XLOOKUP($B255, Result_Database!$A$2:$A$500, Result_Database!AE$2:AE$500),
  _xlfn.IFNA(_xlpm.result, "")
)</f>
        <v/>
      </c>
      <c r="AG255" t="str">
        <f>_xlfn.LET(
  _xlpm.result, _xlfn.XLOOKUP($B255, Result_Database!$A$2:$A$500, Result_Database!AF$2:AF$500),
  _xlfn.IFNA(_xlpm.result, "")
)</f>
        <v/>
      </c>
      <c r="AH255" t="str">
        <f>_xlfn.LET(
  _xlpm.result, _xlfn.XLOOKUP($B255, Result_Database!$A$2:$A$500, Result_Database!AG$2:AG$500),
  _xlfn.IFNA(_xlpm.result, "")
)</f>
        <v/>
      </c>
      <c r="AI255" t="str">
        <f>_xlfn.LET(
  _xlpm.result, _xlfn.XLOOKUP($B255, Result_Database!$A$2:$A$500, Result_Database!AH$2:AH$500),
  _xlfn.IFNA(_xlpm.result, "")
)</f>
        <v/>
      </c>
      <c r="AJ255" t="str">
        <f>_xlfn.LET(
  _xlpm.result, _xlfn.XLOOKUP($B255, Result_Database!$A$2:$A$500, Result_Database!AI$2:AI$500),
  _xlfn.IFNA(_xlpm.result, "")
)</f>
        <v/>
      </c>
      <c r="AK255" t="str">
        <f>_xlfn.LET(
  _xlpm.result, _xlfn.XLOOKUP($B255, Result_Database!$A$2:$A$500, Result_Database!AJ$2:AJ$500),
  _xlfn.IFNA(_xlpm.result, "")
)</f>
        <v/>
      </c>
      <c r="AL255" t="str">
        <f>_xlfn.LET(
  _xlpm.result, _xlfn.XLOOKUP($B255, Result_Database!$A$2:$A$500, Result_Database!AK$2:AK$500),
  _xlfn.IFNA(_xlpm.result, "")
)</f>
        <v/>
      </c>
      <c r="AM25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5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5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5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5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5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5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5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5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55" t="str">
        <f>IF(SUM(Table5[[#This Row],[A1]:[C6]])&lt;&gt;0,SUM(Table5[[#This Row],[A1]:[C6]]),"")</f>
        <v/>
      </c>
      <c r="AW255" t="str">
        <f>IF(SUM(Table5[[#This Row],[D7]:[F9]])=0,"",SUM(Table5[[#This Row],[D7]:[F9]]))</f>
        <v/>
      </c>
      <c r="AX25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5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5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5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5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5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55" t="str">
        <f>IF(COUNTIF(Table5[[#This Row],[English Language]:[Electrical/ Electronics]],"WITHHELD")=0,"",COUNTIF(Table5[[#This Row],[English Language]:[Electrical/ Electronics]],"WITHHELD"))</f>
        <v/>
      </c>
      <c r="BE255" t="str">
        <f>IF(SUM(Table5[[#This Row],[NO OF CREDITS]:[BELOW CREDITS]])=0,"",SUM(Table5[[#This Row],[NO OF CREDITS]:[BELOW CREDITS]]))</f>
        <v/>
      </c>
    </row>
    <row r="256" spans="1:57" x14ac:dyDescent="0.3">
      <c r="A256" t="str">
        <f>IF(B256&lt;&gt;"",COUNTA($B$6:B256),"")</f>
        <v/>
      </c>
      <c r="B256" t="str">
        <f>IF(Result_Database!A252="","",Result_Database!A252)</f>
        <v/>
      </c>
      <c r="C256" t="str">
        <f>_xlfn.LET(
_xlpm.result,_xlfn.XLOOKUP($B256,Result_Database!$A$2:$A$500,Result_Database!$B$2:$B$500),
_xlfn.IFNA(_xlpm.result,"")
)</f>
        <v/>
      </c>
      <c r="D256" t="str">
        <f>_xlfn.LET(
  _xlpm.result, _xlfn.XLOOKUP($B256, Result_Database!$A$2:$A$500, Result_Database!C$2:C$500),
  _xlfn.IFNA(_xlpm.result, "")
)</f>
        <v/>
      </c>
      <c r="E256" t="str">
        <f>_xlfn.LET(
  _xlpm.result, _xlfn.XLOOKUP($B256, Result_Database!$A$2:$A$500, Result_Database!D$2:D$500),
  _xlfn.IFNA(_xlpm.result, "")
)</f>
        <v/>
      </c>
      <c r="F256" t="str">
        <f>_xlfn.LET(
  _xlpm.result, _xlfn.XLOOKUP($B256, Result_Database!$A$2:$A$500, Result_Database!E$2:E$500),
  _xlfn.IFNA(_xlpm.result, "")
)</f>
        <v/>
      </c>
      <c r="G256" t="str">
        <f>_xlfn.LET(
  _xlpm.result, _xlfn.XLOOKUP($B256, Result_Database!$A$2:$A$500, Result_Database!F$2:F$500),
  _xlfn.IFNA(_xlpm.result, "")
)</f>
        <v/>
      </c>
      <c r="H256" t="str">
        <f>_xlfn.LET(
  _xlpm.result, _xlfn.XLOOKUP($B256, Result_Database!$A$2:$A$500, Result_Database!G$2:G$500),
  _xlfn.IFNA(_xlpm.result, "")
)</f>
        <v/>
      </c>
      <c r="I256" t="str">
        <f>_xlfn.LET(
  _xlpm.result, _xlfn.XLOOKUP($B256, Result_Database!$A$2:$A$500, Result_Database!H$2:H$500),
  _xlfn.IFNA(_xlpm.result, "")
)</f>
        <v/>
      </c>
      <c r="J256" t="str">
        <f>_xlfn.LET(
  _xlpm.result, _xlfn.XLOOKUP($B256, Result_Database!$A$2:$A$500, Result_Database!I$2:I$500),
  _xlfn.IFNA(_xlpm.result, "")
)</f>
        <v/>
      </c>
      <c r="K256" t="str">
        <f>_xlfn.LET(
  _xlpm.result, _xlfn.XLOOKUP($B256, Result_Database!$A$2:$A$500, Result_Database!J$2:J$500),
  _xlfn.IFNA(_xlpm.result, "")
)</f>
        <v/>
      </c>
      <c r="L256" t="str">
        <f>_xlfn.LET(
  _xlpm.result, _xlfn.XLOOKUP($B256, Result_Database!$A$2:$A$500, Result_Database!K$2:K$500),
  _xlfn.IFNA(_xlpm.result, "")
)</f>
        <v/>
      </c>
      <c r="M256" t="str">
        <f>_xlfn.LET(
  _xlpm.result, _xlfn.XLOOKUP($B256, Result_Database!$A$2:$A$500, Result_Database!L$2:L$500),
  _xlfn.IFNA(_xlpm.result, "")
)</f>
        <v/>
      </c>
      <c r="N256" t="str">
        <f>_xlfn.LET(
  _xlpm.result, _xlfn.XLOOKUP($B256, Result_Database!$A$2:$A$500, Result_Database!M$2:M$500),
  _xlfn.IFNA(_xlpm.result, "")
)</f>
        <v/>
      </c>
      <c r="O256" t="str">
        <f>_xlfn.LET(
  _xlpm.result, _xlfn.XLOOKUP($B256, Result_Database!$A$2:$A$500, Result_Database!N$2:N$500),
  _xlfn.IFNA(_xlpm.result, "")
)</f>
        <v/>
      </c>
      <c r="P256" t="str">
        <f>_xlfn.LET(
  _xlpm.result, _xlfn.XLOOKUP($B256, Result_Database!$A$2:$A$500, Result_Database!O$2:O$500),
  _xlfn.IFNA(_xlpm.result, "")
)</f>
        <v/>
      </c>
      <c r="Q256" t="str">
        <f>_xlfn.LET(
  _xlpm.result, _xlfn.XLOOKUP($B256, Result_Database!$A$2:$A$500, Result_Database!P$2:P$500),
  _xlfn.IFNA(_xlpm.result, "")
)</f>
        <v/>
      </c>
      <c r="R256" t="str">
        <f>_xlfn.LET(
  _xlpm.result, _xlfn.XLOOKUP($B256, Result_Database!$A$2:$A$500, Result_Database!Q$2:Q$500),
  _xlfn.IFNA(_xlpm.result, "")
)</f>
        <v/>
      </c>
      <c r="S256" t="str">
        <f>_xlfn.LET(
  _xlpm.result, _xlfn.XLOOKUP($B256, Result_Database!$A$2:$A$500, Result_Database!R$2:R$500),
  _xlfn.IFNA(_xlpm.result, "")
)</f>
        <v/>
      </c>
      <c r="T256" t="str">
        <f>_xlfn.LET(
  _xlpm.result, _xlfn.XLOOKUP($B256, Result_Database!$A$2:$A$500, Result_Database!S$2:S$500),
  _xlfn.IFNA(_xlpm.result, "")
)</f>
        <v/>
      </c>
      <c r="U256" t="str">
        <f>_xlfn.LET(
  _xlpm.result, _xlfn.XLOOKUP($B256, Result_Database!$A$2:$A$500, Result_Database!T$2:T$500),
  _xlfn.IFNA(_xlpm.result, "")
)</f>
        <v/>
      </c>
      <c r="V256" t="str">
        <f>_xlfn.LET(
  _xlpm.result, _xlfn.XLOOKUP($B256, Result_Database!$A$2:$A$500, Result_Database!U$2:U$500),
  _xlfn.IFNA(_xlpm.result, "")
)</f>
        <v/>
      </c>
      <c r="W256" t="str">
        <f>_xlfn.LET(
  _xlpm.result, _xlfn.XLOOKUP($B256, Result_Database!$A$2:$A$500, Result_Database!V$2:V$500),
  _xlfn.IFNA(_xlpm.result, "")
)</f>
        <v/>
      </c>
      <c r="X256" t="str">
        <f>_xlfn.LET(
  _xlpm.result, _xlfn.XLOOKUP($B256, Result_Database!$A$2:$A$500, Result_Database!W$2:W$500),
  _xlfn.IFNA(_xlpm.result, "")
)</f>
        <v/>
      </c>
      <c r="Y256" t="str">
        <f>_xlfn.LET(
  _xlpm.result, _xlfn.XLOOKUP($B256, Result_Database!$A$2:$A$500, Result_Database!X$2:X$500),
  _xlfn.IFNA(_xlpm.result, "")
)</f>
        <v/>
      </c>
      <c r="Z256" t="str">
        <f>_xlfn.LET(
  _xlpm.result, _xlfn.XLOOKUP($B256, Result_Database!$A$2:$A$500, Result_Database!Y$2:Y$500),
  _xlfn.IFNA(_xlpm.result, "")
)</f>
        <v/>
      </c>
      <c r="AA256" t="str">
        <f>_xlfn.LET(
  _xlpm.result, _xlfn.XLOOKUP($B256, Result_Database!$A$2:$A$500, Result_Database!Z$2:Z$500),
  _xlfn.IFNA(_xlpm.result, "")
)</f>
        <v/>
      </c>
      <c r="AB256" t="str">
        <f>_xlfn.LET(
  _xlpm.result, _xlfn.XLOOKUP($B256, Result_Database!$A$2:$A$500, Result_Database!AA$2:AA$500),
  _xlfn.IFNA(_xlpm.result, "")
)</f>
        <v/>
      </c>
      <c r="AC256" t="str">
        <f>_xlfn.LET(
  _xlpm.result, _xlfn.XLOOKUP($B256, Result_Database!$A$2:$A$500, Result_Database!AB$2:AB$500),
  _xlfn.IFNA(_xlpm.result, "")
)</f>
        <v/>
      </c>
      <c r="AD256" t="str">
        <f>_xlfn.LET(
  _xlpm.result, _xlfn.XLOOKUP($B256, Result_Database!$A$2:$A$500, Result_Database!AC$2:AC$500),
  _xlfn.IFNA(_xlpm.result, "")
)</f>
        <v/>
      </c>
      <c r="AE256" t="str">
        <f>_xlfn.LET(
  _xlpm.result, _xlfn.XLOOKUP($B256, Result_Database!$A$2:$A$500, Result_Database!AD$2:AD$500),
  _xlfn.IFNA(_xlpm.result, "")
)</f>
        <v/>
      </c>
      <c r="AF256" t="str">
        <f>_xlfn.LET(
  _xlpm.result, _xlfn.XLOOKUP($B256, Result_Database!$A$2:$A$500, Result_Database!AE$2:AE$500),
  _xlfn.IFNA(_xlpm.result, "")
)</f>
        <v/>
      </c>
      <c r="AG256" t="str">
        <f>_xlfn.LET(
  _xlpm.result, _xlfn.XLOOKUP($B256, Result_Database!$A$2:$A$500, Result_Database!AF$2:AF$500),
  _xlfn.IFNA(_xlpm.result, "")
)</f>
        <v/>
      </c>
      <c r="AH256" t="str">
        <f>_xlfn.LET(
  _xlpm.result, _xlfn.XLOOKUP($B256, Result_Database!$A$2:$A$500, Result_Database!AG$2:AG$500),
  _xlfn.IFNA(_xlpm.result, "")
)</f>
        <v/>
      </c>
      <c r="AI256" t="str">
        <f>_xlfn.LET(
  _xlpm.result, _xlfn.XLOOKUP($B256, Result_Database!$A$2:$A$500, Result_Database!AH$2:AH$500),
  _xlfn.IFNA(_xlpm.result, "")
)</f>
        <v/>
      </c>
      <c r="AJ256" t="str">
        <f>_xlfn.LET(
  _xlpm.result, _xlfn.XLOOKUP($B256, Result_Database!$A$2:$A$500, Result_Database!AI$2:AI$500),
  _xlfn.IFNA(_xlpm.result, "")
)</f>
        <v/>
      </c>
      <c r="AK256" t="str">
        <f>_xlfn.LET(
  _xlpm.result, _xlfn.XLOOKUP($B256, Result_Database!$A$2:$A$500, Result_Database!AJ$2:AJ$500),
  _xlfn.IFNA(_xlpm.result, "")
)</f>
        <v/>
      </c>
      <c r="AL256" t="str">
        <f>_xlfn.LET(
  _xlpm.result, _xlfn.XLOOKUP($B256, Result_Database!$A$2:$A$500, Result_Database!AK$2:AK$500),
  _xlfn.IFNA(_xlpm.result, "")
)</f>
        <v/>
      </c>
      <c r="AM25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5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5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5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5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5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5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5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5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56" t="str">
        <f>IF(SUM(Table5[[#This Row],[A1]:[C6]])&lt;&gt;0,SUM(Table5[[#This Row],[A1]:[C6]]),"")</f>
        <v/>
      </c>
      <c r="AW256" t="str">
        <f>IF(SUM(Table5[[#This Row],[D7]:[F9]])=0,"",SUM(Table5[[#This Row],[D7]:[F9]]))</f>
        <v/>
      </c>
      <c r="AX25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5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5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5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5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5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56" t="str">
        <f>IF(COUNTIF(Table5[[#This Row],[English Language]:[Electrical/ Electronics]],"WITHHELD")=0,"",COUNTIF(Table5[[#This Row],[English Language]:[Electrical/ Electronics]],"WITHHELD"))</f>
        <v/>
      </c>
      <c r="BE256" t="str">
        <f>IF(SUM(Table5[[#This Row],[NO OF CREDITS]:[BELOW CREDITS]])=0,"",SUM(Table5[[#This Row],[NO OF CREDITS]:[BELOW CREDITS]]))</f>
        <v/>
      </c>
    </row>
    <row r="257" spans="1:57" x14ac:dyDescent="0.3">
      <c r="A257" t="str">
        <f>IF(B257&lt;&gt;"",COUNTA($B$6:B257),"")</f>
        <v/>
      </c>
      <c r="B257" t="str">
        <f>IF(Result_Database!A253="","",Result_Database!A253)</f>
        <v/>
      </c>
      <c r="C257" t="str">
        <f>_xlfn.LET(
_xlpm.result,_xlfn.XLOOKUP($B257,Result_Database!$A$2:$A$500,Result_Database!$B$2:$B$500),
_xlfn.IFNA(_xlpm.result,"")
)</f>
        <v/>
      </c>
      <c r="D257" t="str">
        <f>_xlfn.LET(
  _xlpm.result, _xlfn.XLOOKUP($B257, Result_Database!$A$2:$A$500, Result_Database!C$2:C$500),
  _xlfn.IFNA(_xlpm.result, "")
)</f>
        <v/>
      </c>
      <c r="E257" t="str">
        <f>_xlfn.LET(
  _xlpm.result, _xlfn.XLOOKUP($B257, Result_Database!$A$2:$A$500, Result_Database!D$2:D$500),
  _xlfn.IFNA(_xlpm.result, "")
)</f>
        <v/>
      </c>
      <c r="F257" t="str">
        <f>_xlfn.LET(
  _xlpm.result, _xlfn.XLOOKUP($B257, Result_Database!$A$2:$A$500, Result_Database!E$2:E$500),
  _xlfn.IFNA(_xlpm.result, "")
)</f>
        <v/>
      </c>
      <c r="G257" t="str">
        <f>_xlfn.LET(
  _xlpm.result, _xlfn.XLOOKUP($B257, Result_Database!$A$2:$A$500, Result_Database!F$2:F$500),
  _xlfn.IFNA(_xlpm.result, "")
)</f>
        <v/>
      </c>
      <c r="H257" t="str">
        <f>_xlfn.LET(
  _xlpm.result, _xlfn.XLOOKUP($B257, Result_Database!$A$2:$A$500, Result_Database!G$2:G$500),
  _xlfn.IFNA(_xlpm.result, "")
)</f>
        <v/>
      </c>
      <c r="I257" t="str">
        <f>_xlfn.LET(
  _xlpm.result, _xlfn.XLOOKUP($B257, Result_Database!$A$2:$A$500, Result_Database!H$2:H$500),
  _xlfn.IFNA(_xlpm.result, "")
)</f>
        <v/>
      </c>
      <c r="J257" t="str">
        <f>_xlfn.LET(
  _xlpm.result, _xlfn.XLOOKUP($B257, Result_Database!$A$2:$A$500, Result_Database!I$2:I$500),
  _xlfn.IFNA(_xlpm.result, "")
)</f>
        <v/>
      </c>
      <c r="K257" t="str">
        <f>_xlfn.LET(
  _xlpm.result, _xlfn.XLOOKUP($B257, Result_Database!$A$2:$A$500, Result_Database!J$2:J$500),
  _xlfn.IFNA(_xlpm.result, "")
)</f>
        <v/>
      </c>
      <c r="L257" t="str">
        <f>_xlfn.LET(
  _xlpm.result, _xlfn.XLOOKUP($B257, Result_Database!$A$2:$A$500, Result_Database!K$2:K$500),
  _xlfn.IFNA(_xlpm.result, "")
)</f>
        <v/>
      </c>
      <c r="M257" t="str">
        <f>_xlfn.LET(
  _xlpm.result, _xlfn.XLOOKUP($B257, Result_Database!$A$2:$A$500, Result_Database!L$2:L$500),
  _xlfn.IFNA(_xlpm.result, "")
)</f>
        <v/>
      </c>
      <c r="N257" t="str">
        <f>_xlfn.LET(
  _xlpm.result, _xlfn.XLOOKUP($B257, Result_Database!$A$2:$A$500, Result_Database!M$2:M$500),
  _xlfn.IFNA(_xlpm.result, "")
)</f>
        <v/>
      </c>
      <c r="O257" t="str">
        <f>_xlfn.LET(
  _xlpm.result, _xlfn.XLOOKUP($B257, Result_Database!$A$2:$A$500, Result_Database!N$2:N$500),
  _xlfn.IFNA(_xlpm.result, "")
)</f>
        <v/>
      </c>
      <c r="P257" t="str">
        <f>_xlfn.LET(
  _xlpm.result, _xlfn.XLOOKUP($B257, Result_Database!$A$2:$A$500, Result_Database!O$2:O$500),
  _xlfn.IFNA(_xlpm.result, "")
)</f>
        <v/>
      </c>
      <c r="Q257" t="str">
        <f>_xlfn.LET(
  _xlpm.result, _xlfn.XLOOKUP($B257, Result_Database!$A$2:$A$500, Result_Database!P$2:P$500),
  _xlfn.IFNA(_xlpm.result, "")
)</f>
        <v/>
      </c>
      <c r="R257" t="str">
        <f>_xlfn.LET(
  _xlpm.result, _xlfn.XLOOKUP($B257, Result_Database!$A$2:$A$500, Result_Database!Q$2:Q$500),
  _xlfn.IFNA(_xlpm.result, "")
)</f>
        <v/>
      </c>
      <c r="S257" t="str">
        <f>_xlfn.LET(
  _xlpm.result, _xlfn.XLOOKUP($B257, Result_Database!$A$2:$A$500, Result_Database!R$2:R$500),
  _xlfn.IFNA(_xlpm.result, "")
)</f>
        <v/>
      </c>
      <c r="T257" t="str">
        <f>_xlfn.LET(
  _xlpm.result, _xlfn.XLOOKUP($B257, Result_Database!$A$2:$A$500, Result_Database!S$2:S$500),
  _xlfn.IFNA(_xlpm.result, "")
)</f>
        <v/>
      </c>
      <c r="U257" t="str">
        <f>_xlfn.LET(
  _xlpm.result, _xlfn.XLOOKUP($B257, Result_Database!$A$2:$A$500, Result_Database!T$2:T$500),
  _xlfn.IFNA(_xlpm.result, "")
)</f>
        <v/>
      </c>
      <c r="V257" t="str">
        <f>_xlfn.LET(
  _xlpm.result, _xlfn.XLOOKUP($B257, Result_Database!$A$2:$A$500, Result_Database!U$2:U$500),
  _xlfn.IFNA(_xlpm.result, "")
)</f>
        <v/>
      </c>
      <c r="W257" t="str">
        <f>_xlfn.LET(
  _xlpm.result, _xlfn.XLOOKUP($B257, Result_Database!$A$2:$A$500, Result_Database!V$2:V$500),
  _xlfn.IFNA(_xlpm.result, "")
)</f>
        <v/>
      </c>
      <c r="X257" t="str">
        <f>_xlfn.LET(
  _xlpm.result, _xlfn.XLOOKUP($B257, Result_Database!$A$2:$A$500, Result_Database!W$2:W$500),
  _xlfn.IFNA(_xlpm.result, "")
)</f>
        <v/>
      </c>
      <c r="Y257" t="str">
        <f>_xlfn.LET(
  _xlpm.result, _xlfn.XLOOKUP($B257, Result_Database!$A$2:$A$500, Result_Database!X$2:X$500),
  _xlfn.IFNA(_xlpm.result, "")
)</f>
        <v/>
      </c>
      <c r="Z257" t="str">
        <f>_xlfn.LET(
  _xlpm.result, _xlfn.XLOOKUP($B257, Result_Database!$A$2:$A$500, Result_Database!Y$2:Y$500),
  _xlfn.IFNA(_xlpm.result, "")
)</f>
        <v/>
      </c>
      <c r="AA257" t="str">
        <f>_xlfn.LET(
  _xlpm.result, _xlfn.XLOOKUP($B257, Result_Database!$A$2:$A$500, Result_Database!Z$2:Z$500),
  _xlfn.IFNA(_xlpm.result, "")
)</f>
        <v/>
      </c>
      <c r="AB257" t="str">
        <f>_xlfn.LET(
  _xlpm.result, _xlfn.XLOOKUP($B257, Result_Database!$A$2:$A$500, Result_Database!AA$2:AA$500),
  _xlfn.IFNA(_xlpm.result, "")
)</f>
        <v/>
      </c>
      <c r="AC257" t="str">
        <f>_xlfn.LET(
  _xlpm.result, _xlfn.XLOOKUP($B257, Result_Database!$A$2:$A$500, Result_Database!AB$2:AB$500),
  _xlfn.IFNA(_xlpm.result, "")
)</f>
        <v/>
      </c>
      <c r="AD257" t="str">
        <f>_xlfn.LET(
  _xlpm.result, _xlfn.XLOOKUP($B257, Result_Database!$A$2:$A$500, Result_Database!AC$2:AC$500),
  _xlfn.IFNA(_xlpm.result, "")
)</f>
        <v/>
      </c>
      <c r="AE257" t="str">
        <f>_xlfn.LET(
  _xlpm.result, _xlfn.XLOOKUP($B257, Result_Database!$A$2:$A$500, Result_Database!AD$2:AD$500),
  _xlfn.IFNA(_xlpm.result, "")
)</f>
        <v/>
      </c>
      <c r="AF257" t="str">
        <f>_xlfn.LET(
  _xlpm.result, _xlfn.XLOOKUP($B257, Result_Database!$A$2:$A$500, Result_Database!AE$2:AE$500),
  _xlfn.IFNA(_xlpm.result, "")
)</f>
        <v/>
      </c>
      <c r="AG257" t="str">
        <f>_xlfn.LET(
  _xlpm.result, _xlfn.XLOOKUP($B257, Result_Database!$A$2:$A$500, Result_Database!AF$2:AF$500),
  _xlfn.IFNA(_xlpm.result, "")
)</f>
        <v/>
      </c>
      <c r="AH257" t="str">
        <f>_xlfn.LET(
  _xlpm.result, _xlfn.XLOOKUP($B257, Result_Database!$A$2:$A$500, Result_Database!AG$2:AG$500),
  _xlfn.IFNA(_xlpm.result, "")
)</f>
        <v/>
      </c>
      <c r="AI257" t="str">
        <f>_xlfn.LET(
  _xlpm.result, _xlfn.XLOOKUP($B257, Result_Database!$A$2:$A$500, Result_Database!AH$2:AH$500),
  _xlfn.IFNA(_xlpm.result, "")
)</f>
        <v/>
      </c>
      <c r="AJ257" t="str">
        <f>_xlfn.LET(
  _xlpm.result, _xlfn.XLOOKUP($B257, Result_Database!$A$2:$A$500, Result_Database!AI$2:AI$500),
  _xlfn.IFNA(_xlpm.result, "")
)</f>
        <v/>
      </c>
      <c r="AK257" t="str">
        <f>_xlfn.LET(
  _xlpm.result, _xlfn.XLOOKUP($B257, Result_Database!$A$2:$A$500, Result_Database!AJ$2:AJ$500),
  _xlfn.IFNA(_xlpm.result, "")
)</f>
        <v/>
      </c>
      <c r="AL257" t="str">
        <f>_xlfn.LET(
  _xlpm.result, _xlfn.XLOOKUP($B257, Result_Database!$A$2:$A$500, Result_Database!AK$2:AK$500),
  _xlfn.IFNA(_xlpm.result, "")
)</f>
        <v/>
      </c>
      <c r="AM25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5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5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5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5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5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5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5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5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57" t="str">
        <f>IF(SUM(Table5[[#This Row],[A1]:[C6]])&lt;&gt;0,SUM(Table5[[#This Row],[A1]:[C6]]),"")</f>
        <v/>
      </c>
      <c r="AW257" t="str">
        <f>IF(SUM(Table5[[#This Row],[D7]:[F9]])=0,"",SUM(Table5[[#This Row],[D7]:[F9]]))</f>
        <v/>
      </c>
      <c r="AX25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5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5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5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5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5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57" t="str">
        <f>IF(COUNTIF(Table5[[#This Row],[English Language]:[Electrical/ Electronics]],"WITHHELD")=0,"",COUNTIF(Table5[[#This Row],[English Language]:[Electrical/ Electronics]],"WITHHELD"))</f>
        <v/>
      </c>
      <c r="BE257" t="str">
        <f>IF(SUM(Table5[[#This Row],[NO OF CREDITS]:[BELOW CREDITS]])=0,"",SUM(Table5[[#This Row],[NO OF CREDITS]:[BELOW CREDITS]]))</f>
        <v/>
      </c>
    </row>
    <row r="258" spans="1:57" x14ac:dyDescent="0.3">
      <c r="A258" t="str">
        <f>IF(B258&lt;&gt;"",COUNTA($B$6:B258),"")</f>
        <v/>
      </c>
      <c r="B258" t="str">
        <f>IF(Result_Database!A254="","",Result_Database!A254)</f>
        <v/>
      </c>
      <c r="C258" t="str">
        <f>_xlfn.LET(
_xlpm.result,_xlfn.XLOOKUP($B258,Result_Database!$A$2:$A$500,Result_Database!$B$2:$B$500),
_xlfn.IFNA(_xlpm.result,"")
)</f>
        <v/>
      </c>
      <c r="D258" t="str">
        <f>_xlfn.LET(
  _xlpm.result, _xlfn.XLOOKUP($B258, Result_Database!$A$2:$A$500, Result_Database!C$2:C$500),
  _xlfn.IFNA(_xlpm.result, "")
)</f>
        <v/>
      </c>
      <c r="E258" t="str">
        <f>_xlfn.LET(
  _xlpm.result, _xlfn.XLOOKUP($B258, Result_Database!$A$2:$A$500, Result_Database!D$2:D$500),
  _xlfn.IFNA(_xlpm.result, "")
)</f>
        <v/>
      </c>
      <c r="F258" t="str">
        <f>_xlfn.LET(
  _xlpm.result, _xlfn.XLOOKUP($B258, Result_Database!$A$2:$A$500, Result_Database!E$2:E$500),
  _xlfn.IFNA(_xlpm.result, "")
)</f>
        <v/>
      </c>
      <c r="G258" t="str">
        <f>_xlfn.LET(
  _xlpm.result, _xlfn.XLOOKUP($B258, Result_Database!$A$2:$A$500, Result_Database!F$2:F$500),
  _xlfn.IFNA(_xlpm.result, "")
)</f>
        <v/>
      </c>
      <c r="H258" t="str">
        <f>_xlfn.LET(
  _xlpm.result, _xlfn.XLOOKUP($B258, Result_Database!$A$2:$A$500, Result_Database!G$2:G$500),
  _xlfn.IFNA(_xlpm.result, "")
)</f>
        <v/>
      </c>
      <c r="I258" t="str">
        <f>_xlfn.LET(
  _xlpm.result, _xlfn.XLOOKUP($B258, Result_Database!$A$2:$A$500, Result_Database!H$2:H$500),
  _xlfn.IFNA(_xlpm.result, "")
)</f>
        <v/>
      </c>
      <c r="J258" t="str">
        <f>_xlfn.LET(
  _xlpm.result, _xlfn.XLOOKUP($B258, Result_Database!$A$2:$A$500, Result_Database!I$2:I$500),
  _xlfn.IFNA(_xlpm.result, "")
)</f>
        <v/>
      </c>
      <c r="K258" t="str">
        <f>_xlfn.LET(
  _xlpm.result, _xlfn.XLOOKUP($B258, Result_Database!$A$2:$A$500, Result_Database!J$2:J$500),
  _xlfn.IFNA(_xlpm.result, "")
)</f>
        <v/>
      </c>
      <c r="L258" t="str">
        <f>_xlfn.LET(
  _xlpm.result, _xlfn.XLOOKUP($B258, Result_Database!$A$2:$A$500, Result_Database!K$2:K$500),
  _xlfn.IFNA(_xlpm.result, "")
)</f>
        <v/>
      </c>
      <c r="M258" t="str">
        <f>_xlfn.LET(
  _xlpm.result, _xlfn.XLOOKUP($B258, Result_Database!$A$2:$A$500, Result_Database!L$2:L$500),
  _xlfn.IFNA(_xlpm.result, "")
)</f>
        <v/>
      </c>
      <c r="N258" t="str">
        <f>_xlfn.LET(
  _xlpm.result, _xlfn.XLOOKUP($B258, Result_Database!$A$2:$A$500, Result_Database!M$2:M$500),
  _xlfn.IFNA(_xlpm.result, "")
)</f>
        <v/>
      </c>
      <c r="O258" t="str">
        <f>_xlfn.LET(
  _xlpm.result, _xlfn.XLOOKUP($B258, Result_Database!$A$2:$A$500, Result_Database!N$2:N$500),
  _xlfn.IFNA(_xlpm.result, "")
)</f>
        <v/>
      </c>
      <c r="P258" t="str">
        <f>_xlfn.LET(
  _xlpm.result, _xlfn.XLOOKUP($B258, Result_Database!$A$2:$A$500, Result_Database!O$2:O$500),
  _xlfn.IFNA(_xlpm.result, "")
)</f>
        <v/>
      </c>
      <c r="Q258" t="str">
        <f>_xlfn.LET(
  _xlpm.result, _xlfn.XLOOKUP($B258, Result_Database!$A$2:$A$500, Result_Database!P$2:P$500),
  _xlfn.IFNA(_xlpm.result, "")
)</f>
        <v/>
      </c>
      <c r="R258" t="str">
        <f>_xlfn.LET(
  _xlpm.result, _xlfn.XLOOKUP($B258, Result_Database!$A$2:$A$500, Result_Database!Q$2:Q$500),
  _xlfn.IFNA(_xlpm.result, "")
)</f>
        <v/>
      </c>
      <c r="S258" t="str">
        <f>_xlfn.LET(
  _xlpm.result, _xlfn.XLOOKUP($B258, Result_Database!$A$2:$A$500, Result_Database!R$2:R$500),
  _xlfn.IFNA(_xlpm.result, "")
)</f>
        <v/>
      </c>
      <c r="T258" t="str">
        <f>_xlfn.LET(
  _xlpm.result, _xlfn.XLOOKUP($B258, Result_Database!$A$2:$A$500, Result_Database!S$2:S$500),
  _xlfn.IFNA(_xlpm.result, "")
)</f>
        <v/>
      </c>
      <c r="U258" t="str">
        <f>_xlfn.LET(
  _xlpm.result, _xlfn.XLOOKUP($B258, Result_Database!$A$2:$A$500, Result_Database!T$2:T$500),
  _xlfn.IFNA(_xlpm.result, "")
)</f>
        <v/>
      </c>
      <c r="V258" t="str">
        <f>_xlfn.LET(
  _xlpm.result, _xlfn.XLOOKUP($B258, Result_Database!$A$2:$A$500, Result_Database!U$2:U$500),
  _xlfn.IFNA(_xlpm.result, "")
)</f>
        <v/>
      </c>
      <c r="W258" t="str">
        <f>_xlfn.LET(
  _xlpm.result, _xlfn.XLOOKUP($B258, Result_Database!$A$2:$A$500, Result_Database!V$2:V$500),
  _xlfn.IFNA(_xlpm.result, "")
)</f>
        <v/>
      </c>
      <c r="X258" t="str">
        <f>_xlfn.LET(
  _xlpm.result, _xlfn.XLOOKUP($B258, Result_Database!$A$2:$A$500, Result_Database!W$2:W$500),
  _xlfn.IFNA(_xlpm.result, "")
)</f>
        <v/>
      </c>
      <c r="Y258" t="str">
        <f>_xlfn.LET(
  _xlpm.result, _xlfn.XLOOKUP($B258, Result_Database!$A$2:$A$500, Result_Database!X$2:X$500),
  _xlfn.IFNA(_xlpm.result, "")
)</f>
        <v/>
      </c>
      <c r="Z258" t="str">
        <f>_xlfn.LET(
  _xlpm.result, _xlfn.XLOOKUP($B258, Result_Database!$A$2:$A$500, Result_Database!Y$2:Y$500),
  _xlfn.IFNA(_xlpm.result, "")
)</f>
        <v/>
      </c>
      <c r="AA258" t="str">
        <f>_xlfn.LET(
  _xlpm.result, _xlfn.XLOOKUP($B258, Result_Database!$A$2:$A$500, Result_Database!Z$2:Z$500),
  _xlfn.IFNA(_xlpm.result, "")
)</f>
        <v/>
      </c>
      <c r="AB258" t="str">
        <f>_xlfn.LET(
  _xlpm.result, _xlfn.XLOOKUP($B258, Result_Database!$A$2:$A$500, Result_Database!AA$2:AA$500),
  _xlfn.IFNA(_xlpm.result, "")
)</f>
        <v/>
      </c>
      <c r="AC258" t="str">
        <f>_xlfn.LET(
  _xlpm.result, _xlfn.XLOOKUP($B258, Result_Database!$A$2:$A$500, Result_Database!AB$2:AB$500),
  _xlfn.IFNA(_xlpm.result, "")
)</f>
        <v/>
      </c>
      <c r="AD258" t="str">
        <f>_xlfn.LET(
  _xlpm.result, _xlfn.XLOOKUP($B258, Result_Database!$A$2:$A$500, Result_Database!AC$2:AC$500),
  _xlfn.IFNA(_xlpm.result, "")
)</f>
        <v/>
      </c>
      <c r="AE258" t="str">
        <f>_xlfn.LET(
  _xlpm.result, _xlfn.XLOOKUP($B258, Result_Database!$A$2:$A$500, Result_Database!AD$2:AD$500),
  _xlfn.IFNA(_xlpm.result, "")
)</f>
        <v/>
      </c>
      <c r="AF258" t="str">
        <f>_xlfn.LET(
  _xlpm.result, _xlfn.XLOOKUP($B258, Result_Database!$A$2:$A$500, Result_Database!AE$2:AE$500),
  _xlfn.IFNA(_xlpm.result, "")
)</f>
        <v/>
      </c>
      <c r="AG258" t="str">
        <f>_xlfn.LET(
  _xlpm.result, _xlfn.XLOOKUP($B258, Result_Database!$A$2:$A$500, Result_Database!AF$2:AF$500),
  _xlfn.IFNA(_xlpm.result, "")
)</f>
        <v/>
      </c>
      <c r="AH258" t="str">
        <f>_xlfn.LET(
  _xlpm.result, _xlfn.XLOOKUP($B258, Result_Database!$A$2:$A$500, Result_Database!AG$2:AG$500),
  _xlfn.IFNA(_xlpm.result, "")
)</f>
        <v/>
      </c>
      <c r="AI258" t="str">
        <f>_xlfn.LET(
  _xlpm.result, _xlfn.XLOOKUP($B258, Result_Database!$A$2:$A$500, Result_Database!AH$2:AH$500),
  _xlfn.IFNA(_xlpm.result, "")
)</f>
        <v/>
      </c>
      <c r="AJ258" t="str">
        <f>_xlfn.LET(
  _xlpm.result, _xlfn.XLOOKUP($B258, Result_Database!$A$2:$A$500, Result_Database!AI$2:AI$500),
  _xlfn.IFNA(_xlpm.result, "")
)</f>
        <v/>
      </c>
      <c r="AK258" t="str">
        <f>_xlfn.LET(
  _xlpm.result, _xlfn.XLOOKUP($B258, Result_Database!$A$2:$A$500, Result_Database!AJ$2:AJ$500),
  _xlfn.IFNA(_xlpm.result, "")
)</f>
        <v/>
      </c>
      <c r="AL258" t="str">
        <f>_xlfn.LET(
  _xlpm.result, _xlfn.XLOOKUP($B258, Result_Database!$A$2:$A$500, Result_Database!AK$2:AK$500),
  _xlfn.IFNA(_xlpm.result, "")
)</f>
        <v/>
      </c>
      <c r="AM25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5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5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5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5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5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5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5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5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58" t="str">
        <f>IF(SUM(Table5[[#This Row],[A1]:[C6]])&lt;&gt;0,SUM(Table5[[#This Row],[A1]:[C6]]),"")</f>
        <v/>
      </c>
      <c r="AW258" t="str">
        <f>IF(SUM(Table5[[#This Row],[D7]:[F9]])=0,"",SUM(Table5[[#This Row],[D7]:[F9]]))</f>
        <v/>
      </c>
      <c r="AX25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5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5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5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5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5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58" t="str">
        <f>IF(COUNTIF(Table5[[#This Row],[English Language]:[Electrical/ Electronics]],"WITHHELD")=0,"",COUNTIF(Table5[[#This Row],[English Language]:[Electrical/ Electronics]],"WITHHELD"))</f>
        <v/>
      </c>
      <c r="BE258" t="str">
        <f>IF(SUM(Table5[[#This Row],[NO OF CREDITS]:[BELOW CREDITS]])=0,"",SUM(Table5[[#This Row],[NO OF CREDITS]:[BELOW CREDITS]]))</f>
        <v/>
      </c>
    </row>
    <row r="259" spans="1:57" x14ac:dyDescent="0.3">
      <c r="A259" t="str">
        <f>IF(B259&lt;&gt;"",COUNTA($B$6:B259),"")</f>
        <v/>
      </c>
      <c r="B259" t="str">
        <f>IF(Result_Database!A255="","",Result_Database!A255)</f>
        <v/>
      </c>
      <c r="C259" t="str">
        <f>_xlfn.LET(
_xlpm.result,_xlfn.XLOOKUP($B259,Result_Database!$A$2:$A$500,Result_Database!$B$2:$B$500),
_xlfn.IFNA(_xlpm.result,"")
)</f>
        <v/>
      </c>
      <c r="D259" t="str">
        <f>_xlfn.LET(
  _xlpm.result, _xlfn.XLOOKUP($B259, Result_Database!$A$2:$A$500, Result_Database!C$2:C$500),
  _xlfn.IFNA(_xlpm.result, "")
)</f>
        <v/>
      </c>
      <c r="E259" t="str">
        <f>_xlfn.LET(
  _xlpm.result, _xlfn.XLOOKUP($B259, Result_Database!$A$2:$A$500, Result_Database!D$2:D$500),
  _xlfn.IFNA(_xlpm.result, "")
)</f>
        <v/>
      </c>
      <c r="F259" t="str">
        <f>_xlfn.LET(
  _xlpm.result, _xlfn.XLOOKUP($B259, Result_Database!$A$2:$A$500, Result_Database!E$2:E$500),
  _xlfn.IFNA(_xlpm.result, "")
)</f>
        <v/>
      </c>
      <c r="G259" t="str">
        <f>_xlfn.LET(
  _xlpm.result, _xlfn.XLOOKUP($B259, Result_Database!$A$2:$A$500, Result_Database!F$2:F$500),
  _xlfn.IFNA(_xlpm.result, "")
)</f>
        <v/>
      </c>
      <c r="H259" t="str">
        <f>_xlfn.LET(
  _xlpm.result, _xlfn.XLOOKUP($B259, Result_Database!$A$2:$A$500, Result_Database!G$2:G$500),
  _xlfn.IFNA(_xlpm.result, "")
)</f>
        <v/>
      </c>
      <c r="I259" t="str">
        <f>_xlfn.LET(
  _xlpm.result, _xlfn.XLOOKUP($B259, Result_Database!$A$2:$A$500, Result_Database!H$2:H$500),
  _xlfn.IFNA(_xlpm.result, "")
)</f>
        <v/>
      </c>
      <c r="J259" t="str">
        <f>_xlfn.LET(
  _xlpm.result, _xlfn.XLOOKUP($B259, Result_Database!$A$2:$A$500, Result_Database!I$2:I$500),
  _xlfn.IFNA(_xlpm.result, "")
)</f>
        <v/>
      </c>
      <c r="K259" t="str">
        <f>_xlfn.LET(
  _xlpm.result, _xlfn.XLOOKUP($B259, Result_Database!$A$2:$A$500, Result_Database!J$2:J$500),
  _xlfn.IFNA(_xlpm.result, "")
)</f>
        <v/>
      </c>
      <c r="L259" t="str">
        <f>_xlfn.LET(
  _xlpm.result, _xlfn.XLOOKUP($B259, Result_Database!$A$2:$A$500, Result_Database!K$2:K$500),
  _xlfn.IFNA(_xlpm.result, "")
)</f>
        <v/>
      </c>
      <c r="M259" t="str">
        <f>_xlfn.LET(
  _xlpm.result, _xlfn.XLOOKUP($B259, Result_Database!$A$2:$A$500, Result_Database!L$2:L$500),
  _xlfn.IFNA(_xlpm.result, "")
)</f>
        <v/>
      </c>
      <c r="N259" t="str">
        <f>_xlfn.LET(
  _xlpm.result, _xlfn.XLOOKUP($B259, Result_Database!$A$2:$A$500, Result_Database!M$2:M$500),
  _xlfn.IFNA(_xlpm.result, "")
)</f>
        <v/>
      </c>
      <c r="O259" t="str">
        <f>_xlfn.LET(
  _xlpm.result, _xlfn.XLOOKUP($B259, Result_Database!$A$2:$A$500, Result_Database!N$2:N$500),
  _xlfn.IFNA(_xlpm.result, "")
)</f>
        <v/>
      </c>
      <c r="P259" t="str">
        <f>_xlfn.LET(
  _xlpm.result, _xlfn.XLOOKUP($B259, Result_Database!$A$2:$A$500, Result_Database!O$2:O$500),
  _xlfn.IFNA(_xlpm.result, "")
)</f>
        <v/>
      </c>
      <c r="Q259" t="str">
        <f>_xlfn.LET(
  _xlpm.result, _xlfn.XLOOKUP($B259, Result_Database!$A$2:$A$500, Result_Database!P$2:P$500),
  _xlfn.IFNA(_xlpm.result, "")
)</f>
        <v/>
      </c>
      <c r="R259" t="str">
        <f>_xlfn.LET(
  _xlpm.result, _xlfn.XLOOKUP($B259, Result_Database!$A$2:$A$500, Result_Database!Q$2:Q$500),
  _xlfn.IFNA(_xlpm.result, "")
)</f>
        <v/>
      </c>
      <c r="S259" t="str">
        <f>_xlfn.LET(
  _xlpm.result, _xlfn.XLOOKUP($B259, Result_Database!$A$2:$A$500, Result_Database!R$2:R$500),
  _xlfn.IFNA(_xlpm.result, "")
)</f>
        <v/>
      </c>
      <c r="T259" t="str">
        <f>_xlfn.LET(
  _xlpm.result, _xlfn.XLOOKUP($B259, Result_Database!$A$2:$A$500, Result_Database!S$2:S$500),
  _xlfn.IFNA(_xlpm.result, "")
)</f>
        <v/>
      </c>
      <c r="U259" t="str">
        <f>_xlfn.LET(
  _xlpm.result, _xlfn.XLOOKUP($B259, Result_Database!$A$2:$A$500, Result_Database!T$2:T$500),
  _xlfn.IFNA(_xlpm.result, "")
)</f>
        <v/>
      </c>
      <c r="V259" t="str">
        <f>_xlfn.LET(
  _xlpm.result, _xlfn.XLOOKUP($B259, Result_Database!$A$2:$A$500, Result_Database!U$2:U$500),
  _xlfn.IFNA(_xlpm.result, "")
)</f>
        <v/>
      </c>
      <c r="W259" t="str">
        <f>_xlfn.LET(
  _xlpm.result, _xlfn.XLOOKUP($B259, Result_Database!$A$2:$A$500, Result_Database!V$2:V$500),
  _xlfn.IFNA(_xlpm.result, "")
)</f>
        <v/>
      </c>
      <c r="X259" t="str">
        <f>_xlfn.LET(
  _xlpm.result, _xlfn.XLOOKUP($B259, Result_Database!$A$2:$A$500, Result_Database!W$2:W$500),
  _xlfn.IFNA(_xlpm.result, "")
)</f>
        <v/>
      </c>
      <c r="Y259" t="str">
        <f>_xlfn.LET(
  _xlpm.result, _xlfn.XLOOKUP($B259, Result_Database!$A$2:$A$500, Result_Database!X$2:X$500),
  _xlfn.IFNA(_xlpm.result, "")
)</f>
        <v/>
      </c>
      <c r="Z259" t="str">
        <f>_xlfn.LET(
  _xlpm.result, _xlfn.XLOOKUP($B259, Result_Database!$A$2:$A$500, Result_Database!Y$2:Y$500),
  _xlfn.IFNA(_xlpm.result, "")
)</f>
        <v/>
      </c>
      <c r="AA259" t="str">
        <f>_xlfn.LET(
  _xlpm.result, _xlfn.XLOOKUP($B259, Result_Database!$A$2:$A$500, Result_Database!Z$2:Z$500),
  _xlfn.IFNA(_xlpm.result, "")
)</f>
        <v/>
      </c>
      <c r="AB259" t="str">
        <f>_xlfn.LET(
  _xlpm.result, _xlfn.XLOOKUP($B259, Result_Database!$A$2:$A$500, Result_Database!AA$2:AA$500),
  _xlfn.IFNA(_xlpm.result, "")
)</f>
        <v/>
      </c>
      <c r="AC259" t="str">
        <f>_xlfn.LET(
  _xlpm.result, _xlfn.XLOOKUP($B259, Result_Database!$A$2:$A$500, Result_Database!AB$2:AB$500),
  _xlfn.IFNA(_xlpm.result, "")
)</f>
        <v/>
      </c>
      <c r="AD259" t="str">
        <f>_xlfn.LET(
  _xlpm.result, _xlfn.XLOOKUP($B259, Result_Database!$A$2:$A$500, Result_Database!AC$2:AC$500),
  _xlfn.IFNA(_xlpm.result, "")
)</f>
        <v/>
      </c>
      <c r="AE259" t="str">
        <f>_xlfn.LET(
  _xlpm.result, _xlfn.XLOOKUP($B259, Result_Database!$A$2:$A$500, Result_Database!AD$2:AD$500),
  _xlfn.IFNA(_xlpm.result, "")
)</f>
        <v/>
      </c>
      <c r="AF259" t="str">
        <f>_xlfn.LET(
  _xlpm.result, _xlfn.XLOOKUP($B259, Result_Database!$A$2:$A$500, Result_Database!AE$2:AE$500),
  _xlfn.IFNA(_xlpm.result, "")
)</f>
        <v/>
      </c>
      <c r="AG259" t="str">
        <f>_xlfn.LET(
  _xlpm.result, _xlfn.XLOOKUP($B259, Result_Database!$A$2:$A$500, Result_Database!AF$2:AF$500),
  _xlfn.IFNA(_xlpm.result, "")
)</f>
        <v/>
      </c>
      <c r="AH259" t="str">
        <f>_xlfn.LET(
  _xlpm.result, _xlfn.XLOOKUP($B259, Result_Database!$A$2:$A$500, Result_Database!AG$2:AG$500),
  _xlfn.IFNA(_xlpm.result, "")
)</f>
        <v/>
      </c>
      <c r="AI259" t="str">
        <f>_xlfn.LET(
  _xlpm.result, _xlfn.XLOOKUP($B259, Result_Database!$A$2:$A$500, Result_Database!AH$2:AH$500),
  _xlfn.IFNA(_xlpm.result, "")
)</f>
        <v/>
      </c>
      <c r="AJ259" t="str">
        <f>_xlfn.LET(
  _xlpm.result, _xlfn.XLOOKUP($B259, Result_Database!$A$2:$A$500, Result_Database!AI$2:AI$500),
  _xlfn.IFNA(_xlpm.result, "")
)</f>
        <v/>
      </c>
      <c r="AK259" t="str">
        <f>_xlfn.LET(
  _xlpm.result, _xlfn.XLOOKUP($B259, Result_Database!$A$2:$A$500, Result_Database!AJ$2:AJ$500),
  _xlfn.IFNA(_xlpm.result, "")
)</f>
        <v/>
      </c>
      <c r="AL259" t="str">
        <f>_xlfn.LET(
  _xlpm.result, _xlfn.XLOOKUP($B259, Result_Database!$A$2:$A$500, Result_Database!AK$2:AK$500),
  _xlfn.IFNA(_xlpm.result, "")
)</f>
        <v/>
      </c>
      <c r="AM25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5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5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5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5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5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5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5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5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59" t="str">
        <f>IF(SUM(Table5[[#This Row],[A1]:[C6]])&lt;&gt;0,SUM(Table5[[#This Row],[A1]:[C6]]),"")</f>
        <v/>
      </c>
      <c r="AW259" t="str">
        <f>IF(SUM(Table5[[#This Row],[D7]:[F9]])=0,"",SUM(Table5[[#This Row],[D7]:[F9]]))</f>
        <v/>
      </c>
      <c r="AX25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5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5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5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5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5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59" t="str">
        <f>IF(COUNTIF(Table5[[#This Row],[English Language]:[Electrical/ Electronics]],"WITHHELD")=0,"",COUNTIF(Table5[[#This Row],[English Language]:[Electrical/ Electronics]],"WITHHELD"))</f>
        <v/>
      </c>
      <c r="BE259" t="str">
        <f>IF(SUM(Table5[[#This Row],[NO OF CREDITS]:[BELOW CREDITS]])=0,"",SUM(Table5[[#This Row],[NO OF CREDITS]:[BELOW CREDITS]]))</f>
        <v/>
      </c>
    </row>
    <row r="260" spans="1:57" x14ac:dyDescent="0.3">
      <c r="A260" t="str">
        <f>IF(B260&lt;&gt;"",COUNTA($B$6:B260),"")</f>
        <v/>
      </c>
      <c r="B260" t="str">
        <f>IF(Result_Database!A256="","",Result_Database!A256)</f>
        <v/>
      </c>
      <c r="C260" t="str">
        <f>_xlfn.LET(
_xlpm.result,_xlfn.XLOOKUP($B260,Result_Database!$A$2:$A$500,Result_Database!$B$2:$B$500),
_xlfn.IFNA(_xlpm.result,"")
)</f>
        <v/>
      </c>
      <c r="D260" t="str">
        <f>_xlfn.LET(
  _xlpm.result, _xlfn.XLOOKUP($B260, Result_Database!$A$2:$A$500, Result_Database!C$2:C$500),
  _xlfn.IFNA(_xlpm.result, "")
)</f>
        <v/>
      </c>
      <c r="E260" t="str">
        <f>_xlfn.LET(
  _xlpm.result, _xlfn.XLOOKUP($B260, Result_Database!$A$2:$A$500, Result_Database!D$2:D$500),
  _xlfn.IFNA(_xlpm.result, "")
)</f>
        <v/>
      </c>
      <c r="F260" t="str">
        <f>_xlfn.LET(
  _xlpm.result, _xlfn.XLOOKUP($B260, Result_Database!$A$2:$A$500, Result_Database!E$2:E$500),
  _xlfn.IFNA(_xlpm.result, "")
)</f>
        <v/>
      </c>
      <c r="G260" t="str">
        <f>_xlfn.LET(
  _xlpm.result, _xlfn.XLOOKUP($B260, Result_Database!$A$2:$A$500, Result_Database!F$2:F$500),
  _xlfn.IFNA(_xlpm.result, "")
)</f>
        <v/>
      </c>
      <c r="H260" t="str">
        <f>_xlfn.LET(
  _xlpm.result, _xlfn.XLOOKUP($B260, Result_Database!$A$2:$A$500, Result_Database!G$2:G$500),
  _xlfn.IFNA(_xlpm.result, "")
)</f>
        <v/>
      </c>
      <c r="I260" t="str">
        <f>_xlfn.LET(
  _xlpm.result, _xlfn.XLOOKUP($B260, Result_Database!$A$2:$A$500, Result_Database!H$2:H$500),
  _xlfn.IFNA(_xlpm.result, "")
)</f>
        <v/>
      </c>
      <c r="J260" t="str">
        <f>_xlfn.LET(
  _xlpm.result, _xlfn.XLOOKUP($B260, Result_Database!$A$2:$A$500, Result_Database!I$2:I$500),
  _xlfn.IFNA(_xlpm.result, "")
)</f>
        <v/>
      </c>
      <c r="K260" t="str">
        <f>_xlfn.LET(
  _xlpm.result, _xlfn.XLOOKUP($B260, Result_Database!$A$2:$A$500, Result_Database!J$2:J$500),
  _xlfn.IFNA(_xlpm.result, "")
)</f>
        <v/>
      </c>
      <c r="L260" t="str">
        <f>_xlfn.LET(
  _xlpm.result, _xlfn.XLOOKUP($B260, Result_Database!$A$2:$A$500, Result_Database!K$2:K$500),
  _xlfn.IFNA(_xlpm.result, "")
)</f>
        <v/>
      </c>
      <c r="M260" t="str">
        <f>_xlfn.LET(
  _xlpm.result, _xlfn.XLOOKUP($B260, Result_Database!$A$2:$A$500, Result_Database!L$2:L$500),
  _xlfn.IFNA(_xlpm.result, "")
)</f>
        <v/>
      </c>
      <c r="N260" t="str">
        <f>_xlfn.LET(
  _xlpm.result, _xlfn.XLOOKUP($B260, Result_Database!$A$2:$A$500, Result_Database!M$2:M$500),
  _xlfn.IFNA(_xlpm.result, "")
)</f>
        <v/>
      </c>
      <c r="O260" t="str">
        <f>_xlfn.LET(
  _xlpm.result, _xlfn.XLOOKUP($B260, Result_Database!$A$2:$A$500, Result_Database!N$2:N$500),
  _xlfn.IFNA(_xlpm.result, "")
)</f>
        <v/>
      </c>
      <c r="P260" t="str">
        <f>_xlfn.LET(
  _xlpm.result, _xlfn.XLOOKUP($B260, Result_Database!$A$2:$A$500, Result_Database!O$2:O$500),
  _xlfn.IFNA(_xlpm.result, "")
)</f>
        <v/>
      </c>
      <c r="Q260" t="str">
        <f>_xlfn.LET(
  _xlpm.result, _xlfn.XLOOKUP($B260, Result_Database!$A$2:$A$500, Result_Database!P$2:P$500),
  _xlfn.IFNA(_xlpm.result, "")
)</f>
        <v/>
      </c>
      <c r="R260" t="str">
        <f>_xlfn.LET(
  _xlpm.result, _xlfn.XLOOKUP($B260, Result_Database!$A$2:$A$500, Result_Database!Q$2:Q$500),
  _xlfn.IFNA(_xlpm.result, "")
)</f>
        <v/>
      </c>
      <c r="S260" t="str">
        <f>_xlfn.LET(
  _xlpm.result, _xlfn.XLOOKUP($B260, Result_Database!$A$2:$A$500, Result_Database!R$2:R$500),
  _xlfn.IFNA(_xlpm.result, "")
)</f>
        <v/>
      </c>
      <c r="T260" t="str">
        <f>_xlfn.LET(
  _xlpm.result, _xlfn.XLOOKUP($B260, Result_Database!$A$2:$A$500, Result_Database!S$2:S$500),
  _xlfn.IFNA(_xlpm.result, "")
)</f>
        <v/>
      </c>
      <c r="U260" t="str">
        <f>_xlfn.LET(
  _xlpm.result, _xlfn.XLOOKUP($B260, Result_Database!$A$2:$A$500, Result_Database!T$2:T$500),
  _xlfn.IFNA(_xlpm.result, "")
)</f>
        <v/>
      </c>
      <c r="V260" t="str">
        <f>_xlfn.LET(
  _xlpm.result, _xlfn.XLOOKUP($B260, Result_Database!$A$2:$A$500, Result_Database!U$2:U$500),
  _xlfn.IFNA(_xlpm.result, "")
)</f>
        <v/>
      </c>
      <c r="W260" t="str">
        <f>_xlfn.LET(
  _xlpm.result, _xlfn.XLOOKUP($B260, Result_Database!$A$2:$A$500, Result_Database!V$2:V$500),
  _xlfn.IFNA(_xlpm.result, "")
)</f>
        <v/>
      </c>
      <c r="X260" t="str">
        <f>_xlfn.LET(
  _xlpm.result, _xlfn.XLOOKUP($B260, Result_Database!$A$2:$A$500, Result_Database!W$2:W$500),
  _xlfn.IFNA(_xlpm.result, "")
)</f>
        <v/>
      </c>
      <c r="Y260" t="str">
        <f>_xlfn.LET(
  _xlpm.result, _xlfn.XLOOKUP($B260, Result_Database!$A$2:$A$500, Result_Database!X$2:X$500),
  _xlfn.IFNA(_xlpm.result, "")
)</f>
        <v/>
      </c>
      <c r="Z260" t="str">
        <f>_xlfn.LET(
  _xlpm.result, _xlfn.XLOOKUP($B260, Result_Database!$A$2:$A$500, Result_Database!Y$2:Y$500),
  _xlfn.IFNA(_xlpm.result, "")
)</f>
        <v/>
      </c>
      <c r="AA260" t="str">
        <f>_xlfn.LET(
  _xlpm.result, _xlfn.XLOOKUP($B260, Result_Database!$A$2:$A$500, Result_Database!Z$2:Z$500),
  _xlfn.IFNA(_xlpm.result, "")
)</f>
        <v/>
      </c>
      <c r="AB260" t="str">
        <f>_xlfn.LET(
  _xlpm.result, _xlfn.XLOOKUP($B260, Result_Database!$A$2:$A$500, Result_Database!AA$2:AA$500),
  _xlfn.IFNA(_xlpm.result, "")
)</f>
        <v/>
      </c>
      <c r="AC260" t="str">
        <f>_xlfn.LET(
  _xlpm.result, _xlfn.XLOOKUP($B260, Result_Database!$A$2:$A$500, Result_Database!AB$2:AB$500),
  _xlfn.IFNA(_xlpm.result, "")
)</f>
        <v/>
      </c>
      <c r="AD260" t="str">
        <f>_xlfn.LET(
  _xlpm.result, _xlfn.XLOOKUP($B260, Result_Database!$A$2:$A$500, Result_Database!AC$2:AC$500),
  _xlfn.IFNA(_xlpm.result, "")
)</f>
        <v/>
      </c>
      <c r="AE260" t="str">
        <f>_xlfn.LET(
  _xlpm.result, _xlfn.XLOOKUP($B260, Result_Database!$A$2:$A$500, Result_Database!AD$2:AD$500),
  _xlfn.IFNA(_xlpm.result, "")
)</f>
        <v/>
      </c>
      <c r="AF260" t="str">
        <f>_xlfn.LET(
  _xlpm.result, _xlfn.XLOOKUP($B260, Result_Database!$A$2:$A$500, Result_Database!AE$2:AE$500),
  _xlfn.IFNA(_xlpm.result, "")
)</f>
        <v/>
      </c>
      <c r="AG260" t="str">
        <f>_xlfn.LET(
  _xlpm.result, _xlfn.XLOOKUP($B260, Result_Database!$A$2:$A$500, Result_Database!AF$2:AF$500),
  _xlfn.IFNA(_xlpm.result, "")
)</f>
        <v/>
      </c>
      <c r="AH260" t="str">
        <f>_xlfn.LET(
  _xlpm.result, _xlfn.XLOOKUP($B260, Result_Database!$A$2:$A$500, Result_Database!AG$2:AG$500),
  _xlfn.IFNA(_xlpm.result, "")
)</f>
        <v/>
      </c>
      <c r="AI260" t="str">
        <f>_xlfn.LET(
  _xlpm.result, _xlfn.XLOOKUP($B260, Result_Database!$A$2:$A$500, Result_Database!AH$2:AH$500),
  _xlfn.IFNA(_xlpm.result, "")
)</f>
        <v/>
      </c>
      <c r="AJ260" t="str">
        <f>_xlfn.LET(
  _xlpm.result, _xlfn.XLOOKUP($B260, Result_Database!$A$2:$A$500, Result_Database!AI$2:AI$500),
  _xlfn.IFNA(_xlpm.result, "")
)</f>
        <v/>
      </c>
      <c r="AK260" t="str">
        <f>_xlfn.LET(
  _xlpm.result, _xlfn.XLOOKUP($B260, Result_Database!$A$2:$A$500, Result_Database!AJ$2:AJ$500),
  _xlfn.IFNA(_xlpm.result, "")
)</f>
        <v/>
      </c>
      <c r="AL260" t="str">
        <f>_xlfn.LET(
  _xlpm.result, _xlfn.XLOOKUP($B260, Result_Database!$A$2:$A$500, Result_Database!AK$2:AK$500),
  _xlfn.IFNA(_xlpm.result, "")
)</f>
        <v/>
      </c>
      <c r="AM26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6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6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6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6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6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6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6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6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60" t="str">
        <f>IF(SUM(Table5[[#This Row],[A1]:[C6]])&lt;&gt;0,SUM(Table5[[#This Row],[A1]:[C6]]),"")</f>
        <v/>
      </c>
      <c r="AW260" t="str">
        <f>IF(SUM(Table5[[#This Row],[D7]:[F9]])=0,"",SUM(Table5[[#This Row],[D7]:[F9]]))</f>
        <v/>
      </c>
      <c r="AX26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6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6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6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6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6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60" t="str">
        <f>IF(COUNTIF(Table5[[#This Row],[English Language]:[Electrical/ Electronics]],"WITHHELD")=0,"",COUNTIF(Table5[[#This Row],[English Language]:[Electrical/ Electronics]],"WITHHELD"))</f>
        <v/>
      </c>
      <c r="BE260" t="str">
        <f>IF(SUM(Table5[[#This Row],[NO OF CREDITS]:[BELOW CREDITS]])=0,"",SUM(Table5[[#This Row],[NO OF CREDITS]:[BELOW CREDITS]]))</f>
        <v/>
      </c>
    </row>
    <row r="261" spans="1:57" x14ac:dyDescent="0.3">
      <c r="A261" t="str">
        <f>IF(B261&lt;&gt;"",COUNTA($B$6:B261),"")</f>
        <v/>
      </c>
      <c r="B261" t="str">
        <f>IF(Result_Database!A257="","",Result_Database!A257)</f>
        <v/>
      </c>
      <c r="C261" t="str">
        <f>_xlfn.LET(
_xlpm.result,_xlfn.XLOOKUP($B261,Result_Database!$A$2:$A$500,Result_Database!$B$2:$B$500),
_xlfn.IFNA(_xlpm.result,"")
)</f>
        <v/>
      </c>
      <c r="D261" t="str">
        <f>_xlfn.LET(
  _xlpm.result, _xlfn.XLOOKUP($B261, Result_Database!$A$2:$A$500, Result_Database!C$2:C$500),
  _xlfn.IFNA(_xlpm.result, "")
)</f>
        <v/>
      </c>
      <c r="E261" t="str">
        <f>_xlfn.LET(
  _xlpm.result, _xlfn.XLOOKUP($B261, Result_Database!$A$2:$A$500, Result_Database!D$2:D$500),
  _xlfn.IFNA(_xlpm.result, "")
)</f>
        <v/>
      </c>
      <c r="F261" t="str">
        <f>_xlfn.LET(
  _xlpm.result, _xlfn.XLOOKUP($B261, Result_Database!$A$2:$A$500, Result_Database!E$2:E$500),
  _xlfn.IFNA(_xlpm.result, "")
)</f>
        <v/>
      </c>
      <c r="G261" t="str">
        <f>_xlfn.LET(
  _xlpm.result, _xlfn.XLOOKUP($B261, Result_Database!$A$2:$A$500, Result_Database!F$2:F$500),
  _xlfn.IFNA(_xlpm.result, "")
)</f>
        <v/>
      </c>
      <c r="H261" t="str">
        <f>_xlfn.LET(
  _xlpm.result, _xlfn.XLOOKUP($B261, Result_Database!$A$2:$A$500, Result_Database!G$2:G$500),
  _xlfn.IFNA(_xlpm.result, "")
)</f>
        <v/>
      </c>
      <c r="I261" t="str">
        <f>_xlfn.LET(
  _xlpm.result, _xlfn.XLOOKUP($B261, Result_Database!$A$2:$A$500, Result_Database!H$2:H$500),
  _xlfn.IFNA(_xlpm.result, "")
)</f>
        <v/>
      </c>
      <c r="J261" t="str">
        <f>_xlfn.LET(
  _xlpm.result, _xlfn.XLOOKUP($B261, Result_Database!$A$2:$A$500, Result_Database!I$2:I$500),
  _xlfn.IFNA(_xlpm.result, "")
)</f>
        <v/>
      </c>
      <c r="K261" t="str">
        <f>_xlfn.LET(
  _xlpm.result, _xlfn.XLOOKUP($B261, Result_Database!$A$2:$A$500, Result_Database!J$2:J$500),
  _xlfn.IFNA(_xlpm.result, "")
)</f>
        <v/>
      </c>
      <c r="L261" t="str">
        <f>_xlfn.LET(
  _xlpm.result, _xlfn.XLOOKUP($B261, Result_Database!$A$2:$A$500, Result_Database!K$2:K$500),
  _xlfn.IFNA(_xlpm.result, "")
)</f>
        <v/>
      </c>
      <c r="M261" t="str">
        <f>_xlfn.LET(
  _xlpm.result, _xlfn.XLOOKUP($B261, Result_Database!$A$2:$A$500, Result_Database!L$2:L$500),
  _xlfn.IFNA(_xlpm.result, "")
)</f>
        <v/>
      </c>
      <c r="N261" t="str">
        <f>_xlfn.LET(
  _xlpm.result, _xlfn.XLOOKUP($B261, Result_Database!$A$2:$A$500, Result_Database!M$2:M$500),
  _xlfn.IFNA(_xlpm.result, "")
)</f>
        <v/>
      </c>
      <c r="O261" t="str">
        <f>_xlfn.LET(
  _xlpm.result, _xlfn.XLOOKUP($B261, Result_Database!$A$2:$A$500, Result_Database!N$2:N$500),
  _xlfn.IFNA(_xlpm.result, "")
)</f>
        <v/>
      </c>
      <c r="P261" t="str">
        <f>_xlfn.LET(
  _xlpm.result, _xlfn.XLOOKUP($B261, Result_Database!$A$2:$A$500, Result_Database!O$2:O$500),
  _xlfn.IFNA(_xlpm.result, "")
)</f>
        <v/>
      </c>
      <c r="Q261" t="str">
        <f>_xlfn.LET(
  _xlpm.result, _xlfn.XLOOKUP($B261, Result_Database!$A$2:$A$500, Result_Database!P$2:P$500),
  _xlfn.IFNA(_xlpm.result, "")
)</f>
        <v/>
      </c>
      <c r="R261" t="str">
        <f>_xlfn.LET(
  _xlpm.result, _xlfn.XLOOKUP($B261, Result_Database!$A$2:$A$500, Result_Database!Q$2:Q$500),
  _xlfn.IFNA(_xlpm.result, "")
)</f>
        <v/>
      </c>
      <c r="S261" t="str">
        <f>_xlfn.LET(
  _xlpm.result, _xlfn.XLOOKUP($B261, Result_Database!$A$2:$A$500, Result_Database!R$2:R$500),
  _xlfn.IFNA(_xlpm.result, "")
)</f>
        <v/>
      </c>
      <c r="T261" t="str">
        <f>_xlfn.LET(
  _xlpm.result, _xlfn.XLOOKUP($B261, Result_Database!$A$2:$A$500, Result_Database!S$2:S$500),
  _xlfn.IFNA(_xlpm.result, "")
)</f>
        <v/>
      </c>
      <c r="U261" t="str">
        <f>_xlfn.LET(
  _xlpm.result, _xlfn.XLOOKUP($B261, Result_Database!$A$2:$A$500, Result_Database!T$2:T$500),
  _xlfn.IFNA(_xlpm.result, "")
)</f>
        <v/>
      </c>
      <c r="V261" t="str">
        <f>_xlfn.LET(
  _xlpm.result, _xlfn.XLOOKUP($B261, Result_Database!$A$2:$A$500, Result_Database!U$2:U$500),
  _xlfn.IFNA(_xlpm.result, "")
)</f>
        <v/>
      </c>
      <c r="W261" t="str">
        <f>_xlfn.LET(
  _xlpm.result, _xlfn.XLOOKUP($B261, Result_Database!$A$2:$A$500, Result_Database!V$2:V$500),
  _xlfn.IFNA(_xlpm.result, "")
)</f>
        <v/>
      </c>
      <c r="X261" t="str">
        <f>_xlfn.LET(
  _xlpm.result, _xlfn.XLOOKUP($B261, Result_Database!$A$2:$A$500, Result_Database!W$2:W$500),
  _xlfn.IFNA(_xlpm.result, "")
)</f>
        <v/>
      </c>
      <c r="Y261" t="str">
        <f>_xlfn.LET(
  _xlpm.result, _xlfn.XLOOKUP($B261, Result_Database!$A$2:$A$500, Result_Database!X$2:X$500),
  _xlfn.IFNA(_xlpm.result, "")
)</f>
        <v/>
      </c>
      <c r="Z261" t="str">
        <f>_xlfn.LET(
  _xlpm.result, _xlfn.XLOOKUP($B261, Result_Database!$A$2:$A$500, Result_Database!Y$2:Y$500),
  _xlfn.IFNA(_xlpm.result, "")
)</f>
        <v/>
      </c>
      <c r="AA261" t="str">
        <f>_xlfn.LET(
  _xlpm.result, _xlfn.XLOOKUP($B261, Result_Database!$A$2:$A$500, Result_Database!Z$2:Z$500),
  _xlfn.IFNA(_xlpm.result, "")
)</f>
        <v/>
      </c>
      <c r="AB261" t="str">
        <f>_xlfn.LET(
  _xlpm.result, _xlfn.XLOOKUP($B261, Result_Database!$A$2:$A$500, Result_Database!AA$2:AA$500),
  _xlfn.IFNA(_xlpm.result, "")
)</f>
        <v/>
      </c>
      <c r="AC261" t="str">
        <f>_xlfn.LET(
  _xlpm.result, _xlfn.XLOOKUP($B261, Result_Database!$A$2:$A$500, Result_Database!AB$2:AB$500),
  _xlfn.IFNA(_xlpm.result, "")
)</f>
        <v/>
      </c>
      <c r="AD261" t="str">
        <f>_xlfn.LET(
  _xlpm.result, _xlfn.XLOOKUP($B261, Result_Database!$A$2:$A$500, Result_Database!AC$2:AC$500),
  _xlfn.IFNA(_xlpm.result, "")
)</f>
        <v/>
      </c>
      <c r="AE261" t="str">
        <f>_xlfn.LET(
  _xlpm.result, _xlfn.XLOOKUP($B261, Result_Database!$A$2:$A$500, Result_Database!AD$2:AD$500),
  _xlfn.IFNA(_xlpm.result, "")
)</f>
        <v/>
      </c>
      <c r="AF261" t="str">
        <f>_xlfn.LET(
  _xlpm.result, _xlfn.XLOOKUP($B261, Result_Database!$A$2:$A$500, Result_Database!AE$2:AE$500),
  _xlfn.IFNA(_xlpm.result, "")
)</f>
        <v/>
      </c>
      <c r="AG261" t="str">
        <f>_xlfn.LET(
  _xlpm.result, _xlfn.XLOOKUP($B261, Result_Database!$A$2:$A$500, Result_Database!AF$2:AF$500),
  _xlfn.IFNA(_xlpm.result, "")
)</f>
        <v/>
      </c>
      <c r="AH261" t="str">
        <f>_xlfn.LET(
  _xlpm.result, _xlfn.XLOOKUP($B261, Result_Database!$A$2:$A$500, Result_Database!AG$2:AG$500),
  _xlfn.IFNA(_xlpm.result, "")
)</f>
        <v/>
      </c>
      <c r="AI261" t="str">
        <f>_xlfn.LET(
  _xlpm.result, _xlfn.XLOOKUP($B261, Result_Database!$A$2:$A$500, Result_Database!AH$2:AH$500),
  _xlfn.IFNA(_xlpm.result, "")
)</f>
        <v/>
      </c>
      <c r="AJ261" t="str">
        <f>_xlfn.LET(
  _xlpm.result, _xlfn.XLOOKUP($B261, Result_Database!$A$2:$A$500, Result_Database!AI$2:AI$500),
  _xlfn.IFNA(_xlpm.result, "")
)</f>
        <v/>
      </c>
      <c r="AK261" t="str">
        <f>_xlfn.LET(
  _xlpm.result, _xlfn.XLOOKUP($B261, Result_Database!$A$2:$A$500, Result_Database!AJ$2:AJ$500),
  _xlfn.IFNA(_xlpm.result, "")
)</f>
        <v/>
      </c>
      <c r="AL261" t="str">
        <f>_xlfn.LET(
  _xlpm.result, _xlfn.XLOOKUP($B261, Result_Database!$A$2:$A$500, Result_Database!AK$2:AK$500),
  _xlfn.IFNA(_xlpm.result, "")
)</f>
        <v/>
      </c>
      <c r="AM26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6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6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6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6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6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6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6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6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61" t="str">
        <f>IF(SUM(Table5[[#This Row],[A1]:[C6]])&lt;&gt;0,SUM(Table5[[#This Row],[A1]:[C6]]),"")</f>
        <v/>
      </c>
      <c r="AW261" t="str">
        <f>IF(SUM(Table5[[#This Row],[D7]:[F9]])=0,"",SUM(Table5[[#This Row],[D7]:[F9]]))</f>
        <v/>
      </c>
      <c r="AX26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6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6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6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6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6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61" t="str">
        <f>IF(COUNTIF(Table5[[#This Row],[English Language]:[Electrical/ Electronics]],"WITHHELD")=0,"",COUNTIF(Table5[[#This Row],[English Language]:[Electrical/ Electronics]],"WITHHELD"))</f>
        <v/>
      </c>
      <c r="BE261" t="str">
        <f>IF(SUM(Table5[[#This Row],[NO OF CREDITS]:[BELOW CREDITS]])=0,"",SUM(Table5[[#This Row],[NO OF CREDITS]:[BELOW CREDITS]]))</f>
        <v/>
      </c>
    </row>
    <row r="262" spans="1:57" x14ac:dyDescent="0.3">
      <c r="A262" t="str">
        <f>IF(B262&lt;&gt;"",COUNTA($B$6:B262),"")</f>
        <v/>
      </c>
      <c r="B262" t="str">
        <f>IF(Result_Database!A258="","",Result_Database!A258)</f>
        <v/>
      </c>
      <c r="C262" t="str">
        <f>_xlfn.LET(
_xlpm.result,_xlfn.XLOOKUP($B262,Result_Database!$A$2:$A$500,Result_Database!$B$2:$B$500),
_xlfn.IFNA(_xlpm.result,"")
)</f>
        <v/>
      </c>
      <c r="D262" t="str">
        <f>_xlfn.LET(
  _xlpm.result, _xlfn.XLOOKUP($B262, Result_Database!$A$2:$A$500, Result_Database!C$2:C$500),
  _xlfn.IFNA(_xlpm.result, "")
)</f>
        <v/>
      </c>
      <c r="E262" t="str">
        <f>_xlfn.LET(
  _xlpm.result, _xlfn.XLOOKUP($B262, Result_Database!$A$2:$A$500, Result_Database!D$2:D$500),
  _xlfn.IFNA(_xlpm.result, "")
)</f>
        <v/>
      </c>
      <c r="F262" t="str">
        <f>_xlfn.LET(
  _xlpm.result, _xlfn.XLOOKUP($B262, Result_Database!$A$2:$A$500, Result_Database!E$2:E$500),
  _xlfn.IFNA(_xlpm.result, "")
)</f>
        <v/>
      </c>
      <c r="G262" t="str">
        <f>_xlfn.LET(
  _xlpm.result, _xlfn.XLOOKUP($B262, Result_Database!$A$2:$A$500, Result_Database!F$2:F$500),
  _xlfn.IFNA(_xlpm.result, "")
)</f>
        <v/>
      </c>
      <c r="H262" t="str">
        <f>_xlfn.LET(
  _xlpm.result, _xlfn.XLOOKUP($B262, Result_Database!$A$2:$A$500, Result_Database!G$2:G$500),
  _xlfn.IFNA(_xlpm.result, "")
)</f>
        <v/>
      </c>
      <c r="I262" t="str">
        <f>_xlfn.LET(
  _xlpm.result, _xlfn.XLOOKUP($B262, Result_Database!$A$2:$A$500, Result_Database!H$2:H$500),
  _xlfn.IFNA(_xlpm.result, "")
)</f>
        <v/>
      </c>
      <c r="J262" t="str">
        <f>_xlfn.LET(
  _xlpm.result, _xlfn.XLOOKUP($B262, Result_Database!$A$2:$A$500, Result_Database!I$2:I$500),
  _xlfn.IFNA(_xlpm.result, "")
)</f>
        <v/>
      </c>
      <c r="K262" t="str">
        <f>_xlfn.LET(
  _xlpm.result, _xlfn.XLOOKUP($B262, Result_Database!$A$2:$A$500, Result_Database!J$2:J$500),
  _xlfn.IFNA(_xlpm.result, "")
)</f>
        <v/>
      </c>
      <c r="L262" t="str">
        <f>_xlfn.LET(
  _xlpm.result, _xlfn.XLOOKUP($B262, Result_Database!$A$2:$A$500, Result_Database!K$2:K$500),
  _xlfn.IFNA(_xlpm.result, "")
)</f>
        <v/>
      </c>
      <c r="M262" t="str">
        <f>_xlfn.LET(
  _xlpm.result, _xlfn.XLOOKUP($B262, Result_Database!$A$2:$A$500, Result_Database!L$2:L$500),
  _xlfn.IFNA(_xlpm.result, "")
)</f>
        <v/>
      </c>
      <c r="N262" t="str">
        <f>_xlfn.LET(
  _xlpm.result, _xlfn.XLOOKUP($B262, Result_Database!$A$2:$A$500, Result_Database!M$2:M$500),
  _xlfn.IFNA(_xlpm.result, "")
)</f>
        <v/>
      </c>
      <c r="O262" t="str">
        <f>_xlfn.LET(
  _xlpm.result, _xlfn.XLOOKUP($B262, Result_Database!$A$2:$A$500, Result_Database!N$2:N$500),
  _xlfn.IFNA(_xlpm.result, "")
)</f>
        <v/>
      </c>
      <c r="P262" t="str">
        <f>_xlfn.LET(
  _xlpm.result, _xlfn.XLOOKUP($B262, Result_Database!$A$2:$A$500, Result_Database!O$2:O$500),
  _xlfn.IFNA(_xlpm.result, "")
)</f>
        <v/>
      </c>
      <c r="Q262" t="str">
        <f>_xlfn.LET(
  _xlpm.result, _xlfn.XLOOKUP($B262, Result_Database!$A$2:$A$500, Result_Database!P$2:P$500),
  _xlfn.IFNA(_xlpm.result, "")
)</f>
        <v/>
      </c>
      <c r="R262" t="str">
        <f>_xlfn.LET(
  _xlpm.result, _xlfn.XLOOKUP($B262, Result_Database!$A$2:$A$500, Result_Database!Q$2:Q$500),
  _xlfn.IFNA(_xlpm.result, "")
)</f>
        <v/>
      </c>
      <c r="S262" t="str">
        <f>_xlfn.LET(
  _xlpm.result, _xlfn.XLOOKUP($B262, Result_Database!$A$2:$A$500, Result_Database!R$2:R$500),
  _xlfn.IFNA(_xlpm.result, "")
)</f>
        <v/>
      </c>
      <c r="T262" t="str">
        <f>_xlfn.LET(
  _xlpm.result, _xlfn.XLOOKUP($B262, Result_Database!$A$2:$A$500, Result_Database!S$2:S$500),
  _xlfn.IFNA(_xlpm.result, "")
)</f>
        <v/>
      </c>
      <c r="U262" t="str">
        <f>_xlfn.LET(
  _xlpm.result, _xlfn.XLOOKUP($B262, Result_Database!$A$2:$A$500, Result_Database!T$2:T$500),
  _xlfn.IFNA(_xlpm.result, "")
)</f>
        <v/>
      </c>
      <c r="V262" t="str">
        <f>_xlfn.LET(
  _xlpm.result, _xlfn.XLOOKUP($B262, Result_Database!$A$2:$A$500, Result_Database!U$2:U$500),
  _xlfn.IFNA(_xlpm.result, "")
)</f>
        <v/>
      </c>
      <c r="W262" t="str">
        <f>_xlfn.LET(
  _xlpm.result, _xlfn.XLOOKUP($B262, Result_Database!$A$2:$A$500, Result_Database!V$2:V$500),
  _xlfn.IFNA(_xlpm.result, "")
)</f>
        <v/>
      </c>
      <c r="X262" t="str">
        <f>_xlfn.LET(
  _xlpm.result, _xlfn.XLOOKUP($B262, Result_Database!$A$2:$A$500, Result_Database!W$2:W$500),
  _xlfn.IFNA(_xlpm.result, "")
)</f>
        <v/>
      </c>
      <c r="Y262" t="str">
        <f>_xlfn.LET(
  _xlpm.result, _xlfn.XLOOKUP($B262, Result_Database!$A$2:$A$500, Result_Database!X$2:X$500),
  _xlfn.IFNA(_xlpm.result, "")
)</f>
        <v/>
      </c>
      <c r="Z262" t="str">
        <f>_xlfn.LET(
  _xlpm.result, _xlfn.XLOOKUP($B262, Result_Database!$A$2:$A$500, Result_Database!Y$2:Y$500),
  _xlfn.IFNA(_xlpm.result, "")
)</f>
        <v/>
      </c>
      <c r="AA262" t="str">
        <f>_xlfn.LET(
  _xlpm.result, _xlfn.XLOOKUP($B262, Result_Database!$A$2:$A$500, Result_Database!Z$2:Z$500),
  _xlfn.IFNA(_xlpm.result, "")
)</f>
        <v/>
      </c>
      <c r="AB262" t="str">
        <f>_xlfn.LET(
  _xlpm.result, _xlfn.XLOOKUP($B262, Result_Database!$A$2:$A$500, Result_Database!AA$2:AA$500),
  _xlfn.IFNA(_xlpm.result, "")
)</f>
        <v/>
      </c>
      <c r="AC262" t="str">
        <f>_xlfn.LET(
  _xlpm.result, _xlfn.XLOOKUP($B262, Result_Database!$A$2:$A$500, Result_Database!AB$2:AB$500),
  _xlfn.IFNA(_xlpm.result, "")
)</f>
        <v/>
      </c>
      <c r="AD262" t="str">
        <f>_xlfn.LET(
  _xlpm.result, _xlfn.XLOOKUP($B262, Result_Database!$A$2:$A$500, Result_Database!AC$2:AC$500),
  _xlfn.IFNA(_xlpm.result, "")
)</f>
        <v/>
      </c>
      <c r="AE262" t="str">
        <f>_xlfn.LET(
  _xlpm.result, _xlfn.XLOOKUP($B262, Result_Database!$A$2:$A$500, Result_Database!AD$2:AD$500),
  _xlfn.IFNA(_xlpm.result, "")
)</f>
        <v/>
      </c>
      <c r="AF262" t="str">
        <f>_xlfn.LET(
  _xlpm.result, _xlfn.XLOOKUP($B262, Result_Database!$A$2:$A$500, Result_Database!AE$2:AE$500),
  _xlfn.IFNA(_xlpm.result, "")
)</f>
        <v/>
      </c>
      <c r="AG262" t="str">
        <f>_xlfn.LET(
  _xlpm.result, _xlfn.XLOOKUP($B262, Result_Database!$A$2:$A$500, Result_Database!AF$2:AF$500),
  _xlfn.IFNA(_xlpm.result, "")
)</f>
        <v/>
      </c>
      <c r="AH262" t="str">
        <f>_xlfn.LET(
  _xlpm.result, _xlfn.XLOOKUP($B262, Result_Database!$A$2:$A$500, Result_Database!AG$2:AG$500),
  _xlfn.IFNA(_xlpm.result, "")
)</f>
        <v/>
      </c>
      <c r="AI262" t="str">
        <f>_xlfn.LET(
  _xlpm.result, _xlfn.XLOOKUP($B262, Result_Database!$A$2:$A$500, Result_Database!AH$2:AH$500),
  _xlfn.IFNA(_xlpm.result, "")
)</f>
        <v/>
      </c>
      <c r="AJ262" t="str">
        <f>_xlfn.LET(
  _xlpm.result, _xlfn.XLOOKUP($B262, Result_Database!$A$2:$A$500, Result_Database!AI$2:AI$500),
  _xlfn.IFNA(_xlpm.result, "")
)</f>
        <v/>
      </c>
      <c r="AK262" t="str">
        <f>_xlfn.LET(
  _xlpm.result, _xlfn.XLOOKUP($B262, Result_Database!$A$2:$A$500, Result_Database!AJ$2:AJ$500),
  _xlfn.IFNA(_xlpm.result, "")
)</f>
        <v/>
      </c>
      <c r="AL262" t="str">
        <f>_xlfn.LET(
  _xlpm.result, _xlfn.XLOOKUP($B262, Result_Database!$A$2:$A$500, Result_Database!AK$2:AK$500),
  _xlfn.IFNA(_xlpm.result, "")
)</f>
        <v/>
      </c>
      <c r="AM26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6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6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6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6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6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6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6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6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62" t="str">
        <f>IF(SUM(Table5[[#This Row],[A1]:[C6]])&lt;&gt;0,SUM(Table5[[#This Row],[A1]:[C6]]),"")</f>
        <v/>
      </c>
      <c r="AW262" t="str">
        <f>IF(SUM(Table5[[#This Row],[D7]:[F9]])=0,"",SUM(Table5[[#This Row],[D7]:[F9]]))</f>
        <v/>
      </c>
      <c r="AX26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6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6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6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6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6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62" t="str">
        <f>IF(COUNTIF(Table5[[#This Row],[English Language]:[Electrical/ Electronics]],"WITHHELD")=0,"",COUNTIF(Table5[[#This Row],[English Language]:[Electrical/ Electronics]],"WITHHELD"))</f>
        <v/>
      </c>
      <c r="BE262" t="str">
        <f>IF(SUM(Table5[[#This Row],[NO OF CREDITS]:[BELOW CREDITS]])=0,"",SUM(Table5[[#This Row],[NO OF CREDITS]:[BELOW CREDITS]]))</f>
        <v/>
      </c>
    </row>
    <row r="263" spans="1:57" x14ac:dyDescent="0.3">
      <c r="A263" t="str">
        <f>IF(B263&lt;&gt;"",COUNTA($B$6:B263),"")</f>
        <v/>
      </c>
      <c r="B263" t="str">
        <f>IF(Result_Database!A259="","",Result_Database!A259)</f>
        <v/>
      </c>
      <c r="C263" t="str">
        <f>_xlfn.LET(
_xlpm.result,_xlfn.XLOOKUP($B263,Result_Database!$A$2:$A$500,Result_Database!$B$2:$B$500),
_xlfn.IFNA(_xlpm.result,"")
)</f>
        <v/>
      </c>
      <c r="D263" t="str">
        <f>_xlfn.LET(
  _xlpm.result, _xlfn.XLOOKUP($B263, Result_Database!$A$2:$A$500, Result_Database!C$2:C$500),
  _xlfn.IFNA(_xlpm.result, "")
)</f>
        <v/>
      </c>
      <c r="E263" t="str">
        <f>_xlfn.LET(
  _xlpm.result, _xlfn.XLOOKUP($B263, Result_Database!$A$2:$A$500, Result_Database!D$2:D$500),
  _xlfn.IFNA(_xlpm.result, "")
)</f>
        <v/>
      </c>
      <c r="F263" t="str">
        <f>_xlfn.LET(
  _xlpm.result, _xlfn.XLOOKUP($B263, Result_Database!$A$2:$A$500, Result_Database!E$2:E$500),
  _xlfn.IFNA(_xlpm.result, "")
)</f>
        <v/>
      </c>
      <c r="G263" t="str">
        <f>_xlfn.LET(
  _xlpm.result, _xlfn.XLOOKUP($B263, Result_Database!$A$2:$A$500, Result_Database!F$2:F$500),
  _xlfn.IFNA(_xlpm.result, "")
)</f>
        <v/>
      </c>
      <c r="H263" t="str">
        <f>_xlfn.LET(
  _xlpm.result, _xlfn.XLOOKUP($B263, Result_Database!$A$2:$A$500, Result_Database!G$2:G$500),
  _xlfn.IFNA(_xlpm.result, "")
)</f>
        <v/>
      </c>
      <c r="I263" t="str">
        <f>_xlfn.LET(
  _xlpm.result, _xlfn.XLOOKUP($B263, Result_Database!$A$2:$A$500, Result_Database!H$2:H$500),
  _xlfn.IFNA(_xlpm.result, "")
)</f>
        <v/>
      </c>
      <c r="J263" t="str">
        <f>_xlfn.LET(
  _xlpm.result, _xlfn.XLOOKUP($B263, Result_Database!$A$2:$A$500, Result_Database!I$2:I$500),
  _xlfn.IFNA(_xlpm.result, "")
)</f>
        <v/>
      </c>
      <c r="K263" t="str">
        <f>_xlfn.LET(
  _xlpm.result, _xlfn.XLOOKUP($B263, Result_Database!$A$2:$A$500, Result_Database!J$2:J$500),
  _xlfn.IFNA(_xlpm.result, "")
)</f>
        <v/>
      </c>
      <c r="L263" t="str">
        <f>_xlfn.LET(
  _xlpm.result, _xlfn.XLOOKUP($B263, Result_Database!$A$2:$A$500, Result_Database!K$2:K$500),
  _xlfn.IFNA(_xlpm.result, "")
)</f>
        <v/>
      </c>
      <c r="M263" t="str">
        <f>_xlfn.LET(
  _xlpm.result, _xlfn.XLOOKUP($B263, Result_Database!$A$2:$A$500, Result_Database!L$2:L$500),
  _xlfn.IFNA(_xlpm.result, "")
)</f>
        <v/>
      </c>
      <c r="N263" t="str">
        <f>_xlfn.LET(
  _xlpm.result, _xlfn.XLOOKUP($B263, Result_Database!$A$2:$A$500, Result_Database!M$2:M$500),
  _xlfn.IFNA(_xlpm.result, "")
)</f>
        <v/>
      </c>
      <c r="O263" t="str">
        <f>_xlfn.LET(
  _xlpm.result, _xlfn.XLOOKUP($B263, Result_Database!$A$2:$A$500, Result_Database!N$2:N$500),
  _xlfn.IFNA(_xlpm.result, "")
)</f>
        <v/>
      </c>
      <c r="P263" t="str">
        <f>_xlfn.LET(
  _xlpm.result, _xlfn.XLOOKUP($B263, Result_Database!$A$2:$A$500, Result_Database!O$2:O$500),
  _xlfn.IFNA(_xlpm.result, "")
)</f>
        <v/>
      </c>
      <c r="Q263" t="str">
        <f>_xlfn.LET(
  _xlpm.result, _xlfn.XLOOKUP($B263, Result_Database!$A$2:$A$500, Result_Database!P$2:P$500),
  _xlfn.IFNA(_xlpm.result, "")
)</f>
        <v/>
      </c>
      <c r="R263" t="str">
        <f>_xlfn.LET(
  _xlpm.result, _xlfn.XLOOKUP($B263, Result_Database!$A$2:$A$500, Result_Database!Q$2:Q$500),
  _xlfn.IFNA(_xlpm.result, "")
)</f>
        <v/>
      </c>
      <c r="S263" t="str">
        <f>_xlfn.LET(
  _xlpm.result, _xlfn.XLOOKUP($B263, Result_Database!$A$2:$A$500, Result_Database!R$2:R$500),
  _xlfn.IFNA(_xlpm.result, "")
)</f>
        <v/>
      </c>
      <c r="T263" t="str">
        <f>_xlfn.LET(
  _xlpm.result, _xlfn.XLOOKUP($B263, Result_Database!$A$2:$A$500, Result_Database!S$2:S$500),
  _xlfn.IFNA(_xlpm.result, "")
)</f>
        <v/>
      </c>
      <c r="U263" t="str">
        <f>_xlfn.LET(
  _xlpm.result, _xlfn.XLOOKUP($B263, Result_Database!$A$2:$A$500, Result_Database!T$2:T$500),
  _xlfn.IFNA(_xlpm.result, "")
)</f>
        <v/>
      </c>
      <c r="V263" t="str">
        <f>_xlfn.LET(
  _xlpm.result, _xlfn.XLOOKUP($B263, Result_Database!$A$2:$A$500, Result_Database!U$2:U$500),
  _xlfn.IFNA(_xlpm.result, "")
)</f>
        <v/>
      </c>
      <c r="W263" t="str">
        <f>_xlfn.LET(
  _xlpm.result, _xlfn.XLOOKUP($B263, Result_Database!$A$2:$A$500, Result_Database!V$2:V$500),
  _xlfn.IFNA(_xlpm.result, "")
)</f>
        <v/>
      </c>
      <c r="X263" t="str">
        <f>_xlfn.LET(
  _xlpm.result, _xlfn.XLOOKUP($B263, Result_Database!$A$2:$A$500, Result_Database!W$2:W$500),
  _xlfn.IFNA(_xlpm.result, "")
)</f>
        <v/>
      </c>
      <c r="Y263" t="str">
        <f>_xlfn.LET(
  _xlpm.result, _xlfn.XLOOKUP($B263, Result_Database!$A$2:$A$500, Result_Database!X$2:X$500),
  _xlfn.IFNA(_xlpm.result, "")
)</f>
        <v/>
      </c>
      <c r="Z263" t="str">
        <f>_xlfn.LET(
  _xlpm.result, _xlfn.XLOOKUP($B263, Result_Database!$A$2:$A$500, Result_Database!Y$2:Y$500),
  _xlfn.IFNA(_xlpm.result, "")
)</f>
        <v/>
      </c>
      <c r="AA263" t="str">
        <f>_xlfn.LET(
  _xlpm.result, _xlfn.XLOOKUP($B263, Result_Database!$A$2:$A$500, Result_Database!Z$2:Z$500),
  _xlfn.IFNA(_xlpm.result, "")
)</f>
        <v/>
      </c>
      <c r="AB263" t="str">
        <f>_xlfn.LET(
  _xlpm.result, _xlfn.XLOOKUP($B263, Result_Database!$A$2:$A$500, Result_Database!AA$2:AA$500),
  _xlfn.IFNA(_xlpm.result, "")
)</f>
        <v/>
      </c>
      <c r="AC263" t="str">
        <f>_xlfn.LET(
  _xlpm.result, _xlfn.XLOOKUP($B263, Result_Database!$A$2:$A$500, Result_Database!AB$2:AB$500),
  _xlfn.IFNA(_xlpm.result, "")
)</f>
        <v/>
      </c>
      <c r="AD263" t="str">
        <f>_xlfn.LET(
  _xlpm.result, _xlfn.XLOOKUP($B263, Result_Database!$A$2:$A$500, Result_Database!AC$2:AC$500),
  _xlfn.IFNA(_xlpm.result, "")
)</f>
        <v/>
      </c>
      <c r="AE263" t="str">
        <f>_xlfn.LET(
  _xlpm.result, _xlfn.XLOOKUP($B263, Result_Database!$A$2:$A$500, Result_Database!AD$2:AD$500),
  _xlfn.IFNA(_xlpm.result, "")
)</f>
        <v/>
      </c>
      <c r="AF263" t="str">
        <f>_xlfn.LET(
  _xlpm.result, _xlfn.XLOOKUP($B263, Result_Database!$A$2:$A$500, Result_Database!AE$2:AE$500),
  _xlfn.IFNA(_xlpm.result, "")
)</f>
        <v/>
      </c>
      <c r="AG263" t="str">
        <f>_xlfn.LET(
  _xlpm.result, _xlfn.XLOOKUP($B263, Result_Database!$A$2:$A$500, Result_Database!AF$2:AF$500),
  _xlfn.IFNA(_xlpm.result, "")
)</f>
        <v/>
      </c>
      <c r="AH263" t="str">
        <f>_xlfn.LET(
  _xlpm.result, _xlfn.XLOOKUP($B263, Result_Database!$A$2:$A$500, Result_Database!AG$2:AG$500),
  _xlfn.IFNA(_xlpm.result, "")
)</f>
        <v/>
      </c>
      <c r="AI263" t="str">
        <f>_xlfn.LET(
  _xlpm.result, _xlfn.XLOOKUP($B263, Result_Database!$A$2:$A$500, Result_Database!AH$2:AH$500),
  _xlfn.IFNA(_xlpm.result, "")
)</f>
        <v/>
      </c>
      <c r="AJ263" t="str">
        <f>_xlfn.LET(
  _xlpm.result, _xlfn.XLOOKUP($B263, Result_Database!$A$2:$A$500, Result_Database!AI$2:AI$500),
  _xlfn.IFNA(_xlpm.result, "")
)</f>
        <v/>
      </c>
      <c r="AK263" t="str">
        <f>_xlfn.LET(
  _xlpm.result, _xlfn.XLOOKUP($B263, Result_Database!$A$2:$A$500, Result_Database!AJ$2:AJ$500),
  _xlfn.IFNA(_xlpm.result, "")
)</f>
        <v/>
      </c>
      <c r="AL263" t="str">
        <f>_xlfn.LET(
  _xlpm.result, _xlfn.XLOOKUP($B263, Result_Database!$A$2:$A$500, Result_Database!AK$2:AK$500),
  _xlfn.IFNA(_xlpm.result, "")
)</f>
        <v/>
      </c>
      <c r="AM26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6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6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6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6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6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6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6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6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63" t="str">
        <f>IF(SUM(Table5[[#This Row],[A1]:[C6]])&lt;&gt;0,SUM(Table5[[#This Row],[A1]:[C6]]),"")</f>
        <v/>
      </c>
      <c r="AW263" t="str">
        <f>IF(SUM(Table5[[#This Row],[D7]:[F9]])=0,"",SUM(Table5[[#This Row],[D7]:[F9]]))</f>
        <v/>
      </c>
      <c r="AX26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6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6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6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6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6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63" t="str">
        <f>IF(COUNTIF(Table5[[#This Row],[English Language]:[Electrical/ Electronics]],"WITHHELD")=0,"",COUNTIF(Table5[[#This Row],[English Language]:[Electrical/ Electronics]],"WITHHELD"))</f>
        <v/>
      </c>
      <c r="BE263" t="str">
        <f>IF(SUM(Table5[[#This Row],[NO OF CREDITS]:[BELOW CREDITS]])=0,"",SUM(Table5[[#This Row],[NO OF CREDITS]:[BELOW CREDITS]]))</f>
        <v/>
      </c>
    </row>
    <row r="264" spans="1:57" x14ac:dyDescent="0.3">
      <c r="A264" t="str">
        <f>IF(B264&lt;&gt;"",COUNTA($B$6:B264),"")</f>
        <v/>
      </c>
      <c r="B264" t="str">
        <f>IF(Result_Database!A260="","",Result_Database!A260)</f>
        <v/>
      </c>
      <c r="C264" t="str">
        <f>_xlfn.LET(
_xlpm.result,_xlfn.XLOOKUP($B264,Result_Database!$A$2:$A$500,Result_Database!$B$2:$B$500),
_xlfn.IFNA(_xlpm.result,"")
)</f>
        <v/>
      </c>
      <c r="D264" t="str">
        <f>_xlfn.LET(
  _xlpm.result, _xlfn.XLOOKUP($B264, Result_Database!$A$2:$A$500, Result_Database!C$2:C$500),
  _xlfn.IFNA(_xlpm.result, "")
)</f>
        <v/>
      </c>
      <c r="E264" t="str">
        <f>_xlfn.LET(
  _xlpm.result, _xlfn.XLOOKUP($B264, Result_Database!$A$2:$A$500, Result_Database!D$2:D$500),
  _xlfn.IFNA(_xlpm.result, "")
)</f>
        <v/>
      </c>
      <c r="F264" t="str">
        <f>_xlfn.LET(
  _xlpm.result, _xlfn.XLOOKUP($B264, Result_Database!$A$2:$A$500, Result_Database!E$2:E$500),
  _xlfn.IFNA(_xlpm.result, "")
)</f>
        <v/>
      </c>
      <c r="G264" t="str">
        <f>_xlfn.LET(
  _xlpm.result, _xlfn.XLOOKUP($B264, Result_Database!$A$2:$A$500, Result_Database!F$2:F$500),
  _xlfn.IFNA(_xlpm.result, "")
)</f>
        <v/>
      </c>
      <c r="H264" t="str">
        <f>_xlfn.LET(
  _xlpm.result, _xlfn.XLOOKUP($B264, Result_Database!$A$2:$A$500, Result_Database!G$2:G$500),
  _xlfn.IFNA(_xlpm.result, "")
)</f>
        <v/>
      </c>
      <c r="I264" t="str">
        <f>_xlfn.LET(
  _xlpm.result, _xlfn.XLOOKUP($B264, Result_Database!$A$2:$A$500, Result_Database!H$2:H$500),
  _xlfn.IFNA(_xlpm.result, "")
)</f>
        <v/>
      </c>
      <c r="J264" t="str">
        <f>_xlfn.LET(
  _xlpm.result, _xlfn.XLOOKUP($B264, Result_Database!$A$2:$A$500, Result_Database!I$2:I$500),
  _xlfn.IFNA(_xlpm.result, "")
)</f>
        <v/>
      </c>
      <c r="K264" t="str">
        <f>_xlfn.LET(
  _xlpm.result, _xlfn.XLOOKUP($B264, Result_Database!$A$2:$A$500, Result_Database!J$2:J$500),
  _xlfn.IFNA(_xlpm.result, "")
)</f>
        <v/>
      </c>
      <c r="L264" t="str">
        <f>_xlfn.LET(
  _xlpm.result, _xlfn.XLOOKUP($B264, Result_Database!$A$2:$A$500, Result_Database!K$2:K$500),
  _xlfn.IFNA(_xlpm.result, "")
)</f>
        <v/>
      </c>
      <c r="M264" t="str">
        <f>_xlfn.LET(
  _xlpm.result, _xlfn.XLOOKUP($B264, Result_Database!$A$2:$A$500, Result_Database!L$2:L$500),
  _xlfn.IFNA(_xlpm.result, "")
)</f>
        <v/>
      </c>
      <c r="N264" t="str">
        <f>_xlfn.LET(
  _xlpm.result, _xlfn.XLOOKUP($B264, Result_Database!$A$2:$A$500, Result_Database!M$2:M$500),
  _xlfn.IFNA(_xlpm.result, "")
)</f>
        <v/>
      </c>
      <c r="O264" t="str">
        <f>_xlfn.LET(
  _xlpm.result, _xlfn.XLOOKUP($B264, Result_Database!$A$2:$A$500, Result_Database!N$2:N$500),
  _xlfn.IFNA(_xlpm.result, "")
)</f>
        <v/>
      </c>
      <c r="P264" t="str">
        <f>_xlfn.LET(
  _xlpm.result, _xlfn.XLOOKUP($B264, Result_Database!$A$2:$A$500, Result_Database!O$2:O$500),
  _xlfn.IFNA(_xlpm.result, "")
)</f>
        <v/>
      </c>
      <c r="Q264" t="str">
        <f>_xlfn.LET(
  _xlpm.result, _xlfn.XLOOKUP($B264, Result_Database!$A$2:$A$500, Result_Database!P$2:P$500),
  _xlfn.IFNA(_xlpm.result, "")
)</f>
        <v/>
      </c>
      <c r="R264" t="str">
        <f>_xlfn.LET(
  _xlpm.result, _xlfn.XLOOKUP($B264, Result_Database!$A$2:$A$500, Result_Database!Q$2:Q$500),
  _xlfn.IFNA(_xlpm.result, "")
)</f>
        <v/>
      </c>
      <c r="S264" t="str">
        <f>_xlfn.LET(
  _xlpm.result, _xlfn.XLOOKUP($B264, Result_Database!$A$2:$A$500, Result_Database!R$2:R$500),
  _xlfn.IFNA(_xlpm.result, "")
)</f>
        <v/>
      </c>
      <c r="T264" t="str">
        <f>_xlfn.LET(
  _xlpm.result, _xlfn.XLOOKUP($B264, Result_Database!$A$2:$A$500, Result_Database!S$2:S$500),
  _xlfn.IFNA(_xlpm.result, "")
)</f>
        <v/>
      </c>
      <c r="U264" t="str">
        <f>_xlfn.LET(
  _xlpm.result, _xlfn.XLOOKUP($B264, Result_Database!$A$2:$A$500, Result_Database!T$2:T$500),
  _xlfn.IFNA(_xlpm.result, "")
)</f>
        <v/>
      </c>
      <c r="V264" t="str">
        <f>_xlfn.LET(
  _xlpm.result, _xlfn.XLOOKUP($B264, Result_Database!$A$2:$A$500, Result_Database!U$2:U$500),
  _xlfn.IFNA(_xlpm.result, "")
)</f>
        <v/>
      </c>
      <c r="W264" t="str">
        <f>_xlfn.LET(
  _xlpm.result, _xlfn.XLOOKUP($B264, Result_Database!$A$2:$A$500, Result_Database!V$2:V$500),
  _xlfn.IFNA(_xlpm.result, "")
)</f>
        <v/>
      </c>
      <c r="X264" t="str">
        <f>_xlfn.LET(
  _xlpm.result, _xlfn.XLOOKUP($B264, Result_Database!$A$2:$A$500, Result_Database!W$2:W$500),
  _xlfn.IFNA(_xlpm.result, "")
)</f>
        <v/>
      </c>
      <c r="Y264" t="str">
        <f>_xlfn.LET(
  _xlpm.result, _xlfn.XLOOKUP($B264, Result_Database!$A$2:$A$500, Result_Database!X$2:X$500),
  _xlfn.IFNA(_xlpm.result, "")
)</f>
        <v/>
      </c>
      <c r="Z264" t="str">
        <f>_xlfn.LET(
  _xlpm.result, _xlfn.XLOOKUP($B264, Result_Database!$A$2:$A$500, Result_Database!Y$2:Y$500),
  _xlfn.IFNA(_xlpm.result, "")
)</f>
        <v/>
      </c>
      <c r="AA264" t="str">
        <f>_xlfn.LET(
  _xlpm.result, _xlfn.XLOOKUP($B264, Result_Database!$A$2:$A$500, Result_Database!Z$2:Z$500),
  _xlfn.IFNA(_xlpm.result, "")
)</f>
        <v/>
      </c>
      <c r="AB264" t="str">
        <f>_xlfn.LET(
  _xlpm.result, _xlfn.XLOOKUP($B264, Result_Database!$A$2:$A$500, Result_Database!AA$2:AA$500),
  _xlfn.IFNA(_xlpm.result, "")
)</f>
        <v/>
      </c>
      <c r="AC264" t="str">
        <f>_xlfn.LET(
  _xlpm.result, _xlfn.XLOOKUP($B264, Result_Database!$A$2:$A$500, Result_Database!AB$2:AB$500),
  _xlfn.IFNA(_xlpm.result, "")
)</f>
        <v/>
      </c>
      <c r="AD264" t="str">
        <f>_xlfn.LET(
  _xlpm.result, _xlfn.XLOOKUP($B264, Result_Database!$A$2:$A$500, Result_Database!AC$2:AC$500),
  _xlfn.IFNA(_xlpm.result, "")
)</f>
        <v/>
      </c>
      <c r="AE264" t="str">
        <f>_xlfn.LET(
  _xlpm.result, _xlfn.XLOOKUP($B264, Result_Database!$A$2:$A$500, Result_Database!AD$2:AD$500),
  _xlfn.IFNA(_xlpm.result, "")
)</f>
        <v/>
      </c>
      <c r="AF264" t="str">
        <f>_xlfn.LET(
  _xlpm.result, _xlfn.XLOOKUP($B264, Result_Database!$A$2:$A$500, Result_Database!AE$2:AE$500),
  _xlfn.IFNA(_xlpm.result, "")
)</f>
        <v/>
      </c>
      <c r="AG264" t="str">
        <f>_xlfn.LET(
  _xlpm.result, _xlfn.XLOOKUP($B264, Result_Database!$A$2:$A$500, Result_Database!AF$2:AF$500),
  _xlfn.IFNA(_xlpm.result, "")
)</f>
        <v/>
      </c>
      <c r="AH264" t="str">
        <f>_xlfn.LET(
  _xlpm.result, _xlfn.XLOOKUP($B264, Result_Database!$A$2:$A$500, Result_Database!AG$2:AG$500),
  _xlfn.IFNA(_xlpm.result, "")
)</f>
        <v/>
      </c>
      <c r="AI264" t="str">
        <f>_xlfn.LET(
  _xlpm.result, _xlfn.XLOOKUP($B264, Result_Database!$A$2:$A$500, Result_Database!AH$2:AH$500),
  _xlfn.IFNA(_xlpm.result, "")
)</f>
        <v/>
      </c>
      <c r="AJ264" t="str">
        <f>_xlfn.LET(
  _xlpm.result, _xlfn.XLOOKUP($B264, Result_Database!$A$2:$A$500, Result_Database!AI$2:AI$500),
  _xlfn.IFNA(_xlpm.result, "")
)</f>
        <v/>
      </c>
      <c r="AK264" t="str">
        <f>_xlfn.LET(
  _xlpm.result, _xlfn.XLOOKUP($B264, Result_Database!$A$2:$A$500, Result_Database!AJ$2:AJ$500),
  _xlfn.IFNA(_xlpm.result, "")
)</f>
        <v/>
      </c>
      <c r="AL264" t="str">
        <f>_xlfn.LET(
  _xlpm.result, _xlfn.XLOOKUP($B264, Result_Database!$A$2:$A$500, Result_Database!AK$2:AK$500),
  _xlfn.IFNA(_xlpm.result, "")
)</f>
        <v/>
      </c>
      <c r="AM26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6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6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6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6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6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6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6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6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64" t="str">
        <f>IF(SUM(Table5[[#This Row],[A1]:[C6]])&lt;&gt;0,SUM(Table5[[#This Row],[A1]:[C6]]),"")</f>
        <v/>
      </c>
      <c r="AW264" t="str">
        <f>IF(SUM(Table5[[#This Row],[D7]:[F9]])=0,"",SUM(Table5[[#This Row],[D7]:[F9]]))</f>
        <v/>
      </c>
      <c r="AX26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6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6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6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6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6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64" t="str">
        <f>IF(COUNTIF(Table5[[#This Row],[English Language]:[Electrical/ Electronics]],"WITHHELD")=0,"",COUNTIF(Table5[[#This Row],[English Language]:[Electrical/ Electronics]],"WITHHELD"))</f>
        <v/>
      </c>
      <c r="BE264" t="str">
        <f>IF(SUM(Table5[[#This Row],[NO OF CREDITS]:[BELOW CREDITS]])=0,"",SUM(Table5[[#This Row],[NO OF CREDITS]:[BELOW CREDITS]]))</f>
        <v/>
      </c>
    </row>
    <row r="265" spans="1:57" x14ac:dyDescent="0.3">
      <c r="A265" t="str">
        <f>IF(B265&lt;&gt;"",COUNTA($B$6:B265),"")</f>
        <v/>
      </c>
      <c r="B265" t="str">
        <f>IF(Result_Database!A261="","",Result_Database!A261)</f>
        <v/>
      </c>
      <c r="C265" t="str">
        <f>_xlfn.LET(
_xlpm.result,_xlfn.XLOOKUP($B265,Result_Database!$A$2:$A$500,Result_Database!$B$2:$B$500),
_xlfn.IFNA(_xlpm.result,"")
)</f>
        <v/>
      </c>
      <c r="D265" t="str">
        <f>_xlfn.LET(
  _xlpm.result, _xlfn.XLOOKUP($B265, Result_Database!$A$2:$A$500, Result_Database!C$2:C$500),
  _xlfn.IFNA(_xlpm.result, "")
)</f>
        <v/>
      </c>
      <c r="E265" t="str">
        <f>_xlfn.LET(
  _xlpm.result, _xlfn.XLOOKUP($B265, Result_Database!$A$2:$A$500, Result_Database!D$2:D$500),
  _xlfn.IFNA(_xlpm.result, "")
)</f>
        <v/>
      </c>
      <c r="F265" t="str">
        <f>_xlfn.LET(
  _xlpm.result, _xlfn.XLOOKUP($B265, Result_Database!$A$2:$A$500, Result_Database!E$2:E$500),
  _xlfn.IFNA(_xlpm.result, "")
)</f>
        <v/>
      </c>
      <c r="G265" t="str">
        <f>_xlfn.LET(
  _xlpm.result, _xlfn.XLOOKUP($B265, Result_Database!$A$2:$A$500, Result_Database!F$2:F$500),
  _xlfn.IFNA(_xlpm.result, "")
)</f>
        <v/>
      </c>
      <c r="H265" t="str">
        <f>_xlfn.LET(
  _xlpm.result, _xlfn.XLOOKUP($B265, Result_Database!$A$2:$A$500, Result_Database!G$2:G$500),
  _xlfn.IFNA(_xlpm.result, "")
)</f>
        <v/>
      </c>
      <c r="I265" t="str">
        <f>_xlfn.LET(
  _xlpm.result, _xlfn.XLOOKUP($B265, Result_Database!$A$2:$A$500, Result_Database!H$2:H$500),
  _xlfn.IFNA(_xlpm.result, "")
)</f>
        <v/>
      </c>
      <c r="J265" t="str">
        <f>_xlfn.LET(
  _xlpm.result, _xlfn.XLOOKUP($B265, Result_Database!$A$2:$A$500, Result_Database!I$2:I$500),
  _xlfn.IFNA(_xlpm.result, "")
)</f>
        <v/>
      </c>
      <c r="K265" t="str">
        <f>_xlfn.LET(
  _xlpm.result, _xlfn.XLOOKUP($B265, Result_Database!$A$2:$A$500, Result_Database!J$2:J$500),
  _xlfn.IFNA(_xlpm.result, "")
)</f>
        <v/>
      </c>
      <c r="L265" t="str">
        <f>_xlfn.LET(
  _xlpm.result, _xlfn.XLOOKUP($B265, Result_Database!$A$2:$A$500, Result_Database!K$2:K$500),
  _xlfn.IFNA(_xlpm.result, "")
)</f>
        <v/>
      </c>
      <c r="M265" t="str">
        <f>_xlfn.LET(
  _xlpm.result, _xlfn.XLOOKUP($B265, Result_Database!$A$2:$A$500, Result_Database!L$2:L$500),
  _xlfn.IFNA(_xlpm.result, "")
)</f>
        <v/>
      </c>
      <c r="N265" t="str">
        <f>_xlfn.LET(
  _xlpm.result, _xlfn.XLOOKUP($B265, Result_Database!$A$2:$A$500, Result_Database!M$2:M$500),
  _xlfn.IFNA(_xlpm.result, "")
)</f>
        <v/>
      </c>
      <c r="O265" t="str">
        <f>_xlfn.LET(
  _xlpm.result, _xlfn.XLOOKUP($B265, Result_Database!$A$2:$A$500, Result_Database!N$2:N$500),
  _xlfn.IFNA(_xlpm.result, "")
)</f>
        <v/>
      </c>
      <c r="P265" t="str">
        <f>_xlfn.LET(
  _xlpm.result, _xlfn.XLOOKUP($B265, Result_Database!$A$2:$A$500, Result_Database!O$2:O$500),
  _xlfn.IFNA(_xlpm.result, "")
)</f>
        <v/>
      </c>
      <c r="Q265" t="str">
        <f>_xlfn.LET(
  _xlpm.result, _xlfn.XLOOKUP($B265, Result_Database!$A$2:$A$500, Result_Database!P$2:P$500),
  _xlfn.IFNA(_xlpm.result, "")
)</f>
        <v/>
      </c>
      <c r="R265" t="str">
        <f>_xlfn.LET(
  _xlpm.result, _xlfn.XLOOKUP($B265, Result_Database!$A$2:$A$500, Result_Database!Q$2:Q$500),
  _xlfn.IFNA(_xlpm.result, "")
)</f>
        <v/>
      </c>
      <c r="S265" t="str">
        <f>_xlfn.LET(
  _xlpm.result, _xlfn.XLOOKUP($B265, Result_Database!$A$2:$A$500, Result_Database!R$2:R$500),
  _xlfn.IFNA(_xlpm.result, "")
)</f>
        <v/>
      </c>
      <c r="T265" t="str">
        <f>_xlfn.LET(
  _xlpm.result, _xlfn.XLOOKUP($B265, Result_Database!$A$2:$A$500, Result_Database!S$2:S$500),
  _xlfn.IFNA(_xlpm.result, "")
)</f>
        <v/>
      </c>
      <c r="U265" t="str">
        <f>_xlfn.LET(
  _xlpm.result, _xlfn.XLOOKUP($B265, Result_Database!$A$2:$A$500, Result_Database!T$2:T$500),
  _xlfn.IFNA(_xlpm.result, "")
)</f>
        <v/>
      </c>
      <c r="V265" t="str">
        <f>_xlfn.LET(
  _xlpm.result, _xlfn.XLOOKUP($B265, Result_Database!$A$2:$A$500, Result_Database!U$2:U$500),
  _xlfn.IFNA(_xlpm.result, "")
)</f>
        <v/>
      </c>
      <c r="W265" t="str">
        <f>_xlfn.LET(
  _xlpm.result, _xlfn.XLOOKUP($B265, Result_Database!$A$2:$A$500, Result_Database!V$2:V$500),
  _xlfn.IFNA(_xlpm.result, "")
)</f>
        <v/>
      </c>
      <c r="X265" t="str">
        <f>_xlfn.LET(
  _xlpm.result, _xlfn.XLOOKUP($B265, Result_Database!$A$2:$A$500, Result_Database!W$2:W$500),
  _xlfn.IFNA(_xlpm.result, "")
)</f>
        <v/>
      </c>
      <c r="Y265" t="str">
        <f>_xlfn.LET(
  _xlpm.result, _xlfn.XLOOKUP($B265, Result_Database!$A$2:$A$500, Result_Database!X$2:X$500),
  _xlfn.IFNA(_xlpm.result, "")
)</f>
        <v/>
      </c>
      <c r="Z265" t="str">
        <f>_xlfn.LET(
  _xlpm.result, _xlfn.XLOOKUP($B265, Result_Database!$A$2:$A$500, Result_Database!Y$2:Y$500),
  _xlfn.IFNA(_xlpm.result, "")
)</f>
        <v/>
      </c>
      <c r="AA265" t="str">
        <f>_xlfn.LET(
  _xlpm.result, _xlfn.XLOOKUP($B265, Result_Database!$A$2:$A$500, Result_Database!Z$2:Z$500),
  _xlfn.IFNA(_xlpm.result, "")
)</f>
        <v/>
      </c>
      <c r="AB265" t="str">
        <f>_xlfn.LET(
  _xlpm.result, _xlfn.XLOOKUP($B265, Result_Database!$A$2:$A$500, Result_Database!AA$2:AA$500),
  _xlfn.IFNA(_xlpm.result, "")
)</f>
        <v/>
      </c>
      <c r="AC265" t="str">
        <f>_xlfn.LET(
  _xlpm.result, _xlfn.XLOOKUP($B265, Result_Database!$A$2:$A$500, Result_Database!AB$2:AB$500),
  _xlfn.IFNA(_xlpm.result, "")
)</f>
        <v/>
      </c>
      <c r="AD265" t="str">
        <f>_xlfn.LET(
  _xlpm.result, _xlfn.XLOOKUP($B265, Result_Database!$A$2:$A$500, Result_Database!AC$2:AC$500),
  _xlfn.IFNA(_xlpm.result, "")
)</f>
        <v/>
      </c>
      <c r="AE265" t="str">
        <f>_xlfn.LET(
  _xlpm.result, _xlfn.XLOOKUP($B265, Result_Database!$A$2:$A$500, Result_Database!AD$2:AD$500),
  _xlfn.IFNA(_xlpm.result, "")
)</f>
        <v/>
      </c>
      <c r="AF265" t="str">
        <f>_xlfn.LET(
  _xlpm.result, _xlfn.XLOOKUP($B265, Result_Database!$A$2:$A$500, Result_Database!AE$2:AE$500),
  _xlfn.IFNA(_xlpm.result, "")
)</f>
        <v/>
      </c>
      <c r="AG265" t="str">
        <f>_xlfn.LET(
  _xlpm.result, _xlfn.XLOOKUP($B265, Result_Database!$A$2:$A$500, Result_Database!AF$2:AF$500),
  _xlfn.IFNA(_xlpm.result, "")
)</f>
        <v/>
      </c>
      <c r="AH265" t="str">
        <f>_xlfn.LET(
  _xlpm.result, _xlfn.XLOOKUP($B265, Result_Database!$A$2:$A$500, Result_Database!AG$2:AG$500),
  _xlfn.IFNA(_xlpm.result, "")
)</f>
        <v/>
      </c>
      <c r="AI265" t="str">
        <f>_xlfn.LET(
  _xlpm.result, _xlfn.XLOOKUP($B265, Result_Database!$A$2:$A$500, Result_Database!AH$2:AH$500),
  _xlfn.IFNA(_xlpm.result, "")
)</f>
        <v/>
      </c>
      <c r="AJ265" t="str">
        <f>_xlfn.LET(
  _xlpm.result, _xlfn.XLOOKUP($B265, Result_Database!$A$2:$A$500, Result_Database!AI$2:AI$500),
  _xlfn.IFNA(_xlpm.result, "")
)</f>
        <v/>
      </c>
      <c r="AK265" t="str">
        <f>_xlfn.LET(
  _xlpm.result, _xlfn.XLOOKUP($B265, Result_Database!$A$2:$A$500, Result_Database!AJ$2:AJ$500),
  _xlfn.IFNA(_xlpm.result, "")
)</f>
        <v/>
      </c>
      <c r="AL265" t="str">
        <f>_xlfn.LET(
  _xlpm.result, _xlfn.XLOOKUP($B265, Result_Database!$A$2:$A$500, Result_Database!AK$2:AK$500),
  _xlfn.IFNA(_xlpm.result, "")
)</f>
        <v/>
      </c>
      <c r="AM26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6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6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6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6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6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6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6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6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65" t="str">
        <f>IF(SUM(Table5[[#This Row],[A1]:[C6]])&lt;&gt;0,SUM(Table5[[#This Row],[A1]:[C6]]),"")</f>
        <v/>
      </c>
      <c r="AW265" t="str">
        <f>IF(SUM(Table5[[#This Row],[D7]:[F9]])=0,"",SUM(Table5[[#This Row],[D7]:[F9]]))</f>
        <v/>
      </c>
      <c r="AX26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6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6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6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6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6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65" t="str">
        <f>IF(COUNTIF(Table5[[#This Row],[English Language]:[Electrical/ Electronics]],"WITHHELD")=0,"",COUNTIF(Table5[[#This Row],[English Language]:[Electrical/ Electronics]],"WITHHELD"))</f>
        <v/>
      </c>
      <c r="BE265" t="str">
        <f>IF(SUM(Table5[[#This Row],[NO OF CREDITS]:[BELOW CREDITS]])=0,"",SUM(Table5[[#This Row],[NO OF CREDITS]:[BELOW CREDITS]]))</f>
        <v/>
      </c>
    </row>
    <row r="266" spans="1:57" x14ac:dyDescent="0.3">
      <c r="A266" t="str">
        <f>IF(B266&lt;&gt;"",COUNTA($B$6:B266),"")</f>
        <v/>
      </c>
      <c r="B266" t="str">
        <f>IF(Result_Database!A262="","",Result_Database!A262)</f>
        <v/>
      </c>
      <c r="C266" t="str">
        <f>_xlfn.LET(
_xlpm.result,_xlfn.XLOOKUP($B266,Result_Database!$A$2:$A$500,Result_Database!$B$2:$B$500),
_xlfn.IFNA(_xlpm.result,"")
)</f>
        <v/>
      </c>
      <c r="D266" t="str">
        <f>_xlfn.LET(
  _xlpm.result, _xlfn.XLOOKUP($B266, Result_Database!$A$2:$A$500, Result_Database!C$2:C$500),
  _xlfn.IFNA(_xlpm.result, "")
)</f>
        <v/>
      </c>
      <c r="E266" t="str">
        <f>_xlfn.LET(
  _xlpm.result, _xlfn.XLOOKUP($B266, Result_Database!$A$2:$A$500, Result_Database!D$2:D$500),
  _xlfn.IFNA(_xlpm.result, "")
)</f>
        <v/>
      </c>
      <c r="F266" t="str">
        <f>_xlfn.LET(
  _xlpm.result, _xlfn.XLOOKUP($B266, Result_Database!$A$2:$A$500, Result_Database!E$2:E$500),
  _xlfn.IFNA(_xlpm.result, "")
)</f>
        <v/>
      </c>
      <c r="G266" t="str">
        <f>_xlfn.LET(
  _xlpm.result, _xlfn.XLOOKUP($B266, Result_Database!$A$2:$A$500, Result_Database!F$2:F$500),
  _xlfn.IFNA(_xlpm.result, "")
)</f>
        <v/>
      </c>
      <c r="H266" t="str">
        <f>_xlfn.LET(
  _xlpm.result, _xlfn.XLOOKUP($B266, Result_Database!$A$2:$A$500, Result_Database!G$2:G$500),
  _xlfn.IFNA(_xlpm.result, "")
)</f>
        <v/>
      </c>
      <c r="I266" t="str">
        <f>_xlfn.LET(
  _xlpm.result, _xlfn.XLOOKUP($B266, Result_Database!$A$2:$A$500, Result_Database!H$2:H$500),
  _xlfn.IFNA(_xlpm.result, "")
)</f>
        <v/>
      </c>
      <c r="J266" t="str">
        <f>_xlfn.LET(
  _xlpm.result, _xlfn.XLOOKUP($B266, Result_Database!$A$2:$A$500, Result_Database!I$2:I$500),
  _xlfn.IFNA(_xlpm.result, "")
)</f>
        <v/>
      </c>
      <c r="K266" t="str">
        <f>_xlfn.LET(
  _xlpm.result, _xlfn.XLOOKUP($B266, Result_Database!$A$2:$A$500, Result_Database!J$2:J$500),
  _xlfn.IFNA(_xlpm.result, "")
)</f>
        <v/>
      </c>
      <c r="L266" t="str">
        <f>_xlfn.LET(
  _xlpm.result, _xlfn.XLOOKUP($B266, Result_Database!$A$2:$A$500, Result_Database!K$2:K$500),
  _xlfn.IFNA(_xlpm.result, "")
)</f>
        <v/>
      </c>
      <c r="M266" t="str">
        <f>_xlfn.LET(
  _xlpm.result, _xlfn.XLOOKUP($B266, Result_Database!$A$2:$A$500, Result_Database!L$2:L$500),
  _xlfn.IFNA(_xlpm.result, "")
)</f>
        <v/>
      </c>
      <c r="N266" t="str">
        <f>_xlfn.LET(
  _xlpm.result, _xlfn.XLOOKUP($B266, Result_Database!$A$2:$A$500, Result_Database!M$2:M$500),
  _xlfn.IFNA(_xlpm.result, "")
)</f>
        <v/>
      </c>
      <c r="O266" t="str">
        <f>_xlfn.LET(
  _xlpm.result, _xlfn.XLOOKUP($B266, Result_Database!$A$2:$A$500, Result_Database!N$2:N$500),
  _xlfn.IFNA(_xlpm.result, "")
)</f>
        <v/>
      </c>
      <c r="P266" t="str">
        <f>_xlfn.LET(
  _xlpm.result, _xlfn.XLOOKUP($B266, Result_Database!$A$2:$A$500, Result_Database!O$2:O$500),
  _xlfn.IFNA(_xlpm.result, "")
)</f>
        <v/>
      </c>
      <c r="Q266" t="str">
        <f>_xlfn.LET(
  _xlpm.result, _xlfn.XLOOKUP($B266, Result_Database!$A$2:$A$500, Result_Database!P$2:P$500),
  _xlfn.IFNA(_xlpm.result, "")
)</f>
        <v/>
      </c>
      <c r="R266" t="str">
        <f>_xlfn.LET(
  _xlpm.result, _xlfn.XLOOKUP($B266, Result_Database!$A$2:$A$500, Result_Database!Q$2:Q$500),
  _xlfn.IFNA(_xlpm.result, "")
)</f>
        <v/>
      </c>
      <c r="S266" t="str">
        <f>_xlfn.LET(
  _xlpm.result, _xlfn.XLOOKUP($B266, Result_Database!$A$2:$A$500, Result_Database!R$2:R$500),
  _xlfn.IFNA(_xlpm.result, "")
)</f>
        <v/>
      </c>
      <c r="T266" t="str">
        <f>_xlfn.LET(
  _xlpm.result, _xlfn.XLOOKUP($B266, Result_Database!$A$2:$A$500, Result_Database!S$2:S$500),
  _xlfn.IFNA(_xlpm.result, "")
)</f>
        <v/>
      </c>
      <c r="U266" t="str">
        <f>_xlfn.LET(
  _xlpm.result, _xlfn.XLOOKUP($B266, Result_Database!$A$2:$A$500, Result_Database!T$2:T$500),
  _xlfn.IFNA(_xlpm.result, "")
)</f>
        <v/>
      </c>
      <c r="V266" t="str">
        <f>_xlfn.LET(
  _xlpm.result, _xlfn.XLOOKUP($B266, Result_Database!$A$2:$A$500, Result_Database!U$2:U$500),
  _xlfn.IFNA(_xlpm.result, "")
)</f>
        <v/>
      </c>
      <c r="W266" t="str">
        <f>_xlfn.LET(
  _xlpm.result, _xlfn.XLOOKUP($B266, Result_Database!$A$2:$A$500, Result_Database!V$2:V$500),
  _xlfn.IFNA(_xlpm.result, "")
)</f>
        <v/>
      </c>
      <c r="X266" t="str">
        <f>_xlfn.LET(
  _xlpm.result, _xlfn.XLOOKUP($B266, Result_Database!$A$2:$A$500, Result_Database!W$2:W$500),
  _xlfn.IFNA(_xlpm.result, "")
)</f>
        <v/>
      </c>
      <c r="Y266" t="str">
        <f>_xlfn.LET(
  _xlpm.result, _xlfn.XLOOKUP($B266, Result_Database!$A$2:$A$500, Result_Database!X$2:X$500),
  _xlfn.IFNA(_xlpm.result, "")
)</f>
        <v/>
      </c>
      <c r="Z266" t="str">
        <f>_xlfn.LET(
  _xlpm.result, _xlfn.XLOOKUP($B266, Result_Database!$A$2:$A$500, Result_Database!Y$2:Y$500),
  _xlfn.IFNA(_xlpm.result, "")
)</f>
        <v/>
      </c>
      <c r="AA266" t="str">
        <f>_xlfn.LET(
  _xlpm.result, _xlfn.XLOOKUP($B266, Result_Database!$A$2:$A$500, Result_Database!Z$2:Z$500),
  _xlfn.IFNA(_xlpm.result, "")
)</f>
        <v/>
      </c>
      <c r="AB266" t="str">
        <f>_xlfn.LET(
  _xlpm.result, _xlfn.XLOOKUP($B266, Result_Database!$A$2:$A$500, Result_Database!AA$2:AA$500),
  _xlfn.IFNA(_xlpm.result, "")
)</f>
        <v/>
      </c>
      <c r="AC266" t="str">
        <f>_xlfn.LET(
  _xlpm.result, _xlfn.XLOOKUP($B266, Result_Database!$A$2:$A$500, Result_Database!AB$2:AB$500),
  _xlfn.IFNA(_xlpm.result, "")
)</f>
        <v/>
      </c>
      <c r="AD266" t="str">
        <f>_xlfn.LET(
  _xlpm.result, _xlfn.XLOOKUP($B266, Result_Database!$A$2:$A$500, Result_Database!AC$2:AC$500),
  _xlfn.IFNA(_xlpm.result, "")
)</f>
        <v/>
      </c>
      <c r="AE266" t="str">
        <f>_xlfn.LET(
  _xlpm.result, _xlfn.XLOOKUP($B266, Result_Database!$A$2:$A$500, Result_Database!AD$2:AD$500),
  _xlfn.IFNA(_xlpm.result, "")
)</f>
        <v/>
      </c>
      <c r="AF266" t="str">
        <f>_xlfn.LET(
  _xlpm.result, _xlfn.XLOOKUP($B266, Result_Database!$A$2:$A$500, Result_Database!AE$2:AE$500),
  _xlfn.IFNA(_xlpm.result, "")
)</f>
        <v/>
      </c>
      <c r="AG266" t="str">
        <f>_xlfn.LET(
  _xlpm.result, _xlfn.XLOOKUP($B266, Result_Database!$A$2:$A$500, Result_Database!AF$2:AF$500),
  _xlfn.IFNA(_xlpm.result, "")
)</f>
        <v/>
      </c>
      <c r="AH266" t="str">
        <f>_xlfn.LET(
  _xlpm.result, _xlfn.XLOOKUP($B266, Result_Database!$A$2:$A$500, Result_Database!AG$2:AG$500),
  _xlfn.IFNA(_xlpm.result, "")
)</f>
        <v/>
      </c>
      <c r="AI266" t="str">
        <f>_xlfn.LET(
  _xlpm.result, _xlfn.XLOOKUP($B266, Result_Database!$A$2:$A$500, Result_Database!AH$2:AH$500),
  _xlfn.IFNA(_xlpm.result, "")
)</f>
        <v/>
      </c>
      <c r="AJ266" t="str">
        <f>_xlfn.LET(
  _xlpm.result, _xlfn.XLOOKUP($B266, Result_Database!$A$2:$A$500, Result_Database!AI$2:AI$500),
  _xlfn.IFNA(_xlpm.result, "")
)</f>
        <v/>
      </c>
      <c r="AK266" t="str">
        <f>_xlfn.LET(
  _xlpm.result, _xlfn.XLOOKUP($B266, Result_Database!$A$2:$A$500, Result_Database!AJ$2:AJ$500),
  _xlfn.IFNA(_xlpm.result, "")
)</f>
        <v/>
      </c>
      <c r="AL266" t="str">
        <f>_xlfn.LET(
  _xlpm.result, _xlfn.XLOOKUP($B266, Result_Database!$A$2:$A$500, Result_Database!AK$2:AK$500),
  _xlfn.IFNA(_xlpm.result, "")
)</f>
        <v/>
      </c>
      <c r="AM26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6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6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6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6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6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6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6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6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66" t="str">
        <f>IF(SUM(Table5[[#This Row],[A1]:[C6]])&lt;&gt;0,SUM(Table5[[#This Row],[A1]:[C6]]),"")</f>
        <v/>
      </c>
      <c r="AW266" t="str">
        <f>IF(SUM(Table5[[#This Row],[D7]:[F9]])=0,"",SUM(Table5[[#This Row],[D7]:[F9]]))</f>
        <v/>
      </c>
      <c r="AX26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6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6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6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6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6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66" t="str">
        <f>IF(COUNTIF(Table5[[#This Row],[English Language]:[Electrical/ Electronics]],"WITHHELD")=0,"",COUNTIF(Table5[[#This Row],[English Language]:[Electrical/ Electronics]],"WITHHELD"))</f>
        <v/>
      </c>
      <c r="BE266" t="str">
        <f>IF(SUM(Table5[[#This Row],[NO OF CREDITS]:[BELOW CREDITS]])=0,"",SUM(Table5[[#This Row],[NO OF CREDITS]:[BELOW CREDITS]]))</f>
        <v/>
      </c>
    </row>
    <row r="267" spans="1:57" x14ac:dyDescent="0.3">
      <c r="A267" t="str">
        <f>IF(B267&lt;&gt;"",COUNTA($B$6:B267),"")</f>
        <v/>
      </c>
      <c r="B267" t="str">
        <f>IF(Result_Database!A263="","",Result_Database!A263)</f>
        <v/>
      </c>
      <c r="C267" t="str">
        <f>_xlfn.LET(
_xlpm.result,_xlfn.XLOOKUP($B267,Result_Database!$A$2:$A$500,Result_Database!$B$2:$B$500),
_xlfn.IFNA(_xlpm.result,"")
)</f>
        <v/>
      </c>
      <c r="D267" t="str">
        <f>_xlfn.LET(
  _xlpm.result, _xlfn.XLOOKUP($B267, Result_Database!$A$2:$A$500, Result_Database!C$2:C$500),
  _xlfn.IFNA(_xlpm.result, "")
)</f>
        <v/>
      </c>
      <c r="E267" t="str">
        <f>_xlfn.LET(
  _xlpm.result, _xlfn.XLOOKUP($B267, Result_Database!$A$2:$A$500, Result_Database!D$2:D$500),
  _xlfn.IFNA(_xlpm.result, "")
)</f>
        <v/>
      </c>
      <c r="F267" t="str">
        <f>_xlfn.LET(
  _xlpm.result, _xlfn.XLOOKUP($B267, Result_Database!$A$2:$A$500, Result_Database!E$2:E$500),
  _xlfn.IFNA(_xlpm.result, "")
)</f>
        <v/>
      </c>
      <c r="G267" t="str">
        <f>_xlfn.LET(
  _xlpm.result, _xlfn.XLOOKUP($B267, Result_Database!$A$2:$A$500, Result_Database!F$2:F$500),
  _xlfn.IFNA(_xlpm.result, "")
)</f>
        <v/>
      </c>
      <c r="H267" t="str">
        <f>_xlfn.LET(
  _xlpm.result, _xlfn.XLOOKUP($B267, Result_Database!$A$2:$A$500, Result_Database!G$2:G$500),
  _xlfn.IFNA(_xlpm.result, "")
)</f>
        <v/>
      </c>
      <c r="I267" t="str">
        <f>_xlfn.LET(
  _xlpm.result, _xlfn.XLOOKUP($B267, Result_Database!$A$2:$A$500, Result_Database!H$2:H$500),
  _xlfn.IFNA(_xlpm.result, "")
)</f>
        <v/>
      </c>
      <c r="J267" t="str">
        <f>_xlfn.LET(
  _xlpm.result, _xlfn.XLOOKUP($B267, Result_Database!$A$2:$A$500, Result_Database!I$2:I$500),
  _xlfn.IFNA(_xlpm.result, "")
)</f>
        <v/>
      </c>
      <c r="K267" t="str">
        <f>_xlfn.LET(
  _xlpm.result, _xlfn.XLOOKUP($B267, Result_Database!$A$2:$A$500, Result_Database!J$2:J$500),
  _xlfn.IFNA(_xlpm.result, "")
)</f>
        <v/>
      </c>
      <c r="L267" t="str">
        <f>_xlfn.LET(
  _xlpm.result, _xlfn.XLOOKUP($B267, Result_Database!$A$2:$A$500, Result_Database!K$2:K$500),
  _xlfn.IFNA(_xlpm.result, "")
)</f>
        <v/>
      </c>
      <c r="M267" t="str">
        <f>_xlfn.LET(
  _xlpm.result, _xlfn.XLOOKUP($B267, Result_Database!$A$2:$A$500, Result_Database!L$2:L$500),
  _xlfn.IFNA(_xlpm.result, "")
)</f>
        <v/>
      </c>
      <c r="N267" t="str">
        <f>_xlfn.LET(
  _xlpm.result, _xlfn.XLOOKUP($B267, Result_Database!$A$2:$A$500, Result_Database!M$2:M$500),
  _xlfn.IFNA(_xlpm.result, "")
)</f>
        <v/>
      </c>
      <c r="O267" t="str">
        <f>_xlfn.LET(
  _xlpm.result, _xlfn.XLOOKUP($B267, Result_Database!$A$2:$A$500, Result_Database!N$2:N$500),
  _xlfn.IFNA(_xlpm.result, "")
)</f>
        <v/>
      </c>
      <c r="P267" t="str">
        <f>_xlfn.LET(
  _xlpm.result, _xlfn.XLOOKUP($B267, Result_Database!$A$2:$A$500, Result_Database!O$2:O$500),
  _xlfn.IFNA(_xlpm.result, "")
)</f>
        <v/>
      </c>
      <c r="Q267" t="str">
        <f>_xlfn.LET(
  _xlpm.result, _xlfn.XLOOKUP($B267, Result_Database!$A$2:$A$500, Result_Database!P$2:P$500),
  _xlfn.IFNA(_xlpm.result, "")
)</f>
        <v/>
      </c>
      <c r="R267" t="str">
        <f>_xlfn.LET(
  _xlpm.result, _xlfn.XLOOKUP($B267, Result_Database!$A$2:$A$500, Result_Database!Q$2:Q$500),
  _xlfn.IFNA(_xlpm.result, "")
)</f>
        <v/>
      </c>
      <c r="S267" t="str">
        <f>_xlfn.LET(
  _xlpm.result, _xlfn.XLOOKUP($B267, Result_Database!$A$2:$A$500, Result_Database!R$2:R$500),
  _xlfn.IFNA(_xlpm.result, "")
)</f>
        <v/>
      </c>
      <c r="T267" t="str">
        <f>_xlfn.LET(
  _xlpm.result, _xlfn.XLOOKUP($B267, Result_Database!$A$2:$A$500, Result_Database!S$2:S$500),
  _xlfn.IFNA(_xlpm.result, "")
)</f>
        <v/>
      </c>
      <c r="U267" t="str">
        <f>_xlfn.LET(
  _xlpm.result, _xlfn.XLOOKUP($B267, Result_Database!$A$2:$A$500, Result_Database!T$2:T$500),
  _xlfn.IFNA(_xlpm.result, "")
)</f>
        <v/>
      </c>
      <c r="V267" t="str">
        <f>_xlfn.LET(
  _xlpm.result, _xlfn.XLOOKUP($B267, Result_Database!$A$2:$A$500, Result_Database!U$2:U$500),
  _xlfn.IFNA(_xlpm.result, "")
)</f>
        <v/>
      </c>
      <c r="W267" t="str">
        <f>_xlfn.LET(
  _xlpm.result, _xlfn.XLOOKUP($B267, Result_Database!$A$2:$A$500, Result_Database!V$2:V$500),
  _xlfn.IFNA(_xlpm.result, "")
)</f>
        <v/>
      </c>
      <c r="X267" t="str">
        <f>_xlfn.LET(
  _xlpm.result, _xlfn.XLOOKUP($B267, Result_Database!$A$2:$A$500, Result_Database!W$2:W$500),
  _xlfn.IFNA(_xlpm.result, "")
)</f>
        <v/>
      </c>
      <c r="Y267" t="str">
        <f>_xlfn.LET(
  _xlpm.result, _xlfn.XLOOKUP($B267, Result_Database!$A$2:$A$500, Result_Database!X$2:X$500),
  _xlfn.IFNA(_xlpm.result, "")
)</f>
        <v/>
      </c>
      <c r="Z267" t="str">
        <f>_xlfn.LET(
  _xlpm.result, _xlfn.XLOOKUP($B267, Result_Database!$A$2:$A$500, Result_Database!Y$2:Y$500),
  _xlfn.IFNA(_xlpm.result, "")
)</f>
        <v/>
      </c>
      <c r="AA267" t="str">
        <f>_xlfn.LET(
  _xlpm.result, _xlfn.XLOOKUP($B267, Result_Database!$A$2:$A$500, Result_Database!Z$2:Z$500),
  _xlfn.IFNA(_xlpm.result, "")
)</f>
        <v/>
      </c>
      <c r="AB267" t="str">
        <f>_xlfn.LET(
  _xlpm.result, _xlfn.XLOOKUP($B267, Result_Database!$A$2:$A$500, Result_Database!AA$2:AA$500),
  _xlfn.IFNA(_xlpm.result, "")
)</f>
        <v/>
      </c>
      <c r="AC267" t="str">
        <f>_xlfn.LET(
  _xlpm.result, _xlfn.XLOOKUP($B267, Result_Database!$A$2:$A$500, Result_Database!AB$2:AB$500),
  _xlfn.IFNA(_xlpm.result, "")
)</f>
        <v/>
      </c>
      <c r="AD267" t="str">
        <f>_xlfn.LET(
  _xlpm.result, _xlfn.XLOOKUP($B267, Result_Database!$A$2:$A$500, Result_Database!AC$2:AC$500),
  _xlfn.IFNA(_xlpm.result, "")
)</f>
        <v/>
      </c>
      <c r="AE267" t="str">
        <f>_xlfn.LET(
  _xlpm.result, _xlfn.XLOOKUP($B267, Result_Database!$A$2:$A$500, Result_Database!AD$2:AD$500),
  _xlfn.IFNA(_xlpm.result, "")
)</f>
        <v/>
      </c>
      <c r="AF267" t="str">
        <f>_xlfn.LET(
  _xlpm.result, _xlfn.XLOOKUP($B267, Result_Database!$A$2:$A$500, Result_Database!AE$2:AE$500),
  _xlfn.IFNA(_xlpm.result, "")
)</f>
        <v/>
      </c>
      <c r="AG267" t="str">
        <f>_xlfn.LET(
  _xlpm.result, _xlfn.XLOOKUP($B267, Result_Database!$A$2:$A$500, Result_Database!AF$2:AF$500),
  _xlfn.IFNA(_xlpm.result, "")
)</f>
        <v/>
      </c>
      <c r="AH267" t="str">
        <f>_xlfn.LET(
  _xlpm.result, _xlfn.XLOOKUP($B267, Result_Database!$A$2:$A$500, Result_Database!AG$2:AG$500),
  _xlfn.IFNA(_xlpm.result, "")
)</f>
        <v/>
      </c>
      <c r="AI267" t="str">
        <f>_xlfn.LET(
  _xlpm.result, _xlfn.XLOOKUP($B267, Result_Database!$A$2:$A$500, Result_Database!AH$2:AH$500),
  _xlfn.IFNA(_xlpm.result, "")
)</f>
        <v/>
      </c>
      <c r="AJ267" t="str">
        <f>_xlfn.LET(
  _xlpm.result, _xlfn.XLOOKUP($B267, Result_Database!$A$2:$A$500, Result_Database!AI$2:AI$500),
  _xlfn.IFNA(_xlpm.result, "")
)</f>
        <v/>
      </c>
      <c r="AK267" t="str">
        <f>_xlfn.LET(
  _xlpm.result, _xlfn.XLOOKUP($B267, Result_Database!$A$2:$A$500, Result_Database!AJ$2:AJ$500),
  _xlfn.IFNA(_xlpm.result, "")
)</f>
        <v/>
      </c>
      <c r="AL267" t="str">
        <f>_xlfn.LET(
  _xlpm.result, _xlfn.XLOOKUP($B267, Result_Database!$A$2:$A$500, Result_Database!AK$2:AK$500),
  _xlfn.IFNA(_xlpm.result, "")
)</f>
        <v/>
      </c>
      <c r="AM26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6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6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6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6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6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6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6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6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67" t="str">
        <f>IF(SUM(Table5[[#This Row],[A1]:[C6]])&lt;&gt;0,SUM(Table5[[#This Row],[A1]:[C6]]),"")</f>
        <v/>
      </c>
      <c r="AW267" t="str">
        <f>IF(SUM(Table5[[#This Row],[D7]:[F9]])=0,"",SUM(Table5[[#This Row],[D7]:[F9]]))</f>
        <v/>
      </c>
      <c r="AX26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6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6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6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6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6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67" t="str">
        <f>IF(COUNTIF(Table5[[#This Row],[English Language]:[Electrical/ Electronics]],"WITHHELD")=0,"",COUNTIF(Table5[[#This Row],[English Language]:[Electrical/ Electronics]],"WITHHELD"))</f>
        <v/>
      </c>
      <c r="BE267" t="str">
        <f>IF(SUM(Table5[[#This Row],[NO OF CREDITS]:[BELOW CREDITS]])=0,"",SUM(Table5[[#This Row],[NO OF CREDITS]:[BELOW CREDITS]]))</f>
        <v/>
      </c>
    </row>
    <row r="268" spans="1:57" x14ac:dyDescent="0.3">
      <c r="A268" t="str">
        <f>IF(B268&lt;&gt;"",COUNTA($B$6:B268),"")</f>
        <v/>
      </c>
      <c r="B268" t="str">
        <f>IF(Result_Database!A264="","",Result_Database!A264)</f>
        <v/>
      </c>
      <c r="C268" t="str">
        <f>_xlfn.LET(
_xlpm.result,_xlfn.XLOOKUP($B268,Result_Database!$A$2:$A$500,Result_Database!$B$2:$B$500),
_xlfn.IFNA(_xlpm.result,"")
)</f>
        <v/>
      </c>
      <c r="D268" t="str">
        <f>_xlfn.LET(
  _xlpm.result, _xlfn.XLOOKUP($B268, Result_Database!$A$2:$A$500, Result_Database!C$2:C$500),
  _xlfn.IFNA(_xlpm.result, "")
)</f>
        <v/>
      </c>
      <c r="E268" t="str">
        <f>_xlfn.LET(
  _xlpm.result, _xlfn.XLOOKUP($B268, Result_Database!$A$2:$A$500, Result_Database!D$2:D$500),
  _xlfn.IFNA(_xlpm.result, "")
)</f>
        <v/>
      </c>
      <c r="F268" t="str">
        <f>_xlfn.LET(
  _xlpm.result, _xlfn.XLOOKUP($B268, Result_Database!$A$2:$A$500, Result_Database!E$2:E$500),
  _xlfn.IFNA(_xlpm.result, "")
)</f>
        <v/>
      </c>
      <c r="G268" t="str">
        <f>_xlfn.LET(
  _xlpm.result, _xlfn.XLOOKUP($B268, Result_Database!$A$2:$A$500, Result_Database!F$2:F$500),
  _xlfn.IFNA(_xlpm.result, "")
)</f>
        <v/>
      </c>
      <c r="H268" t="str">
        <f>_xlfn.LET(
  _xlpm.result, _xlfn.XLOOKUP($B268, Result_Database!$A$2:$A$500, Result_Database!G$2:G$500),
  _xlfn.IFNA(_xlpm.result, "")
)</f>
        <v/>
      </c>
      <c r="I268" t="str">
        <f>_xlfn.LET(
  _xlpm.result, _xlfn.XLOOKUP($B268, Result_Database!$A$2:$A$500, Result_Database!H$2:H$500),
  _xlfn.IFNA(_xlpm.result, "")
)</f>
        <v/>
      </c>
      <c r="J268" t="str">
        <f>_xlfn.LET(
  _xlpm.result, _xlfn.XLOOKUP($B268, Result_Database!$A$2:$A$500, Result_Database!I$2:I$500),
  _xlfn.IFNA(_xlpm.result, "")
)</f>
        <v/>
      </c>
      <c r="K268" t="str">
        <f>_xlfn.LET(
  _xlpm.result, _xlfn.XLOOKUP($B268, Result_Database!$A$2:$A$500, Result_Database!J$2:J$500),
  _xlfn.IFNA(_xlpm.result, "")
)</f>
        <v/>
      </c>
      <c r="L268" t="str">
        <f>_xlfn.LET(
  _xlpm.result, _xlfn.XLOOKUP($B268, Result_Database!$A$2:$A$500, Result_Database!K$2:K$500),
  _xlfn.IFNA(_xlpm.result, "")
)</f>
        <v/>
      </c>
      <c r="M268" t="str">
        <f>_xlfn.LET(
  _xlpm.result, _xlfn.XLOOKUP($B268, Result_Database!$A$2:$A$500, Result_Database!L$2:L$500),
  _xlfn.IFNA(_xlpm.result, "")
)</f>
        <v/>
      </c>
      <c r="N268" t="str">
        <f>_xlfn.LET(
  _xlpm.result, _xlfn.XLOOKUP($B268, Result_Database!$A$2:$A$500, Result_Database!M$2:M$500),
  _xlfn.IFNA(_xlpm.result, "")
)</f>
        <v/>
      </c>
      <c r="O268" t="str">
        <f>_xlfn.LET(
  _xlpm.result, _xlfn.XLOOKUP($B268, Result_Database!$A$2:$A$500, Result_Database!N$2:N$500),
  _xlfn.IFNA(_xlpm.result, "")
)</f>
        <v/>
      </c>
      <c r="P268" t="str">
        <f>_xlfn.LET(
  _xlpm.result, _xlfn.XLOOKUP($B268, Result_Database!$A$2:$A$500, Result_Database!O$2:O$500),
  _xlfn.IFNA(_xlpm.result, "")
)</f>
        <v/>
      </c>
      <c r="Q268" t="str">
        <f>_xlfn.LET(
  _xlpm.result, _xlfn.XLOOKUP($B268, Result_Database!$A$2:$A$500, Result_Database!P$2:P$500),
  _xlfn.IFNA(_xlpm.result, "")
)</f>
        <v/>
      </c>
      <c r="R268" t="str">
        <f>_xlfn.LET(
  _xlpm.result, _xlfn.XLOOKUP($B268, Result_Database!$A$2:$A$500, Result_Database!Q$2:Q$500),
  _xlfn.IFNA(_xlpm.result, "")
)</f>
        <v/>
      </c>
      <c r="S268" t="str">
        <f>_xlfn.LET(
  _xlpm.result, _xlfn.XLOOKUP($B268, Result_Database!$A$2:$A$500, Result_Database!R$2:R$500),
  _xlfn.IFNA(_xlpm.result, "")
)</f>
        <v/>
      </c>
      <c r="T268" t="str">
        <f>_xlfn.LET(
  _xlpm.result, _xlfn.XLOOKUP($B268, Result_Database!$A$2:$A$500, Result_Database!S$2:S$500),
  _xlfn.IFNA(_xlpm.result, "")
)</f>
        <v/>
      </c>
      <c r="U268" t="str">
        <f>_xlfn.LET(
  _xlpm.result, _xlfn.XLOOKUP($B268, Result_Database!$A$2:$A$500, Result_Database!T$2:T$500),
  _xlfn.IFNA(_xlpm.result, "")
)</f>
        <v/>
      </c>
      <c r="V268" t="str">
        <f>_xlfn.LET(
  _xlpm.result, _xlfn.XLOOKUP($B268, Result_Database!$A$2:$A$500, Result_Database!U$2:U$500),
  _xlfn.IFNA(_xlpm.result, "")
)</f>
        <v/>
      </c>
      <c r="W268" t="str">
        <f>_xlfn.LET(
  _xlpm.result, _xlfn.XLOOKUP($B268, Result_Database!$A$2:$A$500, Result_Database!V$2:V$500),
  _xlfn.IFNA(_xlpm.result, "")
)</f>
        <v/>
      </c>
      <c r="X268" t="str">
        <f>_xlfn.LET(
  _xlpm.result, _xlfn.XLOOKUP($B268, Result_Database!$A$2:$A$500, Result_Database!W$2:W$500),
  _xlfn.IFNA(_xlpm.result, "")
)</f>
        <v/>
      </c>
      <c r="Y268" t="str">
        <f>_xlfn.LET(
  _xlpm.result, _xlfn.XLOOKUP($B268, Result_Database!$A$2:$A$500, Result_Database!X$2:X$500),
  _xlfn.IFNA(_xlpm.result, "")
)</f>
        <v/>
      </c>
      <c r="Z268" t="str">
        <f>_xlfn.LET(
  _xlpm.result, _xlfn.XLOOKUP($B268, Result_Database!$A$2:$A$500, Result_Database!Y$2:Y$500),
  _xlfn.IFNA(_xlpm.result, "")
)</f>
        <v/>
      </c>
      <c r="AA268" t="str">
        <f>_xlfn.LET(
  _xlpm.result, _xlfn.XLOOKUP($B268, Result_Database!$A$2:$A$500, Result_Database!Z$2:Z$500),
  _xlfn.IFNA(_xlpm.result, "")
)</f>
        <v/>
      </c>
      <c r="AB268" t="str">
        <f>_xlfn.LET(
  _xlpm.result, _xlfn.XLOOKUP($B268, Result_Database!$A$2:$A$500, Result_Database!AA$2:AA$500),
  _xlfn.IFNA(_xlpm.result, "")
)</f>
        <v/>
      </c>
      <c r="AC268" t="str">
        <f>_xlfn.LET(
  _xlpm.result, _xlfn.XLOOKUP($B268, Result_Database!$A$2:$A$500, Result_Database!AB$2:AB$500),
  _xlfn.IFNA(_xlpm.result, "")
)</f>
        <v/>
      </c>
      <c r="AD268" t="str">
        <f>_xlfn.LET(
  _xlpm.result, _xlfn.XLOOKUP($B268, Result_Database!$A$2:$A$500, Result_Database!AC$2:AC$500),
  _xlfn.IFNA(_xlpm.result, "")
)</f>
        <v/>
      </c>
      <c r="AE268" t="str">
        <f>_xlfn.LET(
  _xlpm.result, _xlfn.XLOOKUP($B268, Result_Database!$A$2:$A$500, Result_Database!AD$2:AD$500),
  _xlfn.IFNA(_xlpm.result, "")
)</f>
        <v/>
      </c>
      <c r="AF268" t="str">
        <f>_xlfn.LET(
  _xlpm.result, _xlfn.XLOOKUP($B268, Result_Database!$A$2:$A$500, Result_Database!AE$2:AE$500),
  _xlfn.IFNA(_xlpm.result, "")
)</f>
        <v/>
      </c>
      <c r="AG268" t="str">
        <f>_xlfn.LET(
  _xlpm.result, _xlfn.XLOOKUP($B268, Result_Database!$A$2:$A$500, Result_Database!AF$2:AF$500),
  _xlfn.IFNA(_xlpm.result, "")
)</f>
        <v/>
      </c>
      <c r="AH268" t="str">
        <f>_xlfn.LET(
  _xlpm.result, _xlfn.XLOOKUP($B268, Result_Database!$A$2:$A$500, Result_Database!AG$2:AG$500),
  _xlfn.IFNA(_xlpm.result, "")
)</f>
        <v/>
      </c>
      <c r="AI268" t="str">
        <f>_xlfn.LET(
  _xlpm.result, _xlfn.XLOOKUP($B268, Result_Database!$A$2:$A$500, Result_Database!AH$2:AH$500),
  _xlfn.IFNA(_xlpm.result, "")
)</f>
        <v/>
      </c>
      <c r="AJ268" t="str">
        <f>_xlfn.LET(
  _xlpm.result, _xlfn.XLOOKUP($B268, Result_Database!$A$2:$A$500, Result_Database!AI$2:AI$500),
  _xlfn.IFNA(_xlpm.result, "")
)</f>
        <v/>
      </c>
      <c r="AK268" t="str">
        <f>_xlfn.LET(
  _xlpm.result, _xlfn.XLOOKUP($B268, Result_Database!$A$2:$A$500, Result_Database!AJ$2:AJ$500),
  _xlfn.IFNA(_xlpm.result, "")
)</f>
        <v/>
      </c>
      <c r="AL268" t="str">
        <f>_xlfn.LET(
  _xlpm.result, _xlfn.XLOOKUP($B268, Result_Database!$A$2:$A$500, Result_Database!AK$2:AK$500),
  _xlfn.IFNA(_xlpm.result, "")
)</f>
        <v/>
      </c>
      <c r="AM26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6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6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6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6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6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6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6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6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68" t="str">
        <f>IF(SUM(Table5[[#This Row],[A1]:[C6]])&lt;&gt;0,SUM(Table5[[#This Row],[A1]:[C6]]),"")</f>
        <v/>
      </c>
      <c r="AW268" t="str">
        <f>IF(SUM(Table5[[#This Row],[D7]:[F9]])=0,"",SUM(Table5[[#This Row],[D7]:[F9]]))</f>
        <v/>
      </c>
      <c r="AX26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6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6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6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6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6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68" t="str">
        <f>IF(COUNTIF(Table5[[#This Row],[English Language]:[Electrical/ Electronics]],"WITHHELD")=0,"",COUNTIF(Table5[[#This Row],[English Language]:[Electrical/ Electronics]],"WITHHELD"))</f>
        <v/>
      </c>
      <c r="BE268" t="str">
        <f>IF(SUM(Table5[[#This Row],[NO OF CREDITS]:[BELOW CREDITS]])=0,"",SUM(Table5[[#This Row],[NO OF CREDITS]:[BELOW CREDITS]]))</f>
        <v/>
      </c>
    </row>
    <row r="269" spans="1:57" x14ac:dyDescent="0.3">
      <c r="A269" t="str">
        <f>IF(B269&lt;&gt;"",COUNTA($B$6:B269),"")</f>
        <v/>
      </c>
      <c r="B269" t="str">
        <f>IF(Result_Database!A265="","",Result_Database!A265)</f>
        <v/>
      </c>
      <c r="C269" t="str">
        <f>_xlfn.LET(
_xlpm.result,_xlfn.XLOOKUP($B269,Result_Database!$A$2:$A$500,Result_Database!$B$2:$B$500),
_xlfn.IFNA(_xlpm.result,"")
)</f>
        <v/>
      </c>
      <c r="D269" t="str">
        <f>_xlfn.LET(
  _xlpm.result, _xlfn.XLOOKUP($B269, Result_Database!$A$2:$A$500, Result_Database!C$2:C$500),
  _xlfn.IFNA(_xlpm.result, "")
)</f>
        <v/>
      </c>
      <c r="E269" t="str">
        <f>_xlfn.LET(
  _xlpm.result, _xlfn.XLOOKUP($B269, Result_Database!$A$2:$A$500, Result_Database!D$2:D$500),
  _xlfn.IFNA(_xlpm.result, "")
)</f>
        <v/>
      </c>
      <c r="F269" t="str">
        <f>_xlfn.LET(
  _xlpm.result, _xlfn.XLOOKUP($B269, Result_Database!$A$2:$A$500, Result_Database!E$2:E$500),
  _xlfn.IFNA(_xlpm.result, "")
)</f>
        <v/>
      </c>
      <c r="G269" t="str">
        <f>_xlfn.LET(
  _xlpm.result, _xlfn.XLOOKUP($B269, Result_Database!$A$2:$A$500, Result_Database!F$2:F$500),
  _xlfn.IFNA(_xlpm.result, "")
)</f>
        <v/>
      </c>
      <c r="H269" t="str">
        <f>_xlfn.LET(
  _xlpm.result, _xlfn.XLOOKUP($B269, Result_Database!$A$2:$A$500, Result_Database!G$2:G$500),
  _xlfn.IFNA(_xlpm.result, "")
)</f>
        <v/>
      </c>
      <c r="I269" t="str">
        <f>_xlfn.LET(
  _xlpm.result, _xlfn.XLOOKUP($B269, Result_Database!$A$2:$A$500, Result_Database!H$2:H$500),
  _xlfn.IFNA(_xlpm.result, "")
)</f>
        <v/>
      </c>
      <c r="J269" t="str">
        <f>_xlfn.LET(
  _xlpm.result, _xlfn.XLOOKUP($B269, Result_Database!$A$2:$A$500, Result_Database!I$2:I$500),
  _xlfn.IFNA(_xlpm.result, "")
)</f>
        <v/>
      </c>
      <c r="K269" t="str">
        <f>_xlfn.LET(
  _xlpm.result, _xlfn.XLOOKUP($B269, Result_Database!$A$2:$A$500, Result_Database!J$2:J$500),
  _xlfn.IFNA(_xlpm.result, "")
)</f>
        <v/>
      </c>
      <c r="L269" t="str">
        <f>_xlfn.LET(
  _xlpm.result, _xlfn.XLOOKUP($B269, Result_Database!$A$2:$A$500, Result_Database!K$2:K$500),
  _xlfn.IFNA(_xlpm.result, "")
)</f>
        <v/>
      </c>
      <c r="M269" t="str">
        <f>_xlfn.LET(
  _xlpm.result, _xlfn.XLOOKUP($B269, Result_Database!$A$2:$A$500, Result_Database!L$2:L$500),
  _xlfn.IFNA(_xlpm.result, "")
)</f>
        <v/>
      </c>
      <c r="N269" t="str">
        <f>_xlfn.LET(
  _xlpm.result, _xlfn.XLOOKUP($B269, Result_Database!$A$2:$A$500, Result_Database!M$2:M$500),
  _xlfn.IFNA(_xlpm.result, "")
)</f>
        <v/>
      </c>
      <c r="O269" t="str">
        <f>_xlfn.LET(
  _xlpm.result, _xlfn.XLOOKUP($B269, Result_Database!$A$2:$A$500, Result_Database!N$2:N$500),
  _xlfn.IFNA(_xlpm.result, "")
)</f>
        <v/>
      </c>
      <c r="P269" t="str">
        <f>_xlfn.LET(
  _xlpm.result, _xlfn.XLOOKUP($B269, Result_Database!$A$2:$A$500, Result_Database!O$2:O$500),
  _xlfn.IFNA(_xlpm.result, "")
)</f>
        <v/>
      </c>
      <c r="Q269" t="str">
        <f>_xlfn.LET(
  _xlpm.result, _xlfn.XLOOKUP($B269, Result_Database!$A$2:$A$500, Result_Database!P$2:P$500),
  _xlfn.IFNA(_xlpm.result, "")
)</f>
        <v/>
      </c>
      <c r="R269" t="str">
        <f>_xlfn.LET(
  _xlpm.result, _xlfn.XLOOKUP($B269, Result_Database!$A$2:$A$500, Result_Database!Q$2:Q$500),
  _xlfn.IFNA(_xlpm.result, "")
)</f>
        <v/>
      </c>
      <c r="S269" t="str">
        <f>_xlfn.LET(
  _xlpm.result, _xlfn.XLOOKUP($B269, Result_Database!$A$2:$A$500, Result_Database!R$2:R$500),
  _xlfn.IFNA(_xlpm.result, "")
)</f>
        <v/>
      </c>
      <c r="T269" t="str">
        <f>_xlfn.LET(
  _xlpm.result, _xlfn.XLOOKUP($B269, Result_Database!$A$2:$A$500, Result_Database!S$2:S$500),
  _xlfn.IFNA(_xlpm.result, "")
)</f>
        <v/>
      </c>
      <c r="U269" t="str">
        <f>_xlfn.LET(
  _xlpm.result, _xlfn.XLOOKUP($B269, Result_Database!$A$2:$A$500, Result_Database!T$2:T$500),
  _xlfn.IFNA(_xlpm.result, "")
)</f>
        <v/>
      </c>
      <c r="V269" t="str">
        <f>_xlfn.LET(
  _xlpm.result, _xlfn.XLOOKUP($B269, Result_Database!$A$2:$A$500, Result_Database!U$2:U$500),
  _xlfn.IFNA(_xlpm.result, "")
)</f>
        <v/>
      </c>
      <c r="W269" t="str">
        <f>_xlfn.LET(
  _xlpm.result, _xlfn.XLOOKUP($B269, Result_Database!$A$2:$A$500, Result_Database!V$2:V$500),
  _xlfn.IFNA(_xlpm.result, "")
)</f>
        <v/>
      </c>
      <c r="X269" t="str">
        <f>_xlfn.LET(
  _xlpm.result, _xlfn.XLOOKUP($B269, Result_Database!$A$2:$A$500, Result_Database!W$2:W$500),
  _xlfn.IFNA(_xlpm.result, "")
)</f>
        <v/>
      </c>
      <c r="Y269" t="str">
        <f>_xlfn.LET(
  _xlpm.result, _xlfn.XLOOKUP($B269, Result_Database!$A$2:$A$500, Result_Database!X$2:X$500),
  _xlfn.IFNA(_xlpm.result, "")
)</f>
        <v/>
      </c>
      <c r="Z269" t="str">
        <f>_xlfn.LET(
  _xlpm.result, _xlfn.XLOOKUP($B269, Result_Database!$A$2:$A$500, Result_Database!Y$2:Y$500),
  _xlfn.IFNA(_xlpm.result, "")
)</f>
        <v/>
      </c>
      <c r="AA269" t="str">
        <f>_xlfn.LET(
  _xlpm.result, _xlfn.XLOOKUP($B269, Result_Database!$A$2:$A$500, Result_Database!Z$2:Z$500),
  _xlfn.IFNA(_xlpm.result, "")
)</f>
        <v/>
      </c>
      <c r="AB269" t="str">
        <f>_xlfn.LET(
  _xlpm.result, _xlfn.XLOOKUP($B269, Result_Database!$A$2:$A$500, Result_Database!AA$2:AA$500),
  _xlfn.IFNA(_xlpm.result, "")
)</f>
        <v/>
      </c>
      <c r="AC269" t="str">
        <f>_xlfn.LET(
  _xlpm.result, _xlfn.XLOOKUP($B269, Result_Database!$A$2:$A$500, Result_Database!AB$2:AB$500),
  _xlfn.IFNA(_xlpm.result, "")
)</f>
        <v/>
      </c>
      <c r="AD269" t="str">
        <f>_xlfn.LET(
  _xlpm.result, _xlfn.XLOOKUP($B269, Result_Database!$A$2:$A$500, Result_Database!AC$2:AC$500),
  _xlfn.IFNA(_xlpm.result, "")
)</f>
        <v/>
      </c>
      <c r="AE269" t="str">
        <f>_xlfn.LET(
  _xlpm.result, _xlfn.XLOOKUP($B269, Result_Database!$A$2:$A$500, Result_Database!AD$2:AD$500),
  _xlfn.IFNA(_xlpm.result, "")
)</f>
        <v/>
      </c>
      <c r="AF269" t="str">
        <f>_xlfn.LET(
  _xlpm.result, _xlfn.XLOOKUP($B269, Result_Database!$A$2:$A$500, Result_Database!AE$2:AE$500),
  _xlfn.IFNA(_xlpm.result, "")
)</f>
        <v/>
      </c>
      <c r="AG269" t="str">
        <f>_xlfn.LET(
  _xlpm.result, _xlfn.XLOOKUP($B269, Result_Database!$A$2:$A$500, Result_Database!AF$2:AF$500),
  _xlfn.IFNA(_xlpm.result, "")
)</f>
        <v/>
      </c>
      <c r="AH269" t="str">
        <f>_xlfn.LET(
  _xlpm.result, _xlfn.XLOOKUP($B269, Result_Database!$A$2:$A$500, Result_Database!AG$2:AG$500),
  _xlfn.IFNA(_xlpm.result, "")
)</f>
        <v/>
      </c>
      <c r="AI269" t="str">
        <f>_xlfn.LET(
  _xlpm.result, _xlfn.XLOOKUP($B269, Result_Database!$A$2:$A$500, Result_Database!AH$2:AH$500),
  _xlfn.IFNA(_xlpm.result, "")
)</f>
        <v/>
      </c>
      <c r="AJ269" t="str">
        <f>_xlfn.LET(
  _xlpm.result, _xlfn.XLOOKUP($B269, Result_Database!$A$2:$A$500, Result_Database!AI$2:AI$500),
  _xlfn.IFNA(_xlpm.result, "")
)</f>
        <v/>
      </c>
      <c r="AK269" t="str">
        <f>_xlfn.LET(
  _xlpm.result, _xlfn.XLOOKUP($B269, Result_Database!$A$2:$A$500, Result_Database!AJ$2:AJ$500),
  _xlfn.IFNA(_xlpm.result, "")
)</f>
        <v/>
      </c>
      <c r="AL269" t="str">
        <f>_xlfn.LET(
  _xlpm.result, _xlfn.XLOOKUP($B269, Result_Database!$A$2:$A$500, Result_Database!AK$2:AK$500),
  _xlfn.IFNA(_xlpm.result, "")
)</f>
        <v/>
      </c>
      <c r="AM26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6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6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6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6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6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6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6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6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69" t="str">
        <f>IF(SUM(Table5[[#This Row],[A1]:[C6]])&lt;&gt;0,SUM(Table5[[#This Row],[A1]:[C6]]),"")</f>
        <v/>
      </c>
      <c r="AW269" t="str">
        <f>IF(SUM(Table5[[#This Row],[D7]:[F9]])=0,"",SUM(Table5[[#This Row],[D7]:[F9]]))</f>
        <v/>
      </c>
      <c r="AX26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6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6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6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6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6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69" t="str">
        <f>IF(COUNTIF(Table5[[#This Row],[English Language]:[Electrical/ Electronics]],"WITHHELD")=0,"",COUNTIF(Table5[[#This Row],[English Language]:[Electrical/ Electronics]],"WITHHELD"))</f>
        <v/>
      </c>
      <c r="BE269" t="str">
        <f>IF(SUM(Table5[[#This Row],[NO OF CREDITS]:[BELOW CREDITS]])=0,"",SUM(Table5[[#This Row],[NO OF CREDITS]:[BELOW CREDITS]]))</f>
        <v/>
      </c>
    </row>
    <row r="270" spans="1:57" x14ac:dyDescent="0.3">
      <c r="A270" t="str">
        <f>IF(B270&lt;&gt;"",COUNTA($B$6:B270),"")</f>
        <v/>
      </c>
      <c r="B270" t="str">
        <f>IF(Result_Database!A266="","",Result_Database!A266)</f>
        <v/>
      </c>
      <c r="C270" t="str">
        <f>_xlfn.LET(
_xlpm.result,_xlfn.XLOOKUP($B270,Result_Database!$A$2:$A$500,Result_Database!$B$2:$B$500),
_xlfn.IFNA(_xlpm.result,"")
)</f>
        <v/>
      </c>
      <c r="D270" t="str">
        <f>_xlfn.LET(
  _xlpm.result, _xlfn.XLOOKUP($B270, Result_Database!$A$2:$A$500, Result_Database!C$2:C$500),
  _xlfn.IFNA(_xlpm.result, "")
)</f>
        <v/>
      </c>
      <c r="E270" t="str">
        <f>_xlfn.LET(
  _xlpm.result, _xlfn.XLOOKUP($B270, Result_Database!$A$2:$A$500, Result_Database!D$2:D$500),
  _xlfn.IFNA(_xlpm.result, "")
)</f>
        <v/>
      </c>
      <c r="F270" t="str">
        <f>_xlfn.LET(
  _xlpm.result, _xlfn.XLOOKUP($B270, Result_Database!$A$2:$A$500, Result_Database!E$2:E$500),
  _xlfn.IFNA(_xlpm.result, "")
)</f>
        <v/>
      </c>
      <c r="G270" t="str">
        <f>_xlfn.LET(
  _xlpm.result, _xlfn.XLOOKUP($B270, Result_Database!$A$2:$A$500, Result_Database!F$2:F$500),
  _xlfn.IFNA(_xlpm.result, "")
)</f>
        <v/>
      </c>
      <c r="H270" t="str">
        <f>_xlfn.LET(
  _xlpm.result, _xlfn.XLOOKUP($B270, Result_Database!$A$2:$A$500, Result_Database!G$2:G$500),
  _xlfn.IFNA(_xlpm.result, "")
)</f>
        <v/>
      </c>
      <c r="I270" t="str">
        <f>_xlfn.LET(
  _xlpm.result, _xlfn.XLOOKUP($B270, Result_Database!$A$2:$A$500, Result_Database!H$2:H$500),
  _xlfn.IFNA(_xlpm.result, "")
)</f>
        <v/>
      </c>
      <c r="J270" t="str">
        <f>_xlfn.LET(
  _xlpm.result, _xlfn.XLOOKUP($B270, Result_Database!$A$2:$A$500, Result_Database!I$2:I$500),
  _xlfn.IFNA(_xlpm.result, "")
)</f>
        <v/>
      </c>
      <c r="K270" t="str">
        <f>_xlfn.LET(
  _xlpm.result, _xlfn.XLOOKUP($B270, Result_Database!$A$2:$A$500, Result_Database!J$2:J$500),
  _xlfn.IFNA(_xlpm.result, "")
)</f>
        <v/>
      </c>
      <c r="L270" t="str">
        <f>_xlfn.LET(
  _xlpm.result, _xlfn.XLOOKUP($B270, Result_Database!$A$2:$A$500, Result_Database!K$2:K$500),
  _xlfn.IFNA(_xlpm.result, "")
)</f>
        <v/>
      </c>
      <c r="M270" t="str">
        <f>_xlfn.LET(
  _xlpm.result, _xlfn.XLOOKUP($B270, Result_Database!$A$2:$A$500, Result_Database!L$2:L$500),
  _xlfn.IFNA(_xlpm.result, "")
)</f>
        <v/>
      </c>
      <c r="N270" t="str">
        <f>_xlfn.LET(
  _xlpm.result, _xlfn.XLOOKUP($B270, Result_Database!$A$2:$A$500, Result_Database!M$2:M$500),
  _xlfn.IFNA(_xlpm.result, "")
)</f>
        <v/>
      </c>
      <c r="O270" t="str">
        <f>_xlfn.LET(
  _xlpm.result, _xlfn.XLOOKUP($B270, Result_Database!$A$2:$A$500, Result_Database!N$2:N$500),
  _xlfn.IFNA(_xlpm.result, "")
)</f>
        <v/>
      </c>
      <c r="P270" t="str">
        <f>_xlfn.LET(
  _xlpm.result, _xlfn.XLOOKUP($B270, Result_Database!$A$2:$A$500, Result_Database!O$2:O$500),
  _xlfn.IFNA(_xlpm.result, "")
)</f>
        <v/>
      </c>
      <c r="Q270" t="str">
        <f>_xlfn.LET(
  _xlpm.result, _xlfn.XLOOKUP($B270, Result_Database!$A$2:$A$500, Result_Database!P$2:P$500),
  _xlfn.IFNA(_xlpm.result, "")
)</f>
        <v/>
      </c>
      <c r="R270" t="str">
        <f>_xlfn.LET(
  _xlpm.result, _xlfn.XLOOKUP($B270, Result_Database!$A$2:$A$500, Result_Database!Q$2:Q$500),
  _xlfn.IFNA(_xlpm.result, "")
)</f>
        <v/>
      </c>
      <c r="S270" t="str">
        <f>_xlfn.LET(
  _xlpm.result, _xlfn.XLOOKUP($B270, Result_Database!$A$2:$A$500, Result_Database!R$2:R$500),
  _xlfn.IFNA(_xlpm.result, "")
)</f>
        <v/>
      </c>
      <c r="T270" t="str">
        <f>_xlfn.LET(
  _xlpm.result, _xlfn.XLOOKUP($B270, Result_Database!$A$2:$A$500, Result_Database!S$2:S$500),
  _xlfn.IFNA(_xlpm.result, "")
)</f>
        <v/>
      </c>
      <c r="U270" t="str">
        <f>_xlfn.LET(
  _xlpm.result, _xlfn.XLOOKUP($B270, Result_Database!$A$2:$A$500, Result_Database!T$2:T$500),
  _xlfn.IFNA(_xlpm.result, "")
)</f>
        <v/>
      </c>
      <c r="V270" t="str">
        <f>_xlfn.LET(
  _xlpm.result, _xlfn.XLOOKUP($B270, Result_Database!$A$2:$A$500, Result_Database!U$2:U$500),
  _xlfn.IFNA(_xlpm.result, "")
)</f>
        <v/>
      </c>
      <c r="W270" t="str">
        <f>_xlfn.LET(
  _xlpm.result, _xlfn.XLOOKUP($B270, Result_Database!$A$2:$A$500, Result_Database!V$2:V$500),
  _xlfn.IFNA(_xlpm.result, "")
)</f>
        <v/>
      </c>
      <c r="X270" t="str">
        <f>_xlfn.LET(
  _xlpm.result, _xlfn.XLOOKUP($B270, Result_Database!$A$2:$A$500, Result_Database!W$2:W$500),
  _xlfn.IFNA(_xlpm.result, "")
)</f>
        <v/>
      </c>
      <c r="Y270" t="str">
        <f>_xlfn.LET(
  _xlpm.result, _xlfn.XLOOKUP($B270, Result_Database!$A$2:$A$500, Result_Database!X$2:X$500),
  _xlfn.IFNA(_xlpm.result, "")
)</f>
        <v/>
      </c>
      <c r="Z270" t="str">
        <f>_xlfn.LET(
  _xlpm.result, _xlfn.XLOOKUP($B270, Result_Database!$A$2:$A$500, Result_Database!Y$2:Y$500),
  _xlfn.IFNA(_xlpm.result, "")
)</f>
        <v/>
      </c>
      <c r="AA270" t="str">
        <f>_xlfn.LET(
  _xlpm.result, _xlfn.XLOOKUP($B270, Result_Database!$A$2:$A$500, Result_Database!Z$2:Z$500),
  _xlfn.IFNA(_xlpm.result, "")
)</f>
        <v/>
      </c>
      <c r="AB270" t="str">
        <f>_xlfn.LET(
  _xlpm.result, _xlfn.XLOOKUP($B270, Result_Database!$A$2:$A$500, Result_Database!AA$2:AA$500),
  _xlfn.IFNA(_xlpm.result, "")
)</f>
        <v/>
      </c>
      <c r="AC270" t="str">
        <f>_xlfn.LET(
  _xlpm.result, _xlfn.XLOOKUP($B270, Result_Database!$A$2:$A$500, Result_Database!AB$2:AB$500),
  _xlfn.IFNA(_xlpm.result, "")
)</f>
        <v/>
      </c>
      <c r="AD270" t="str">
        <f>_xlfn.LET(
  _xlpm.result, _xlfn.XLOOKUP($B270, Result_Database!$A$2:$A$500, Result_Database!AC$2:AC$500),
  _xlfn.IFNA(_xlpm.result, "")
)</f>
        <v/>
      </c>
      <c r="AE270" t="str">
        <f>_xlfn.LET(
  _xlpm.result, _xlfn.XLOOKUP($B270, Result_Database!$A$2:$A$500, Result_Database!AD$2:AD$500),
  _xlfn.IFNA(_xlpm.result, "")
)</f>
        <v/>
      </c>
      <c r="AF270" t="str">
        <f>_xlfn.LET(
  _xlpm.result, _xlfn.XLOOKUP($B270, Result_Database!$A$2:$A$500, Result_Database!AE$2:AE$500),
  _xlfn.IFNA(_xlpm.result, "")
)</f>
        <v/>
      </c>
      <c r="AG270" t="str">
        <f>_xlfn.LET(
  _xlpm.result, _xlfn.XLOOKUP($B270, Result_Database!$A$2:$A$500, Result_Database!AF$2:AF$500),
  _xlfn.IFNA(_xlpm.result, "")
)</f>
        <v/>
      </c>
      <c r="AH270" t="str">
        <f>_xlfn.LET(
  _xlpm.result, _xlfn.XLOOKUP($B270, Result_Database!$A$2:$A$500, Result_Database!AG$2:AG$500),
  _xlfn.IFNA(_xlpm.result, "")
)</f>
        <v/>
      </c>
      <c r="AI270" t="str">
        <f>_xlfn.LET(
  _xlpm.result, _xlfn.XLOOKUP($B270, Result_Database!$A$2:$A$500, Result_Database!AH$2:AH$500),
  _xlfn.IFNA(_xlpm.result, "")
)</f>
        <v/>
      </c>
      <c r="AJ270" t="str">
        <f>_xlfn.LET(
  _xlpm.result, _xlfn.XLOOKUP($B270, Result_Database!$A$2:$A$500, Result_Database!AI$2:AI$500),
  _xlfn.IFNA(_xlpm.result, "")
)</f>
        <v/>
      </c>
      <c r="AK270" t="str">
        <f>_xlfn.LET(
  _xlpm.result, _xlfn.XLOOKUP($B270, Result_Database!$A$2:$A$500, Result_Database!AJ$2:AJ$500),
  _xlfn.IFNA(_xlpm.result, "")
)</f>
        <v/>
      </c>
      <c r="AL270" t="str">
        <f>_xlfn.LET(
  _xlpm.result, _xlfn.XLOOKUP($B270, Result_Database!$A$2:$A$500, Result_Database!AK$2:AK$500),
  _xlfn.IFNA(_xlpm.result, "")
)</f>
        <v/>
      </c>
      <c r="AM27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7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7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7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7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7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7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7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7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70" t="str">
        <f>IF(SUM(Table5[[#This Row],[A1]:[C6]])&lt;&gt;0,SUM(Table5[[#This Row],[A1]:[C6]]),"")</f>
        <v/>
      </c>
      <c r="AW270" t="str">
        <f>IF(SUM(Table5[[#This Row],[D7]:[F9]])=0,"",SUM(Table5[[#This Row],[D7]:[F9]]))</f>
        <v/>
      </c>
      <c r="AX27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7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7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7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7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7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70" t="str">
        <f>IF(COUNTIF(Table5[[#This Row],[English Language]:[Electrical/ Electronics]],"WITHHELD")=0,"",COUNTIF(Table5[[#This Row],[English Language]:[Electrical/ Electronics]],"WITHHELD"))</f>
        <v/>
      </c>
      <c r="BE270" t="str">
        <f>IF(SUM(Table5[[#This Row],[NO OF CREDITS]:[BELOW CREDITS]])=0,"",SUM(Table5[[#This Row],[NO OF CREDITS]:[BELOW CREDITS]]))</f>
        <v/>
      </c>
    </row>
    <row r="271" spans="1:57" x14ac:dyDescent="0.3">
      <c r="A271" t="str">
        <f>IF(B271&lt;&gt;"",COUNTA($B$6:B271),"")</f>
        <v/>
      </c>
      <c r="B271" t="str">
        <f>IF(Result_Database!A267="","",Result_Database!A267)</f>
        <v/>
      </c>
      <c r="C271" t="str">
        <f>_xlfn.LET(
_xlpm.result,_xlfn.XLOOKUP($B271,Result_Database!$A$2:$A$500,Result_Database!$B$2:$B$500),
_xlfn.IFNA(_xlpm.result,"")
)</f>
        <v/>
      </c>
      <c r="D271" t="str">
        <f>_xlfn.LET(
  _xlpm.result, _xlfn.XLOOKUP($B271, Result_Database!$A$2:$A$500, Result_Database!C$2:C$500),
  _xlfn.IFNA(_xlpm.result, "")
)</f>
        <v/>
      </c>
      <c r="E271" t="str">
        <f>_xlfn.LET(
  _xlpm.result, _xlfn.XLOOKUP($B271, Result_Database!$A$2:$A$500, Result_Database!D$2:D$500),
  _xlfn.IFNA(_xlpm.result, "")
)</f>
        <v/>
      </c>
      <c r="F271" t="str">
        <f>_xlfn.LET(
  _xlpm.result, _xlfn.XLOOKUP($B271, Result_Database!$A$2:$A$500, Result_Database!E$2:E$500),
  _xlfn.IFNA(_xlpm.result, "")
)</f>
        <v/>
      </c>
      <c r="G271" t="str">
        <f>_xlfn.LET(
  _xlpm.result, _xlfn.XLOOKUP($B271, Result_Database!$A$2:$A$500, Result_Database!F$2:F$500),
  _xlfn.IFNA(_xlpm.result, "")
)</f>
        <v/>
      </c>
      <c r="H271" t="str">
        <f>_xlfn.LET(
  _xlpm.result, _xlfn.XLOOKUP($B271, Result_Database!$A$2:$A$500, Result_Database!G$2:G$500),
  _xlfn.IFNA(_xlpm.result, "")
)</f>
        <v/>
      </c>
      <c r="I271" t="str">
        <f>_xlfn.LET(
  _xlpm.result, _xlfn.XLOOKUP($B271, Result_Database!$A$2:$A$500, Result_Database!H$2:H$500),
  _xlfn.IFNA(_xlpm.result, "")
)</f>
        <v/>
      </c>
      <c r="J271" t="str">
        <f>_xlfn.LET(
  _xlpm.result, _xlfn.XLOOKUP($B271, Result_Database!$A$2:$A$500, Result_Database!I$2:I$500),
  _xlfn.IFNA(_xlpm.result, "")
)</f>
        <v/>
      </c>
      <c r="K271" t="str">
        <f>_xlfn.LET(
  _xlpm.result, _xlfn.XLOOKUP($B271, Result_Database!$A$2:$A$500, Result_Database!J$2:J$500),
  _xlfn.IFNA(_xlpm.result, "")
)</f>
        <v/>
      </c>
      <c r="L271" t="str">
        <f>_xlfn.LET(
  _xlpm.result, _xlfn.XLOOKUP($B271, Result_Database!$A$2:$A$500, Result_Database!K$2:K$500),
  _xlfn.IFNA(_xlpm.result, "")
)</f>
        <v/>
      </c>
      <c r="M271" t="str">
        <f>_xlfn.LET(
  _xlpm.result, _xlfn.XLOOKUP($B271, Result_Database!$A$2:$A$500, Result_Database!L$2:L$500),
  _xlfn.IFNA(_xlpm.result, "")
)</f>
        <v/>
      </c>
      <c r="N271" t="str">
        <f>_xlfn.LET(
  _xlpm.result, _xlfn.XLOOKUP($B271, Result_Database!$A$2:$A$500, Result_Database!M$2:M$500),
  _xlfn.IFNA(_xlpm.result, "")
)</f>
        <v/>
      </c>
      <c r="O271" t="str">
        <f>_xlfn.LET(
  _xlpm.result, _xlfn.XLOOKUP($B271, Result_Database!$A$2:$A$500, Result_Database!N$2:N$500),
  _xlfn.IFNA(_xlpm.result, "")
)</f>
        <v/>
      </c>
      <c r="P271" t="str">
        <f>_xlfn.LET(
  _xlpm.result, _xlfn.XLOOKUP($B271, Result_Database!$A$2:$A$500, Result_Database!O$2:O$500),
  _xlfn.IFNA(_xlpm.result, "")
)</f>
        <v/>
      </c>
      <c r="Q271" t="str">
        <f>_xlfn.LET(
  _xlpm.result, _xlfn.XLOOKUP($B271, Result_Database!$A$2:$A$500, Result_Database!P$2:P$500),
  _xlfn.IFNA(_xlpm.result, "")
)</f>
        <v/>
      </c>
      <c r="R271" t="str">
        <f>_xlfn.LET(
  _xlpm.result, _xlfn.XLOOKUP($B271, Result_Database!$A$2:$A$500, Result_Database!Q$2:Q$500),
  _xlfn.IFNA(_xlpm.result, "")
)</f>
        <v/>
      </c>
      <c r="S271" t="str">
        <f>_xlfn.LET(
  _xlpm.result, _xlfn.XLOOKUP($B271, Result_Database!$A$2:$A$500, Result_Database!R$2:R$500),
  _xlfn.IFNA(_xlpm.result, "")
)</f>
        <v/>
      </c>
      <c r="T271" t="str">
        <f>_xlfn.LET(
  _xlpm.result, _xlfn.XLOOKUP($B271, Result_Database!$A$2:$A$500, Result_Database!S$2:S$500),
  _xlfn.IFNA(_xlpm.result, "")
)</f>
        <v/>
      </c>
      <c r="U271" t="str">
        <f>_xlfn.LET(
  _xlpm.result, _xlfn.XLOOKUP($B271, Result_Database!$A$2:$A$500, Result_Database!T$2:T$500),
  _xlfn.IFNA(_xlpm.result, "")
)</f>
        <v/>
      </c>
      <c r="V271" t="str">
        <f>_xlfn.LET(
  _xlpm.result, _xlfn.XLOOKUP($B271, Result_Database!$A$2:$A$500, Result_Database!U$2:U$500),
  _xlfn.IFNA(_xlpm.result, "")
)</f>
        <v/>
      </c>
      <c r="W271" t="str">
        <f>_xlfn.LET(
  _xlpm.result, _xlfn.XLOOKUP($B271, Result_Database!$A$2:$A$500, Result_Database!V$2:V$500),
  _xlfn.IFNA(_xlpm.result, "")
)</f>
        <v/>
      </c>
      <c r="X271" t="str">
        <f>_xlfn.LET(
  _xlpm.result, _xlfn.XLOOKUP($B271, Result_Database!$A$2:$A$500, Result_Database!W$2:W$500),
  _xlfn.IFNA(_xlpm.result, "")
)</f>
        <v/>
      </c>
      <c r="Y271" t="str">
        <f>_xlfn.LET(
  _xlpm.result, _xlfn.XLOOKUP($B271, Result_Database!$A$2:$A$500, Result_Database!X$2:X$500),
  _xlfn.IFNA(_xlpm.result, "")
)</f>
        <v/>
      </c>
      <c r="Z271" t="str">
        <f>_xlfn.LET(
  _xlpm.result, _xlfn.XLOOKUP($B271, Result_Database!$A$2:$A$500, Result_Database!Y$2:Y$500),
  _xlfn.IFNA(_xlpm.result, "")
)</f>
        <v/>
      </c>
      <c r="AA271" t="str">
        <f>_xlfn.LET(
  _xlpm.result, _xlfn.XLOOKUP($B271, Result_Database!$A$2:$A$500, Result_Database!Z$2:Z$500),
  _xlfn.IFNA(_xlpm.result, "")
)</f>
        <v/>
      </c>
      <c r="AB271" t="str">
        <f>_xlfn.LET(
  _xlpm.result, _xlfn.XLOOKUP($B271, Result_Database!$A$2:$A$500, Result_Database!AA$2:AA$500),
  _xlfn.IFNA(_xlpm.result, "")
)</f>
        <v/>
      </c>
      <c r="AC271" t="str">
        <f>_xlfn.LET(
  _xlpm.result, _xlfn.XLOOKUP($B271, Result_Database!$A$2:$A$500, Result_Database!AB$2:AB$500),
  _xlfn.IFNA(_xlpm.result, "")
)</f>
        <v/>
      </c>
      <c r="AD271" t="str">
        <f>_xlfn.LET(
  _xlpm.result, _xlfn.XLOOKUP($B271, Result_Database!$A$2:$A$500, Result_Database!AC$2:AC$500),
  _xlfn.IFNA(_xlpm.result, "")
)</f>
        <v/>
      </c>
      <c r="AE271" t="str">
        <f>_xlfn.LET(
  _xlpm.result, _xlfn.XLOOKUP($B271, Result_Database!$A$2:$A$500, Result_Database!AD$2:AD$500),
  _xlfn.IFNA(_xlpm.result, "")
)</f>
        <v/>
      </c>
      <c r="AF271" t="str">
        <f>_xlfn.LET(
  _xlpm.result, _xlfn.XLOOKUP($B271, Result_Database!$A$2:$A$500, Result_Database!AE$2:AE$500),
  _xlfn.IFNA(_xlpm.result, "")
)</f>
        <v/>
      </c>
      <c r="AG271" t="str">
        <f>_xlfn.LET(
  _xlpm.result, _xlfn.XLOOKUP($B271, Result_Database!$A$2:$A$500, Result_Database!AF$2:AF$500),
  _xlfn.IFNA(_xlpm.result, "")
)</f>
        <v/>
      </c>
      <c r="AH271" t="str">
        <f>_xlfn.LET(
  _xlpm.result, _xlfn.XLOOKUP($B271, Result_Database!$A$2:$A$500, Result_Database!AG$2:AG$500),
  _xlfn.IFNA(_xlpm.result, "")
)</f>
        <v/>
      </c>
      <c r="AI271" t="str">
        <f>_xlfn.LET(
  _xlpm.result, _xlfn.XLOOKUP($B271, Result_Database!$A$2:$A$500, Result_Database!AH$2:AH$500),
  _xlfn.IFNA(_xlpm.result, "")
)</f>
        <v/>
      </c>
      <c r="AJ271" t="str">
        <f>_xlfn.LET(
  _xlpm.result, _xlfn.XLOOKUP($B271, Result_Database!$A$2:$A$500, Result_Database!AI$2:AI$500),
  _xlfn.IFNA(_xlpm.result, "")
)</f>
        <v/>
      </c>
      <c r="AK271" t="str">
        <f>_xlfn.LET(
  _xlpm.result, _xlfn.XLOOKUP($B271, Result_Database!$A$2:$A$500, Result_Database!AJ$2:AJ$500),
  _xlfn.IFNA(_xlpm.result, "")
)</f>
        <v/>
      </c>
      <c r="AL271" t="str">
        <f>_xlfn.LET(
  _xlpm.result, _xlfn.XLOOKUP($B271, Result_Database!$A$2:$A$500, Result_Database!AK$2:AK$500),
  _xlfn.IFNA(_xlpm.result, "")
)</f>
        <v/>
      </c>
      <c r="AM27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7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7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7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7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7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7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7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7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71" t="str">
        <f>IF(SUM(Table5[[#This Row],[A1]:[C6]])&lt;&gt;0,SUM(Table5[[#This Row],[A1]:[C6]]),"")</f>
        <v/>
      </c>
      <c r="AW271" t="str">
        <f>IF(SUM(Table5[[#This Row],[D7]:[F9]])=0,"",SUM(Table5[[#This Row],[D7]:[F9]]))</f>
        <v/>
      </c>
      <c r="AX27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7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7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7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7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7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71" t="str">
        <f>IF(COUNTIF(Table5[[#This Row],[English Language]:[Electrical/ Electronics]],"WITHHELD")=0,"",COUNTIF(Table5[[#This Row],[English Language]:[Electrical/ Electronics]],"WITHHELD"))</f>
        <v/>
      </c>
      <c r="BE271" t="str">
        <f>IF(SUM(Table5[[#This Row],[NO OF CREDITS]:[BELOW CREDITS]])=0,"",SUM(Table5[[#This Row],[NO OF CREDITS]:[BELOW CREDITS]]))</f>
        <v/>
      </c>
    </row>
    <row r="272" spans="1:57" x14ac:dyDescent="0.3">
      <c r="A272" t="str">
        <f>IF(B272&lt;&gt;"",COUNTA($B$6:B272),"")</f>
        <v/>
      </c>
      <c r="B272" t="str">
        <f>IF(Result_Database!A268="","",Result_Database!A268)</f>
        <v/>
      </c>
      <c r="C272" t="str">
        <f>_xlfn.LET(
_xlpm.result,_xlfn.XLOOKUP($B272,Result_Database!$A$2:$A$500,Result_Database!$B$2:$B$500),
_xlfn.IFNA(_xlpm.result,"")
)</f>
        <v/>
      </c>
      <c r="D272" t="str">
        <f>_xlfn.LET(
  _xlpm.result, _xlfn.XLOOKUP($B272, Result_Database!$A$2:$A$500, Result_Database!C$2:C$500),
  _xlfn.IFNA(_xlpm.result, "")
)</f>
        <v/>
      </c>
      <c r="E272" t="str">
        <f>_xlfn.LET(
  _xlpm.result, _xlfn.XLOOKUP($B272, Result_Database!$A$2:$A$500, Result_Database!D$2:D$500),
  _xlfn.IFNA(_xlpm.result, "")
)</f>
        <v/>
      </c>
      <c r="F272" t="str">
        <f>_xlfn.LET(
  _xlpm.result, _xlfn.XLOOKUP($B272, Result_Database!$A$2:$A$500, Result_Database!E$2:E$500),
  _xlfn.IFNA(_xlpm.result, "")
)</f>
        <v/>
      </c>
      <c r="G272" t="str">
        <f>_xlfn.LET(
  _xlpm.result, _xlfn.XLOOKUP($B272, Result_Database!$A$2:$A$500, Result_Database!F$2:F$500),
  _xlfn.IFNA(_xlpm.result, "")
)</f>
        <v/>
      </c>
      <c r="H272" t="str">
        <f>_xlfn.LET(
  _xlpm.result, _xlfn.XLOOKUP($B272, Result_Database!$A$2:$A$500, Result_Database!G$2:G$500),
  _xlfn.IFNA(_xlpm.result, "")
)</f>
        <v/>
      </c>
      <c r="I272" t="str">
        <f>_xlfn.LET(
  _xlpm.result, _xlfn.XLOOKUP($B272, Result_Database!$A$2:$A$500, Result_Database!H$2:H$500),
  _xlfn.IFNA(_xlpm.result, "")
)</f>
        <v/>
      </c>
      <c r="J272" t="str">
        <f>_xlfn.LET(
  _xlpm.result, _xlfn.XLOOKUP($B272, Result_Database!$A$2:$A$500, Result_Database!I$2:I$500),
  _xlfn.IFNA(_xlpm.result, "")
)</f>
        <v/>
      </c>
      <c r="K272" t="str">
        <f>_xlfn.LET(
  _xlpm.result, _xlfn.XLOOKUP($B272, Result_Database!$A$2:$A$500, Result_Database!J$2:J$500),
  _xlfn.IFNA(_xlpm.result, "")
)</f>
        <v/>
      </c>
      <c r="L272" t="str">
        <f>_xlfn.LET(
  _xlpm.result, _xlfn.XLOOKUP($B272, Result_Database!$A$2:$A$500, Result_Database!K$2:K$500),
  _xlfn.IFNA(_xlpm.result, "")
)</f>
        <v/>
      </c>
      <c r="M272" t="str">
        <f>_xlfn.LET(
  _xlpm.result, _xlfn.XLOOKUP($B272, Result_Database!$A$2:$A$500, Result_Database!L$2:L$500),
  _xlfn.IFNA(_xlpm.result, "")
)</f>
        <v/>
      </c>
      <c r="N272" t="str">
        <f>_xlfn.LET(
  _xlpm.result, _xlfn.XLOOKUP($B272, Result_Database!$A$2:$A$500, Result_Database!M$2:M$500),
  _xlfn.IFNA(_xlpm.result, "")
)</f>
        <v/>
      </c>
      <c r="O272" t="str">
        <f>_xlfn.LET(
  _xlpm.result, _xlfn.XLOOKUP($B272, Result_Database!$A$2:$A$500, Result_Database!N$2:N$500),
  _xlfn.IFNA(_xlpm.result, "")
)</f>
        <v/>
      </c>
      <c r="P272" t="str">
        <f>_xlfn.LET(
  _xlpm.result, _xlfn.XLOOKUP($B272, Result_Database!$A$2:$A$500, Result_Database!O$2:O$500),
  _xlfn.IFNA(_xlpm.result, "")
)</f>
        <v/>
      </c>
      <c r="Q272" t="str">
        <f>_xlfn.LET(
  _xlpm.result, _xlfn.XLOOKUP($B272, Result_Database!$A$2:$A$500, Result_Database!P$2:P$500),
  _xlfn.IFNA(_xlpm.result, "")
)</f>
        <v/>
      </c>
      <c r="R272" t="str">
        <f>_xlfn.LET(
  _xlpm.result, _xlfn.XLOOKUP($B272, Result_Database!$A$2:$A$500, Result_Database!Q$2:Q$500),
  _xlfn.IFNA(_xlpm.result, "")
)</f>
        <v/>
      </c>
      <c r="S272" t="str">
        <f>_xlfn.LET(
  _xlpm.result, _xlfn.XLOOKUP($B272, Result_Database!$A$2:$A$500, Result_Database!R$2:R$500),
  _xlfn.IFNA(_xlpm.result, "")
)</f>
        <v/>
      </c>
      <c r="T272" t="str">
        <f>_xlfn.LET(
  _xlpm.result, _xlfn.XLOOKUP($B272, Result_Database!$A$2:$A$500, Result_Database!S$2:S$500),
  _xlfn.IFNA(_xlpm.result, "")
)</f>
        <v/>
      </c>
      <c r="U272" t="str">
        <f>_xlfn.LET(
  _xlpm.result, _xlfn.XLOOKUP($B272, Result_Database!$A$2:$A$500, Result_Database!T$2:T$500),
  _xlfn.IFNA(_xlpm.result, "")
)</f>
        <v/>
      </c>
      <c r="V272" t="str">
        <f>_xlfn.LET(
  _xlpm.result, _xlfn.XLOOKUP($B272, Result_Database!$A$2:$A$500, Result_Database!U$2:U$500),
  _xlfn.IFNA(_xlpm.result, "")
)</f>
        <v/>
      </c>
      <c r="W272" t="str">
        <f>_xlfn.LET(
  _xlpm.result, _xlfn.XLOOKUP($B272, Result_Database!$A$2:$A$500, Result_Database!V$2:V$500),
  _xlfn.IFNA(_xlpm.result, "")
)</f>
        <v/>
      </c>
      <c r="X272" t="str">
        <f>_xlfn.LET(
  _xlpm.result, _xlfn.XLOOKUP($B272, Result_Database!$A$2:$A$500, Result_Database!W$2:W$500),
  _xlfn.IFNA(_xlpm.result, "")
)</f>
        <v/>
      </c>
      <c r="Y272" t="str">
        <f>_xlfn.LET(
  _xlpm.result, _xlfn.XLOOKUP($B272, Result_Database!$A$2:$A$500, Result_Database!X$2:X$500),
  _xlfn.IFNA(_xlpm.result, "")
)</f>
        <v/>
      </c>
      <c r="Z272" t="str">
        <f>_xlfn.LET(
  _xlpm.result, _xlfn.XLOOKUP($B272, Result_Database!$A$2:$A$500, Result_Database!Y$2:Y$500),
  _xlfn.IFNA(_xlpm.result, "")
)</f>
        <v/>
      </c>
      <c r="AA272" t="str">
        <f>_xlfn.LET(
  _xlpm.result, _xlfn.XLOOKUP($B272, Result_Database!$A$2:$A$500, Result_Database!Z$2:Z$500),
  _xlfn.IFNA(_xlpm.result, "")
)</f>
        <v/>
      </c>
      <c r="AB272" t="str">
        <f>_xlfn.LET(
  _xlpm.result, _xlfn.XLOOKUP($B272, Result_Database!$A$2:$A$500, Result_Database!AA$2:AA$500),
  _xlfn.IFNA(_xlpm.result, "")
)</f>
        <v/>
      </c>
      <c r="AC272" t="str">
        <f>_xlfn.LET(
  _xlpm.result, _xlfn.XLOOKUP($B272, Result_Database!$A$2:$A$500, Result_Database!AB$2:AB$500),
  _xlfn.IFNA(_xlpm.result, "")
)</f>
        <v/>
      </c>
      <c r="AD272" t="str">
        <f>_xlfn.LET(
  _xlpm.result, _xlfn.XLOOKUP($B272, Result_Database!$A$2:$A$500, Result_Database!AC$2:AC$500),
  _xlfn.IFNA(_xlpm.result, "")
)</f>
        <v/>
      </c>
      <c r="AE272" t="str">
        <f>_xlfn.LET(
  _xlpm.result, _xlfn.XLOOKUP($B272, Result_Database!$A$2:$A$500, Result_Database!AD$2:AD$500),
  _xlfn.IFNA(_xlpm.result, "")
)</f>
        <v/>
      </c>
      <c r="AF272" t="str">
        <f>_xlfn.LET(
  _xlpm.result, _xlfn.XLOOKUP($B272, Result_Database!$A$2:$A$500, Result_Database!AE$2:AE$500),
  _xlfn.IFNA(_xlpm.result, "")
)</f>
        <v/>
      </c>
      <c r="AG272" t="str">
        <f>_xlfn.LET(
  _xlpm.result, _xlfn.XLOOKUP($B272, Result_Database!$A$2:$A$500, Result_Database!AF$2:AF$500),
  _xlfn.IFNA(_xlpm.result, "")
)</f>
        <v/>
      </c>
      <c r="AH272" t="str">
        <f>_xlfn.LET(
  _xlpm.result, _xlfn.XLOOKUP($B272, Result_Database!$A$2:$A$500, Result_Database!AG$2:AG$500),
  _xlfn.IFNA(_xlpm.result, "")
)</f>
        <v/>
      </c>
      <c r="AI272" t="str">
        <f>_xlfn.LET(
  _xlpm.result, _xlfn.XLOOKUP($B272, Result_Database!$A$2:$A$500, Result_Database!AH$2:AH$500),
  _xlfn.IFNA(_xlpm.result, "")
)</f>
        <v/>
      </c>
      <c r="AJ272" t="str">
        <f>_xlfn.LET(
  _xlpm.result, _xlfn.XLOOKUP($B272, Result_Database!$A$2:$A$500, Result_Database!AI$2:AI$500),
  _xlfn.IFNA(_xlpm.result, "")
)</f>
        <v/>
      </c>
      <c r="AK272" t="str">
        <f>_xlfn.LET(
  _xlpm.result, _xlfn.XLOOKUP($B272, Result_Database!$A$2:$A$500, Result_Database!AJ$2:AJ$500),
  _xlfn.IFNA(_xlpm.result, "")
)</f>
        <v/>
      </c>
      <c r="AL272" t="str">
        <f>_xlfn.LET(
  _xlpm.result, _xlfn.XLOOKUP($B272, Result_Database!$A$2:$A$500, Result_Database!AK$2:AK$500),
  _xlfn.IFNA(_xlpm.result, "")
)</f>
        <v/>
      </c>
      <c r="AM27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7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7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7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7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7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7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7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7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72" t="str">
        <f>IF(SUM(Table5[[#This Row],[A1]:[C6]])&lt;&gt;0,SUM(Table5[[#This Row],[A1]:[C6]]),"")</f>
        <v/>
      </c>
      <c r="AW272" t="str">
        <f>IF(SUM(Table5[[#This Row],[D7]:[F9]])=0,"",SUM(Table5[[#This Row],[D7]:[F9]]))</f>
        <v/>
      </c>
      <c r="AX27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7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7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7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7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7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72" t="str">
        <f>IF(COUNTIF(Table5[[#This Row],[English Language]:[Electrical/ Electronics]],"WITHHELD")=0,"",COUNTIF(Table5[[#This Row],[English Language]:[Electrical/ Electronics]],"WITHHELD"))</f>
        <v/>
      </c>
      <c r="BE272" t="str">
        <f>IF(SUM(Table5[[#This Row],[NO OF CREDITS]:[BELOW CREDITS]])=0,"",SUM(Table5[[#This Row],[NO OF CREDITS]:[BELOW CREDITS]]))</f>
        <v/>
      </c>
    </row>
    <row r="273" spans="1:57" x14ac:dyDescent="0.3">
      <c r="A273" t="str">
        <f>IF(B273&lt;&gt;"",COUNTA($B$6:B273),"")</f>
        <v/>
      </c>
      <c r="B273" t="str">
        <f>IF(Result_Database!A269="","",Result_Database!A269)</f>
        <v/>
      </c>
      <c r="C273" t="str">
        <f>_xlfn.LET(
_xlpm.result,_xlfn.XLOOKUP($B273,Result_Database!$A$2:$A$500,Result_Database!$B$2:$B$500),
_xlfn.IFNA(_xlpm.result,"")
)</f>
        <v/>
      </c>
      <c r="D273" t="str">
        <f>_xlfn.LET(
  _xlpm.result, _xlfn.XLOOKUP($B273, Result_Database!$A$2:$A$500, Result_Database!C$2:C$500),
  _xlfn.IFNA(_xlpm.result, "")
)</f>
        <v/>
      </c>
      <c r="E273" t="str">
        <f>_xlfn.LET(
  _xlpm.result, _xlfn.XLOOKUP($B273, Result_Database!$A$2:$A$500, Result_Database!D$2:D$500),
  _xlfn.IFNA(_xlpm.result, "")
)</f>
        <v/>
      </c>
      <c r="F273" t="str">
        <f>_xlfn.LET(
  _xlpm.result, _xlfn.XLOOKUP($B273, Result_Database!$A$2:$A$500, Result_Database!E$2:E$500),
  _xlfn.IFNA(_xlpm.result, "")
)</f>
        <v/>
      </c>
      <c r="G273" t="str">
        <f>_xlfn.LET(
  _xlpm.result, _xlfn.XLOOKUP($B273, Result_Database!$A$2:$A$500, Result_Database!F$2:F$500),
  _xlfn.IFNA(_xlpm.result, "")
)</f>
        <v/>
      </c>
      <c r="H273" t="str">
        <f>_xlfn.LET(
  _xlpm.result, _xlfn.XLOOKUP($B273, Result_Database!$A$2:$A$500, Result_Database!G$2:G$500),
  _xlfn.IFNA(_xlpm.result, "")
)</f>
        <v/>
      </c>
      <c r="I273" t="str">
        <f>_xlfn.LET(
  _xlpm.result, _xlfn.XLOOKUP($B273, Result_Database!$A$2:$A$500, Result_Database!H$2:H$500),
  _xlfn.IFNA(_xlpm.result, "")
)</f>
        <v/>
      </c>
      <c r="J273" t="str">
        <f>_xlfn.LET(
  _xlpm.result, _xlfn.XLOOKUP($B273, Result_Database!$A$2:$A$500, Result_Database!I$2:I$500),
  _xlfn.IFNA(_xlpm.result, "")
)</f>
        <v/>
      </c>
      <c r="K273" t="str">
        <f>_xlfn.LET(
  _xlpm.result, _xlfn.XLOOKUP($B273, Result_Database!$A$2:$A$500, Result_Database!J$2:J$500),
  _xlfn.IFNA(_xlpm.result, "")
)</f>
        <v/>
      </c>
      <c r="L273" t="str">
        <f>_xlfn.LET(
  _xlpm.result, _xlfn.XLOOKUP($B273, Result_Database!$A$2:$A$500, Result_Database!K$2:K$500),
  _xlfn.IFNA(_xlpm.result, "")
)</f>
        <v/>
      </c>
      <c r="M273" t="str">
        <f>_xlfn.LET(
  _xlpm.result, _xlfn.XLOOKUP($B273, Result_Database!$A$2:$A$500, Result_Database!L$2:L$500),
  _xlfn.IFNA(_xlpm.result, "")
)</f>
        <v/>
      </c>
      <c r="N273" t="str">
        <f>_xlfn.LET(
  _xlpm.result, _xlfn.XLOOKUP($B273, Result_Database!$A$2:$A$500, Result_Database!M$2:M$500),
  _xlfn.IFNA(_xlpm.result, "")
)</f>
        <v/>
      </c>
      <c r="O273" t="str">
        <f>_xlfn.LET(
  _xlpm.result, _xlfn.XLOOKUP($B273, Result_Database!$A$2:$A$500, Result_Database!N$2:N$500),
  _xlfn.IFNA(_xlpm.result, "")
)</f>
        <v/>
      </c>
      <c r="P273" t="str">
        <f>_xlfn.LET(
  _xlpm.result, _xlfn.XLOOKUP($B273, Result_Database!$A$2:$A$500, Result_Database!O$2:O$500),
  _xlfn.IFNA(_xlpm.result, "")
)</f>
        <v/>
      </c>
      <c r="Q273" t="str">
        <f>_xlfn.LET(
  _xlpm.result, _xlfn.XLOOKUP($B273, Result_Database!$A$2:$A$500, Result_Database!P$2:P$500),
  _xlfn.IFNA(_xlpm.result, "")
)</f>
        <v/>
      </c>
      <c r="R273" t="str">
        <f>_xlfn.LET(
  _xlpm.result, _xlfn.XLOOKUP($B273, Result_Database!$A$2:$A$500, Result_Database!Q$2:Q$500),
  _xlfn.IFNA(_xlpm.result, "")
)</f>
        <v/>
      </c>
      <c r="S273" t="str">
        <f>_xlfn.LET(
  _xlpm.result, _xlfn.XLOOKUP($B273, Result_Database!$A$2:$A$500, Result_Database!R$2:R$500),
  _xlfn.IFNA(_xlpm.result, "")
)</f>
        <v/>
      </c>
      <c r="T273" t="str">
        <f>_xlfn.LET(
  _xlpm.result, _xlfn.XLOOKUP($B273, Result_Database!$A$2:$A$500, Result_Database!S$2:S$500),
  _xlfn.IFNA(_xlpm.result, "")
)</f>
        <v/>
      </c>
      <c r="U273" t="str">
        <f>_xlfn.LET(
  _xlpm.result, _xlfn.XLOOKUP($B273, Result_Database!$A$2:$A$500, Result_Database!T$2:T$500),
  _xlfn.IFNA(_xlpm.result, "")
)</f>
        <v/>
      </c>
      <c r="V273" t="str">
        <f>_xlfn.LET(
  _xlpm.result, _xlfn.XLOOKUP($B273, Result_Database!$A$2:$A$500, Result_Database!U$2:U$500),
  _xlfn.IFNA(_xlpm.result, "")
)</f>
        <v/>
      </c>
      <c r="W273" t="str">
        <f>_xlfn.LET(
  _xlpm.result, _xlfn.XLOOKUP($B273, Result_Database!$A$2:$A$500, Result_Database!V$2:V$500),
  _xlfn.IFNA(_xlpm.result, "")
)</f>
        <v/>
      </c>
      <c r="X273" t="str">
        <f>_xlfn.LET(
  _xlpm.result, _xlfn.XLOOKUP($B273, Result_Database!$A$2:$A$500, Result_Database!W$2:W$500),
  _xlfn.IFNA(_xlpm.result, "")
)</f>
        <v/>
      </c>
      <c r="Y273" t="str">
        <f>_xlfn.LET(
  _xlpm.result, _xlfn.XLOOKUP($B273, Result_Database!$A$2:$A$500, Result_Database!X$2:X$500),
  _xlfn.IFNA(_xlpm.result, "")
)</f>
        <v/>
      </c>
      <c r="Z273" t="str">
        <f>_xlfn.LET(
  _xlpm.result, _xlfn.XLOOKUP($B273, Result_Database!$A$2:$A$500, Result_Database!Y$2:Y$500),
  _xlfn.IFNA(_xlpm.result, "")
)</f>
        <v/>
      </c>
      <c r="AA273" t="str">
        <f>_xlfn.LET(
  _xlpm.result, _xlfn.XLOOKUP($B273, Result_Database!$A$2:$A$500, Result_Database!Z$2:Z$500),
  _xlfn.IFNA(_xlpm.result, "")
)</f>
        <v/>
      </c>
      <c r="AB273" t="str">
        <f>_xlfn.LET(
  _xlpm.result, _xlfn.XLOOKUP($B273, Result_Database!$A$2:$A$500, Result_Database!AA$2:AA$500),
  _xlfn.IFNA(_xlpm.result, "")
)</f>
        <v/>
      </c>
      <c r="AC273" t="str">
        <f>_xlfn.LET(
  _xlpm.result, _xlfn.XLOOKUP($B273, Result_Database!$A$2:$A$500, Result_Database!AB$2:AB$500),
  _xlfn.IFNA(_xlpm.result, "")
)</f>
        <v/>
      </c>
      <c r="AD273" t="str">
        <f>_xlfn.LET(
  _xlpm.result, _xlfn.XLOOKUP($B273, Result_Database!$A$2:$A$500, Result_Database!AC$2:AC$500),
  _xlfn.IFNA(_xlpm.result, "")
)</f>
        <v/>
      </c>
      <c r="AE273" t="str">
        <f>_xlfn.LET(
  _xlpm.result, _xlfn.XLOOKUP($B273, Result_Database!$A$2:$A$500, Result_Database!AD$2:AD$500),
  _xlfn.IFNA(_xlpm.result, "")
)</f>
        <v/>
      </c>
      <c r="AF273" t="str">
        <f>_xlfn.LET(
  _xlpm.result, _xlfn.XLOOKUP($B273, Result_Database!$A$2:$A$500, Result_Database!AE$2:AE$500),
  _xlfn.IFNA(_xlpm.result, "")
)</f>
        <v/>
      </c>
      <c r="AG273" t="str">
        <f>_xlfn.LET(
  _xlpm.result, _xlfn.XLOOKUP($B273, Result_Database!$A$2:$A$500, Result_Database!AF$2:AF$500),
  _xlfn.IFNA(_xlpm.result, "")
)</f>
        <v/>
      </c>
      <c r="AH273" t="str">
        <f>_xlfn.LET(
  _xlpm.result, _xlfn.XLOOKUP($B273, Result_Database!$A$2:$A$500, Result_Database!AG$2:AG$500),
  _xlfn.IFNA(_xlpm.result, "")
)</f>
        <v/>
      </c>
      <c r="AI273" t="str">
        <f>_xlfn.LET(
  _xlpm.result, _xlfn.XLOOKUP($B273, Result_Database!$A$2:$A$500, Result_Database!AH$2:AH$500),
  _xlfn.IFNA(_xlpm.result, "")
)</f>
        <v/>
      </c>
      <c r="AJ273" t="str">
        <f>_xlfn.LET(
  _xlpm.result, _xlfn.XLOOKUP($B273, Result_Database!$A$2:$A$500, Result_Database!AI$2:AI$500),
  _xlfn.IFNA(_xlpm.result, "")
)</f>
        <v/>
      </c>
      <c r="AK273" t="str">
        <f>_xlfn.LET(
  _xlpm.result, _xlfn.XLOOKUP($B273, Result_Database!$A$2:$A$500, Result_Database!AJ$2:AJ$500),
  _xlfn.IFNA(_xlpm.result, "")
)</f>
        <v/>
      </c>
      <c r="AL273" t="str">
        <f>_xlfn.LET(
  _xlpm.result, _xlfn.XLOOKUP($B273, Result_Database!$A$2:$A$500, Result_Database!AK$2:AK$500),
  _xlfn.IFNA(_xlpm.result, "")
)</f>
        <v/>
      </c>
      <c r="AM27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7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7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7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7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7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7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7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7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73" t="str">
        <f>IF(SUM(Table5[[#This Row],[A1]:[C6]])&lt;&gt;0,SUM(Table5[[#This Row],[A1]:[C6]]),"")</f>
        <v/>
      </c>
      <c r="AW273" t="str">
        <f>IF(SUM(Table5[[#This Row],[D7]:[F9]])=0,"",SUM(Table5[[#This Row],[D7]:[F9]]))</f>
        <v/>
      </c>
      <c r="AX27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7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7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7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7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7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73" t="str">
        <f>IF(COUNTIF(Table5[[#This Row],[English Language]:[Electrical/ Electronics]],"WITHHELD")=0,"",COUNTIF(Table5[[#This Row],[English Language]:[Electrical/ Electronics]],"WITHHELD"))</f>
        <v/>
      </c>
      <c r="BE273" t="str">
        <f>IF(SUM(Table5[[#This Row],[NO OF CREDITS]:[BELOW CREDITS]])=0,"",SUM(Table5[[#This Row],[NO OF CREDITS]:[BELOW CREDITS]]))</f>
        <v/>
      </c>
    </row>
    <row r="274" spans="1:57" x14ac:dyDescent="0.3">
      <c r="A274" t="str">
        <f>IF(B274&lt;&gt;"",COUNTA($B$6:B274),"")</f>
        <v/>
      </c>
      <c r="B274" t="str">
        <f>IF(Result_Database!A270="","",Result_Database!A270)</f>
        <v/>
      </c>
      <c r="C274" t="str">
        <f>_xlfn.LET(
_xlpm.result,_xlfn.XLOOKUP($B274,Result_Database!$A$2:$A$500,Result_Database!$B$2:$B$500),
_xlfn.IFNA(_xlpm.result,"")
)</f>
        <v/>
      </c>
      <c r="D274" t="str">
        <f>_xlfn.LET(
  _xlpm.result, _xlfn.XLOOKUP($B274, Result_Database!$A$2:$A$500, Result_Database!C$2:C$500),
  _xlfn.IFNA(_xlpm.result, "")
)</f>
        <v/>
      </c>
      <c r="E274" t="str">
        <f>_xlfn.LET(
  _xlpm.result, _xlfn.XLOOKUP($B274, Result_Database!$A$2:$A$500, Result_Database!D$2:D$500),
  _xlfn.IFNA(_xlpm.result, "")
)</f>
        <v/>
      </c>
      <c r="F274" t="str">
        <f>_xlfn.LET(
  _xlpm.result, _xlfn.XLOOKUP($B274, Result_Database!$A$2:$A$500, Result_Database!E$2:E$500),
  _xlfn.IFNA(_xlpm.result, "")
)</f>
        <v/>
      </c>
      <c r="G274" t="str">
        <f>_xlfn.LET(
  _xlpm.result, _xlfn.XLOOKUP($B274, Result_Database!$A$2:$A$500, Result_Database!F$2:F$500),
  _xlfn.IFNA(_xlpm.result, "")
)</f>
        <v/>
      </c>
      <c r="H274" t="str">
        <f>_xlfn.LET(
  _xlpm.result, _xlfn.XLOOKUP($B274, Result_Database!$A$2:$A$500, Result_Database!G$2:G$500),
  _xlfn.IFNA(_xlpm.result, "")
)</f>
        <v/>
      </c>
      <c r="I274" t="str">
        <f>_xlfn.LET(
  _xlpm.result, _xlfn.XLOOKUP($B274, Result_Database!$A$2:$A$500, Result_Database!H$2:H$500),
  _xlfn.IFNA(_xlpm.result, "")
)</f>
        <v/>
      </c>
      <c r="J274" t="str">
        <f>_xlfn.LET(
  _xlpm.result, _xlfn.XLOOKUP($B274, Result_Database!$A$2:$A$500, Result_Database!I$2:I$500),
  _xlfn.IFNA(_xlpm.result, "")
)</f>
        <v/>
      </c>
      <c r="K274" t="str">
        <f>_xlfn.LET(
  _xlpm.result, _xlfn.XLOOKUP($B274, Result_Database!$A$2:$A$500, Result_Database!J$2:J$500),
  _xlfn.IFNA(_xlpm.result, "")
)</f>
        <v/>
      </c>
      <c r="L274" t="str">
        <f>_xlfn.LET(
  _xlpm.result, _xlfn.XLOOKUP($B274, Result_Database!$A$2:$A$500, Result_Database!K$2:K$500),
  _xlfn.IFNA(_xlpm.result, "")
)</f>
        <v/>
      </c>
      <c r="M274" t="str">
        <f>_xlfn.LET(
  _xlpm.result, _xlfn.XLOOKUP($B274, Result_Database!$A$2:$A$500, Result_Database!L$2:L$500),
  _xlfn.IFNA(_xlpm.result, "")
)</f>
        <v/>
      </c>
      <c r="N274" t="str">
        <f>_xlfn.LET(
  _xlpm.result, _xlfn.XLOOKUP($B274, Result_Database!$A$2:$A$500, Result_Database!M$2:M$500),
  _xlfn.IFNA(_xlpm.result, "")
)</f>
        <v/>
      </c>
      <c r="O274" t="str">
        <f>_xlfn.LET(
  _xlpm.result, _xlfn.XLOOKUP($B274, Result_Database!$A$2:$A$500, Result_Database!N$2:N$500),
  _xlfn.IFNA(_xlpm.result, "")
)</f>
        <v/>
      </c>
      <c r="P274" t="str">
        <f>_xlfn.LET(
  _xlpm.result, _xlfn.XLOOKUP($B274, Result_Database!$A$2:$A$500, Result_Database!O$2:O$500),
  _xlfn.IFNA(_xlpm.result, "")
)</f>
        <v/>
      </c>
      <c r="Q274" t="str">
        <f>_xlfn.LET(
  _xlpm.result, _xlfn.XLOOKUP($B274, Result_Database!$A$2:$A$500, Result_Database!P$2:P$500),
  _xlfn.IFNA(_xlpm.result, "")
)</f>
        <v/>
      </c>
      <c r="R274" t="str">
        <f>_xlfn.LET(
  _xlpm.result, _xlfn.XLOOKUP($B274, Result_Database!$A$2:$A$500, Result_Database!Q$2:Q$500),
  _xlfn.IFNA(_xlpm.result, "")
)</f>
        <v/>
      </c>
      <c r="S274" t="str">
        <f>_xlfn.LET(
  _xlpm.result, _xlfn.XLOOKUP($B274, Result_Database!$A$2:$A$500, Result_Database!R$2:R$500),
  _xlfn.IFNA(_xlpm.result, "")
)</f>
        <v/>
      </c>
      <c r="T274" t="str">
        <f>_xlfn.LET(
  _xlpm.result, _xlfn.XLOOKUP($B274, Result_Database!$A$2:$A$500, Result_Database!S$2:S$500),
  _xlfn.IFNA(_xlpm.result, "")
)</f>
        <v/>
      </c>
      <c r="U274" t="str">
        <f>_xlfn.LET(
  _xlpm.result, _xlfn.XLOOKUP($B274, Result_Database!$A$2:$A$500, Result_Database!T$2:T$500),
  _xlfn.IFNA(_xlpm.result, "")
)</f>
        <v/>
      </c>
      <c r="V274" t="str">
        <f>_xlfn.LET(
  _xlpm.result, _xlfn.XLOOKUP($B274, Result_Database!$A$2:$A$500, Result_Database!U$2:U$500),
  _xlfn.IFNA(_xlpm.result, "")
)</f>
        <v/>
      </c>
      <c r="W274" t="str">
        <f>_xlfn.LET(
  _xlpm.result, _xlfn.XLOOKUP($B274, Result_Database!$A$2:$A$500, Result_Database!V$2:V$500),
  _xlfn.IFNA(_xlpm.result, "")
)</f>
        <v/>
      </c>
      <c r="X274" t="str">
        <f>_xlfn.LET(
  _xlpm.result, _xlfn.XLOOKUP($B274, Result_Database!$A$2:$A$500, Result_Database!W$2:W$500),
  _xlfn.IFNA(_xlpm.result, "")
)</f>
        <v/>
      </c>
      <c r="Y274" t="str">
        <f>_xlfn.LET(
  _xlpm.result, _xlfn.XLOOKUP($B274, Result_Database!$A$2:$A$500, Result_Database!X$2:X$500),
  _xlfn.IFNA(_xlpm.result, "")
)</f>
        <v/>
      </c>
      <c r="Z274" t="str">
        <f>_xlfn.LET(
  _xlpm.result, _xlfn.XLOOKUP($B274, Result_Database!$A$2:$A$500, Result_Database!Y$2:Y$500),
  _xlfn.IFNA(_xlpm.result, "")
)</f>
        <v/>
      </c>
      <c r="AA274" t="str">
        <f>_xlfn.LET(
  _xlpm.result, _xlfn.XLOOKUP($B274, Result_Database!$A$2:$A$500, Result_Database!Z$2:Z$500),
  _xlfn.IFNA(_xlpm.result, "")
)</f>
        <v/>
      </c>
      <c r="AB274" t="str">
        <f>_xlfn.LET(
  _xlpm.result, _xlfn.XLOOKUP($B274, Result_Database!$A$2:$A$500, Result_Database!AA$2:AA$500),
  _xlfn.IFNA(_xlpm.result, "")
)</f>
        <v/>
      </c>
      <c r="AC274" t="str">
        <f>_xlfn.LET(
  _xlpm.result, _xlfn.XLOOKUP($B274, Result_Database!$A$2:$A$500, Result_Database!AB$2:AB$500),
  _xlfn.IFNA(_xlpm.result, "")
)</f>
        <v/>
      </c>
      <c r="AD274" t="str">
        <f>_xlfn.LET(
  _xlpm.result, _xlfn.XLOOKUP($B274, Result_Database!$A$2:$A$500, Result_Database!AC$2:AC$500),
  _xlfn.IFNA(_xlpm.result, "")
)</f>
        <v/>
      </c>
      <c r="AE274" t="str">
        <f>_xlfn.LET(
  _xlpm.result, _xlfn.XLOOKUP($B274, Result_Database!$A$2:$A$500, Result_Database!AD$2:AD$500),
  _xlfn.IFNA(_xlpm.result, "")
)</f>
        <v/>
      </c>
      <c r="AF274" t="str">
        <f>_xlfn.LET(
  _xlpm.result, _xlfn.XLOOKUP($B274, Result_Database!$A$2:$A$500, Result_Database!AE$2:AE$500),
  _xlfn.IFNA(_xlpm.result, "")
)</f>
        <v/>
      </c>
      <c r="AG274" t="str">
        <f>_xlfn.LET(
  _xlpm.result, _xlfn.XLOOKUP($B274, Result_Database!$A$2:$A$500, Result_Database!AF$2:AF$500),
  _xlfn.IFNA(_xlpm.result, "")
)</f>
        <v/>
      </c>
      <c r="AH274" t="str">
        <f>_xlfn.LET(
  _xlpm.result, _xlfn.XLOOKUP($B274, Result_Database!$A$2:$A$500, Result_Database!AG$2:AG$500),
  _xlfn.IFNA(_xlpm.result, "")
)</f>
        <v/>
      </c>
      <c r="AI274" t="str">
        <f>_xlfn.LET(
  _xlpm.result, _xlfn.XLOOKUP($B274, Result_Database!$A$2:$A$500, Result_Database!AH$2:AH$500),
  _xlfn.IFNA(_xlpm.result, "")
)</f>
        <v/>
      </c>
      <c r="AJ274" t="str">
        <f>_xlfn.LET(
  _xlpm.result, _xlfn.XLOOKUP($B274, Result_Database!$A$2:$A$500, Result_Database!AI$2:AI$500),
  _xlfn.IFNA(_xlpm.result, "")
)</f>
        <v/>
      </c>
      <c r="AK274" t="str">
        <f>_xlfn.LET(
  _xlpm.result, _xlfn.XLOOKUP($B274, Result_Database!$A$2:$A$500, Result_Database!AJ$2:AJ$500),
  _xlfn.IFNA(_xlpm.result, "")
)</f>
        <v/>
      </c>
      <c r="AL274" t="str">
        <f>_xlfn.LET(
  _xlpm.result, _xlfn.XLOOKUP($B274, Result_Database!$A$2:$A$500, Result_Database!AK$2:AK$500),
  _xlfn.IFNA(_xlpm.result, "")
)</f>
        <v/>
      </c>
      <c r="AM27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7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7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7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7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7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7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7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7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74" t="str">
        <f>IF(SUM(Table5[[#This Row],[A1]:[C6]])&lt;&gt;0,SUM(Table5[[#This Row],[A1]:[C6]]),"")</f>
        <v/>
      </c>
      <c r="AW274" t="str">
        <f>IF(SUM(Table5[[#This Row],[D7]:[F9]])=0,"",SUM(Table5[[#This Row],[D7]:[F9]]))</f>
        <v/>
      </c>
      <c r="AX27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7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7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7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7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7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74" t="str">
        <f>IF(COUNTIF(Table5[[#This Row],[English Language]:[Electrical/ Electronics]],"WITHHELD")=0,"",COUNTIF(Table5[[#This Row],[English Language]:[Electrical/ Electronics]],"WITHHELD"))</f>
        <v/>
      </c>
      <c r="BE274" t="str">
        <f>IF(SUM(Table5[[#This Row],[NO OF CREDITS]:[BELOW CREDITS]])=0,"",SUM(Table5[[#This Row],[NO OF CREDITS]:[BELOW CREDITS]]))</f>
        <v/>
      </c>
    </row>
    <row r="275" spans="1:57" x14ac:dyDescent="0.3">
      <c r="A275" t="str">
        <f>IF(B275&lt;&gt;"",COUNTA($B$6:B275),"")</f>
        <v/>
      </c>
      <c r="B275" t="str">
        <f>IF(Result_Database!A271="","",Result_Database!A271)</f>
        <v/>
      </c>
      <c r="C275" t="str">
        <f>_xlfn.LET(
_xlpm.result,_xlfn.XLOOKUP($B275,Result_Database!$A$2:$A$500,Result_Database!$B$2:$B$500),
_xlfn.IFNA(_xlpm.result,"")
)</f>
        <v/>
      </c>
      <c r="D275" t="str">
        <f>_xlfn.LET(
  _xlpm.result, _xlfn.XLOOKUP($B275, Result_Database!$A$2:$A$500, Result_Database!C$2:C$500),
  _xlfn.IFNA(_xlpm.result, "")
)</f>
        <v/>
      </c>
      <c r="E275" t="str">
        <f>_xlfn.LET(
  _xlpm.result, _xlfn.XLOOKUP($B275, Result_Database!$A$2:$A$500, Result_Database!D$2:D$500),
  _xlfn.IFNA(_xlpm.result, "")
)</f>
        <v/>
      </c>
      <c r="F275" t="str">
        <f>_xlfn.LET(
  _xlpm.result, _xlfn.XLOOKUP($B275, Result_Database!$A$2:$A$500, Result_Database!E$2:E$500),
  _xlfn.IFNA(_xlpm.result, "")
)</f>
        <v/>
      </c>
      <c r="G275" t="str">
        <f>_xlfn.LET(
  _xlpm.result, _xlfn.XLOOKUP($B275, Result_Database!$A$2:$A$500, Result_Database!F$2:F$500),
  _xlfn.IFNA(_xlpm.result, "")
)</f>
        <v/>
      </c>
      <c r="H275" t="str">
        <f>_xlfn.LET(
  _xlpm.result, _xlfn.XLOOKUP($B275, Result_Database!$A$2:$A$500, Result_Database!G$2:G$500),
  _xlfn.IFNA(_xlpm.result, "")
)</f>
        <v/>
      </c>
      <c r="I275" t="str">
        <f>_xlfn.LET(
  _xlpm.result, _xlfn.XLOOKUP($B275, Result_Database!$A$2:$A$500, Result_Database!H$2:H$500),
  _xlfn.IFNA(_xlpm.result, "")
)</f>
        <v/>
      </c>
      <c r="J275" t="str">
        <f>_xlfn.LET(
  _xlpm.result, _xlfn.XLOOKUP($B275, Result_Database!$A$2:$A$500, Result_Database!I$2:I$500),
  _xlfn.IFNA(_xlpm.result, "")
)</f>
        <v/>
      </c>
      <c r="K275" t="str">
        <f>_xlfn.LET(
  _xlpm.result, _xlfn.XLOOKUP($B275, Result_Database!$A$2:$A$500, Result_Database!J$2:J$500),
  _xlfn.IFNA(_xlpm.result, "")
)</f>
        <v/>
      </c>
      <c r="L275" t="str">
        <f>_xlfn.LET(
  _xlpm.result, _xlfn.XLOOKUP($B275, Result_Database!$A$2:$A$500, Result_Database!K$2:K$500),
  _xlfn.IFNA(_xlpm.result, "")
)</f>
        <v/>
      </c>
      <c r="M275" t="str">
        <f>_xlfn.LET(
  _xlpm.result, _xlfn.XLOOKUP($B275, Result_Database!$A$2:$A$500, Result_Database!L$2:L$500),
  _xlfn.IFNA(_xlpm.result, "")
)</f>
        <v/>
      </c>
      <c r="N275" t="str">
        <f>_xlfn.LET(
  _xlpm.result, _xlfn.XLOOKUP($B275, Result_Database!$A$2:$A$500, Result_Database!M$2:M$500),
  _xlfn.IFNA(_xlpm.result, "")
)</f>
        <v/>
      </c>
      <c r="O275" t="str">
        <f>_xlfn.LET(
  _xlpm.result, _xlfn.XLOOKUP($B275, Result_Database!$A$2:$A$500, Result_Database!N$2:N$500),
  _xlfn.IFNA(_xlpm.result, "")
)</f>
        <v/>
      </c>
      <c r="P275" t="str">
        <f>_xlfn.LET(
  _xlpm.result, _xlfn.XLOOKUP($B275, Result_Database!$A$2:$A$500, Result_Database!O$2:O$500),
  _xlfn.IFNA(_xlpm.result, "")
)</f>
        <v/>
      </c>
      <c r="Q275" t="str">
        <f>_xlfn.LET(
  _xlpm.result, _xlfn.XLOOKUP($B275, Result_Database!$A$2:$A$500, Result_Database!P$2:P$500),
  _xlfn.IFNA(_xlpm.result, "")
)</f>
        <v/>
      </c>
      <c r="R275" t="str">
        <f>_xlfn.LET(
  _xlpm.result, _xlfn.XLOOKUP($B275, Result_Database!$A$2:$A$500, Result_Database!Q$2:Q$500),
  _xlfn.IFNA(_xlpm.result, "")
)</f>
        <v/>
      </c>
      <c r="S275" t="str">
        <f>_xlfn.LET(
  _xlpm.result, _xlfn.XLOOKUP($B275, Result_Database!$A$2:$A$500, Result_Database!R$2:R$500),
  _xlfn.IFNA(_xlpm.result, "")
)</f>
        <v/>
      </c>
      <c r="T275" t="str">
        <f>_xlfn.LET(
  _xlpm.result, _xlfn.XLOOKUP($B275, Result_Database!$A$2:$A$500, Result_Database!S$2:S$500),
  _xlfn.IFNA(_xlpm.result, "")
)</f>
        <v/>
      </c>
      <c r="U275" t="str">
        <f>_xlfn.LET(
  _xlpm.result, _xlfn.XLOOKUP($B275, Result_Database!$A$2:$A$500, Result_Database!T$2:T$500),
  _xlfn.IFNA(_xlpm.result, "")
)</f>
        <v/>
      </c>
      <c r="V275" t="str">
        <f>_xlfn.LET(
  _xlpm.result, _xlfn.XLOOKUP($B275, Result_Database!$A$2:$A$500, Result_Database!U$2:U$500),
  _xlfn.IFNA(_xlpm.result, "")
)</f>
        <v/>
      </c>
      <c r="W275" t="str">
        <f>_xlfn.LET(
  _xlpm.result, _xlfn.XLOOKUP($B275, Result_Database!$A$2:$A$500, Result_Database!V$2:V$500),
  _xlfn.IFNA(_xlpm.result, "")
)</f>
        <v/>
      </c>
      <c r="X275" t="str">
        <f>_xlfn.LET(
  _xlpm.result, _xlfn.XLOOKUP($B275, Result_Database!$A$2:$A$500, Result_Database!W$2:W$500),
  _xlfn.IFNA(_xlpm.result, "")
)</f>
        <v/>
      </c>
      <c r="Y275" t="str">
        <f>_xlfn.LET(
  _xlpm.result, _xlfn.XLOOKUP($B275, Result_Database!$A$2:$A$500, Result_Database!X$2:X$500),
  _xlfn.IFNA(_xlpm.result, "")
)</f>
        <v/>
      </c>
      <c r="Z275" t="str">
        <f>_xlfn.LET(
  _xlpm.result, _xlfn.XLOOKUP($B275, Result_Database!$A$2:$A$500, Result_Database!Y$2:Y$500),
  _xlfn.IFNA(_xlpm.result, "")
)</f>
        <v/>
      </c>
      <c r="AA275" t="str">
        <f>_xlfn.LET(
  _xlpm.result, _xlfn.XLOOKUP($B275, Result_Database!$A$2:$A$500, Result_Database!Z$2:Z$500),
  _xlfn.IFNA(_xlpm.result, "")
)</f>
        <v/>
      </c>
      <c r="AB275" t="str">
        <f>_xlfn.LET(
  _xlpm.result, _xlfn.XLOOKUP($B275, Result_Database!$A$2:$A$500, Result_Database!AA$2:AA$500),
  _xlfn.IFNA(_xlpm.result, "")
)</f>
        <v/>
      </c>
      <c r="AC275" t="str">
        <f>_xlfn.LET(
  _xlpm.result, _xlfn.XLOOKUP($B275, Result_Database!$A$2:$A$500, Result_Database!AB$2:AB$500),
  _xlfn.IFNA(_xlpm.result, "")
)</f>
        <v/>
      </c>
      <c r="AD275" t="str">
        <f>_xlfn.LET(
  _xlpm.result, _xlfn.XLOOKUP($B275, Result_Database!$A$2:$A$500, Result_Database!AC$2:AC$500),
  _xlfn.IFNA(_xlpm.result, "")
)</f>
        <v/>
      </c>
      <c r="AE275" t="str">
        <f>_xlfn.LET(
  _xlpm.result, _xlfn.XLOOKUP($B275, Result_Database!$A$2:$A$500, Result_Database!AD$2:AD$500),
  _xlfn.IFNA(_xlpm.result, "")
)</f>
        <v/>
      </c>
      <c r="AF275" t="str">
        <f>_xlfn.LET(
  _xlpm.result, _xlfn.XLOOKUP($B275, Result_Database!$A$2:$A$500, Result_Database!AE$2:AE$500),
  _xlfn.IFNA(_xlpm.result, "")
)</f>
        <v/>
      </c>
      <c r="AG275" t="str">
        <f>_xlfn.LET(
  _xlpm.result, _xlfn.XLOOKUP($B275, Result_Database!$A$2:$A$500, Result_Database!AF$2:AF$500),
  _xlfn.IFNA(_xlpm.result, "")
)</f>
        <v/>
      </c>
      <c r="AH275" t="str">
        <f>_xlfn.LET(
  _xlpm.result, _xlfn.XLOOKUP($B275, Result_Database!$A$2:$A$500, Result_Database!AG$2:AG$500),
  _xlfn.IFNA(_xlpm.result, "")
)</f>
        <v/>
      </c>
      <c r="AI275" t="str">
        <f>_xlfn.LET(
  _xlpm.result, _xlfn.XLOOKUP($B275, Result_Database!$A$2:$A$500, Result_Database!AH$2:AH$500),
  _xlfn.IFNA(_xlpm.result, "")
)</f>
        <v/>
      </c>
      <c r="AJ275" t="str">
        <f>_xlfn.LET(
  _xlpm.result, _xlfn.XLOOKUP($B275, Result_Database!$A$2:$A$500, Result_Database!AI$2:AI$500),
  _xlfn.IFNA(_xlpm.result, "")
)</f>
        <v/>
      </c>
      <c r="AK275" t="str">
        <f>_xlfn.LET(
  _xlpm.result, _xlfn.XLOOKUP($B275, Result_Database!$A$2:$A$500, Result_Database!AJ$2:AJ$500),
  _xlfn.IFNA(_xlpm.result, "")
)</f>
        <v/>
      </c>
      <c r="AL275" t="str">
        <f>_xlfn.LET(
  _xlpm.result, _xlfn.XLOOKUP($B275, Result_Database!$A$2:$A$500, Result_Database!AK$2:AK$500),
  _xlfn.IFNA(_xlpm.result, "")
)</f>
        <v/>
      </c>
      <c r="AM27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7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7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7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7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7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7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7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7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75" t="str">
        <f>IF(SUM(Table5[[#This Row],[A1]:[C6]])&lt;&gt;0,SUM(Table5[[#This Row],[A1]:[C6]]),"")</f>
        <v/>
      </c>
      <c r="AW275" t="str">
        <f>IF(SUM(Table5[[#This Row],[D7]:[F9]])=0,"",SUM(Table5[[#This Row],[D7]:[F9]]))</f>
        <v/>
      </c>
      <c r="AX27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7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7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7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7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7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75" t="str">
        <f>IF(COUNTIF(Table5[[#This Row],[English Language]:[Electrical/ Electronics]],"WITHHELD")=0,"",COUNTIF(Table5[[#This Row],[English Language]:[Electrical/ Electronics]],"WITHHELD"))</f>
        <v/>
      </c>
      <c r="BE275" t="str">
        <f>IF(SUM(Table5[[#This Row],[NO OF CREDITS]:[BELOW CREDITS]])=0,"",SUM(Table5[[#This Row],[NO OF CREDITS]:[BELOW CREDITS]]))</f>
        <v/>
      </c>
    </row>
    <row r="276" spans="1:57" x14ac:dyDescent="0.3">
      <c r="A276" t="str">
        <f>IF(B276&lt;&gt;"",COUNTA($B$6:B276),"")</f>
        <v/>
      </c>
      <c r="B276" t="str">
        <f>IF(Result_Database!A272="","",Result_Database!A272)</f>
        <v/>
      </c>
      <c r="C276" t="str">
        <f>_xlfn.LET(
_xlpm.result,_xlfn.XLOOKUP($B276,Result_Database!$A$2:$A$500,Result_Database!$B$2:$B$500),
_xlfn.IFNA(_xlpm.result,"")
)</f>
        <v/>
      </c>
      <c r="D276" t="str">
        <f>_xlfn.LET(
  _xlpm.result, _xlfn.XLOOKUP($B276, Result_Database!$A$2:$A$500, Result_Database!C$2:C$500),
  _xlfn.IFNA(_xlpm.result, "")
)</f>
        <v/>
      </c>
      <c r="E276" t="str">
        <f>_xlfn.LET(
  _xlpm.result, _xlfn.XLOOKUP($B276, Result_Database!$A$2:$A$500, Result_Database!D$2:D$500),
  _xlfn.IFNA(_xlpm.result, "")
)</f>
        <v/>
      </c>
      <c r="F276" t="str">
        <f>_xlfn.LET(
  _xlpm.result, _xlfn.XLOOKUP($B276, Result_Database!$A$2:$A$500, Result_Database!E$2:E$500),
  _xlfn.IFNA(_xlpm.result, "")
)</f>
        <v/>
      </c>
      <c r="G276" t="str">
        <f>_xlfn.LET(
  _xlpm.result, _xlfn.XLOOKUP($B276, Result_Database!$A$2:$A$500, Result_Database!F$2:F$500),
  _xlfn.IFNA(_xlpm.result, "")
)</f>
        <v/>
      </c>
      <c r="H276" t="str">
        <f>_xlfn.LET(
  _xlpm.result, _xlfn.XLOOKUP($B276, Result_Database!$A$2:$A$500, Result_Database!G$2:G$500),
  _xlfn.IFNA(_xlpm.result, "")
)</f>
        <v/>
      </c>
      <c r="I276" t="str">
        <f>_xlfn.LET(
  _xlpm.result, _xlfn.XLOOKUP($B276, Result_Database!$A$2:$A$500, Result_Database!H$2:H$500),
  _xlfn.IFNA(_xlpm.result, "")
)</f>
        <v/>
      </c>
      <c r="J276" t="str">
        <f>_xlfn.LET(
  _xlpm.result, _xlfn.XLOOKUP($B276, Result_Database!$A$2:$A$500, Result_Database!I$2:I$500),
  _xlfn.IFNA(_xlpm.result, "")
)</f>
        <v/>
      </c>
      <c r="K276" t="str">
        <f>_xlfn.LET(
  _xlpm.result, _xlfn.XLOOKUP($B276, Result_Database!$A$2:$A$500, Result_Database!J$2:J$500),
  _xlfn.IFNA(_xlpm.result, "")
)</f>
        <v/>
      </c>
      <c r="L276" t="str">
        <f>_xlfn.LET(
  _xlpm.result, _xlfn.XLOOKUP($B276, Result_Database!$A$2:$A$500, Result_Database!K$2:K$500),
  _xlfn.IFNA(_xlpm.result, "")
)</f>
        <v/>
      </c>
      <c r="M276" t="str">
        <f>_xlfn.LET(
  _xlpm.result, _xlfn.XLOOKUP($B276, Result_Database!$A$2:$A$500, Result_Database!L$2:L$500),
  _xlfn.IFNA(_xlpm.result, "")
)</f>
        <v/>
      </c>
      <c r="N276" t="str">
        <f>_xlfn.LET(
  _xlpm.result, _xlfn.XLOOKUP($B276, Result_Database!$A$2:$A$500, Result_Database!M$2:M$500),
  _xlfn.IFNA(_xlpm.result, "")
)</f>
        <v/>
      </c>
      <c r="O276" t="str">
        <f>_xlfn.LET(
  _xlpm.result, _xlfn.XLOOKUP($B276, Result_Database!$A$2:$A$500, Result_Database!N$2:N$500),
  _xlfn.IFNA(_xlpm.result, "")
)</f>
        <v/>
      </c>
      <c r="P276" t="str">
        <f>_xlfn.LET(
  _xlpm.result, _xlfn.XLOOKUP($B276, Result_Database!$A$2:$A$500, Result_Database!O$2:O$500),
  _xlfn.IFNA(_xlpm.result, "")
)</f>
        <v/>
      </c>
      <c r="Q276" t="str">
        <f>_xlfn.LET(
  _xlpm.result, _xlfn.XLOOKUP($B276, Result_Database!$A$2:$A$500, Result_Database!P$2:P$500),
  _xlfn.IFNA(_xlpm.result, "")
)</f>
        <v/>
      </c>
      <c r="R276" t="str">
        <f>_xlfn.LET(
  _xlpm.result, _xlfn.XLOOKUP($B276, Result_Database!$A$2:$A$500, Result_Database!Q$2:Q$500),
  _xlfn.IFNA(_xlpm.result, "")
)</f>
        <v/>
      </c>
      <c r="S276" t="str">
        <f>_xlfn.LET(
  _xlpm.result, _xlfn.XLOOKUP($B276, Result_Database!$A$2:$A$500, Result_Database!R$2:R$500),
  _xlfn.IFNA(_xlpm.result, "")
)</f>
        <v/>
      </c>
      <c r="T276" t="str">
        <f>_xlfn.LET(
  _xlpm.result, _xlfn.XLOOKUP($B276, Result_Database!$A$2:$A$500, Result_Database!S$2:S$500),
  _xlfn.IFNA(_xlpm.result, "")
)</f>
        <v/>
      </c>
      <c r="U276" t="str">
        <f>_xlfn.LET(
  _xlpm.result, _xlfn.XLOOKUP($B276, Result_Database!$A$2:$A$500, Result_Database!T$2:T$500),
  _xlfn.IFNA(_xlpm.result, "")
)</f>
        <v/>
      </c>
      <c r="V276" t="str">
        <f>_xlfn.LET(
  _xlpm.result, _xlfn.XLOOKUP($B276, Result_Database!$A$2:$A$500, Result_Database!U$2:U$500),
  _xlfn.IFNA(_xlpm.result, "")
)</f>
        <v/>
      </c>
      <c r="W276" t="str">
        <f>_xlfn.LET(
  _xlpm.result, _xlfn.XLOOKUP($B276, Result_Database!$A$2:$A$500, Result_Database!V$2:V$500),
  _xlfn.IFNA(_xlpm.result, "")
)</f>
        <v/>
      </c>
      <c r="X276" t="str">
        <f>_xlfn.LET(
  _xlpm.result, _xlfn.XLOOKUP($B276, Result_Database!$A$2:$A$500, Result_Database!W$2:W$500),
  _xlfn.IFNA(_xlpm.result, "")
)</f>
        <v/>
      </c>
      <c r="Y276" t="str">
        <f>_xlfn.LET(
  _xlpm.result, _xlfn.XLOOKUP($B276, Result_Database!$A$2:$A$500, Result_Database!X$2:X$500),
  _xlfn.IFNA(_xlpm.result, "")
)</f>
        <v/>
      </c>
      <c r="Z276" t="str">
        <f>_xlfn.LET(
  _xlpm.result, _xlfn.XLOOKUP($B276, Result_Database!$A$2:$A$500, Result_Database!Y$2:Y$500),
  _xlfn.IFNA(_xlpm.result, "")
)</f>
        <v/>
      </c>
      <c r="AA276" t="str">
        <f>_xlfn.LET(
  _xlpm.result, _xlfn.XLOOKUP($B276, Result_Database!$A$2:$A$500, Result_Database!Z$2:Z$500),
  _xlfn.IFNA(_xlpm.result, "")
)</f>
        <v/>
      </c>
      <c r="AB276" t="str">
        <f>_xlfn.LET(
  _xlpm.result, _xlfn.XLOOKUP($B276, Result_Database!$A$2:$A$500, Result_Database!AA$2:AA$500),
  _xlfn.IFNA(_xlpm.result, "")
)</f>
        <v/>
      </c>
      <c r="AC276" t="str">
        <f>_xlfn.LET(
  _xlpm.result, _xlfn.XLOOKUP($B276, Result_Database!$A$2:$A$500, Result_Database!AB$2:AB$500),
  _xlfn.IFNA(_xlpm.result, "")
)</f>
        <v/>
      </c>
      <c r="AD276" t="str">
        <f>_xlfn.LET(
  _xlpm.result, _xlfn.XLOOKUP($B276, Result_Database!$A$2:$A$500, Result_Database!AC$2:AC$500),
  _xlfn.IFNA(_xlpm.result, "")
)</f>
        <v/>
      </c>
      <c r="AE276" t="str">
        <f>_xlfn.LET(
  _xlpm.result, _xlfn.XLOOKUP($B276, Result_Database!$A$2:$A$500, Result_Database!AD$2:AD$500),
  _xlfn.IFNA(_xlpm.result, "")
)</f>
        <v/>
      </c>
      <c r="AF276" t="str">
        <f>_xlfn.LET(
  _xlpm.result, _xlfn.XLOOKUP($B276, Result_Database!$A$2:$A$500, Result_Database!AE$2:AE$500),
  _xlfn.IFNA(_xlpm.result, "")
)</f>
        <v/>
      </c>
      <c r="AG276" t="str">
        <f>_xlfn.LET(
  _xlpm.result, _xlfn.XLOOKUP($B276, Result_Database!$A$2:$A$500, Result_Database!AF$2:AF$500),
  _xlfn.IFNA(_xlpm.result, "")
)</f>
        <v/>
      </c>
      <c r="AH276" t="str">
        <f>_xlfn.LET(
  _xlpm.result, _xlfn.XLOOKUP($B276, Result_Database!$A$2:$A$500, Result_Database!AG$2:AG$500),
  _xlfn.IFNA(_xlpm.result, "")
)</f>
        <v/>
      </c>
      <c r="AI276" t="str">
        <f>_xlfn.LET(
  _xlpm.result, _xlfn.XLOOKUP($B276, Result_Database!$A$2:$A$500, Result_Database!AH$2:AH$500),
  _xlfn.IFNA(_xlpm.result, "")
)</f>
        <v/>
      </c>
      <c r="AJ276" t="str">
        <f>_xlfn.LET(
  _xlpm.result, _xlfn.XLOOKUP($B276, Result_Database!$A$2:$A$500, Result_Database!AI$2:AI$500),
  _xlfn.IFNA(_xlpm.result, "")
)</f>
        <v/>
      </c>
      <c r="AK276" t="str">
        <f>_xlfn.LET(
  _xlpm.result, _xlfn.XLOOKUP($B276, Result_Database!$A$2:$A$500, Result_Database!AJ$2:AJ$500),
  _xlfn.IFNA(_xlpm.result, "")
)</f>
        <v/>
      </c>
      <c r="AL276" t="str">
        <f>_xlfn.LET(
  _xlpm.result, _xlfn.XLOOKUP($B276, Result_Database!$A$2:$A$500, Result_Database!AK$2:AK$500),
  _xlfn.IFNA(_xlpm.result, "")
)</f>
        <v/>
      </c>
      <c r="AM27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7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7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7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7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7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7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7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7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76" t="str">
        <f>IF(SUM(Table5[[#This Row],[A1]:[C6]])&lt;&gt;0,SUM(Table5[[#This Row],[A1]:[C6]]),"")</f>
        <v/>
      </c>
      <c r="AW276" t="str">
        <f>IF(SUM(Table5[[#This Row],[D7]:[F9]])=0,"",SUM(Table5[[#This Row],[D7]:[F9]]))</f>
        <v/>
      </c>
      <c r="AX27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7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7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7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7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7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76" t="str">
        <f>IF(COUNTIF(Table5[[#This Row],[English Language]:[Electrical/ Electronics]],"WITHHELD")=0,"",COUNTIF(Table5[[#This Row],[English Language]:[Electrical/ Electronics]],"WITHHELD"))</f>
        <v/>
      </c>
      <c r="BE276" t="str">
        <f>IF(SUM(Table5[[#This Row],[NO OF CREDITS]:[BELOW CREDITS]])=0,"",SUM(Table5[[#This Row],[NO OF CREDITS]:[BELOW CREDITS]]))</f>
        <v/>
      </c>
    </row>
    <row r="277" spans="1:57" x14ac:dyDescent="0.3">
      <c r="A277" t="str">
        <f>IF(B277&lt;&gt;"",COUNTA($B$6:B277),"")</f>
        <v/>
      </c>
      <c r="B277" t="str">
        <f>IF(Result_Database!A273="","",Result_Database!A273)</f>
        <v/>
      </c>
      <c r="C277" t="str">
        <f>_xlfn.LET(
_xlpm.result,_xlfn.XLOOKUP($B277,Result_Database!$A$2:$A$500,Result_Database!$B$2:$B$500),
_xlfn.IFNA(_xlpm.result,"")
)</f>
        <v/>
      </c>
      <c r="D277" t="str">
        <f>_xlfn.LET(
  _xlpm.result, _xlfn.XLOOKUP($B277, Result_Database!$A$2:$A$500, Result_Database!C$2:C$500),
  _xlfn.IFNA(_xlpm.result, "")
)</f>
        <v/>
      </c>
      <c r="E277" t="str">
        <f>_xlfn.LET(
  _xlpm.result, _xlfn.XLOOKUP($B277, Result_Database!$A$2:$A$500, Result_Database!D$2:D$500),
  _xlfn.IFNA(_xlpm.result, "")
)</f>
        <v/>
      </c>
      <c r="F277" t="str">
        <f>_xlfn.LET(
  _xlpm.result, _xlfn.XLOOKUP($B277, Result_Database!$A$2:$A$500, Result_Database!E$2:E$500),
  _xlfn.IFNA(_xlpm.result, "")
)</f>
        <v/>
      </c>
      <c r="G277" t="str">
        <f>_xlfn.LET(
  _xlpm.result, _xlfn.XLOOKUP($B277, Result_Database!$A$2:$A$500, Result_Database!F$2:F$500),
  _xlfn.IFNA(_xlpm.result, "")
)</f>
        <v/>
      </c>
      <c r="H277" t="str">
        <f>_xlfn.LET(
  _xlpm.result, _xlfn.XLOOKUP($B277, Result_Database!$A$2:$A$500, Result_Database!G$2:G$500),
  _xlfn.IFNA(_xlpm.result, "")
)</f>
        <v/>
      </c>
      <c r="I277" t="str">
        <f>_xlfn.LET(
  _xlpm.result, _xlfn.XLOOKUP($B277, Result_Database!$A$2:$A$500, Result_Database!H$2:H$500),
  _xlfn.IFNA(_xlpm.result, "")
)</f>
        <v/>
      </c>
      <c r="J277" t="str">
        <f>_xlfn.LET(
  _xlpm.result, _xlfn.XLOOKUP($B277, Result_Database!$A$2:$A$500, Result_Database!I$2:I$500),
  _xlfn.IFNA(_xlpm.result, "")
)</f>
        <v/>
      </c>
      <c r="K277" t="str">
        <f>_xlfn.LET(
  _xlpm.result, _xlfn.XLOOKUP($B277, Result_Database!$A$2:$A$500, Result_Database!J$2:J$500),
  _xlfn.IFNA(_xlpm.result, "")
)</f>
        <v/>
      </c>
      <c r="L277" t="str">
        <f>_xlfn.LET(
  _xlpm.result, _xlfn.XLOOKUP($B277, Result_Database!$A$2:$A$500, Result_Database!K$2:K$500),
  _xlfn.IFNA(_xlpm.result, "")
)</f>
        <v/>
      </c>
      <c r="M277" t="str">
        <f>_xlfn.LET(
  _xlpm.result, _xlfn.XLOOKUP($B277, Result_Database!$A$2:$A$500, Result_Database!L$2:L$500),
  _xlfn.IFNA(_xlpm.result, "")
)</f>
        <v/>
      </c>
      <c r="N277" t="str">
        <f>_xlfn.LET(
  _xlpm.result, _xlfn.XLOOKUP($B277, Result_Database!$A$2:$A$500, Result_Database!M$2:M$500),
  _xlfn.IFNA(_xlpm.result, "")
)</f>
        <v/>
      </c>
      <c r="O277" t="str">
        <f>_xlfn.LET(
  _xlpm.result, _xlfn.XLOOKUP($B277, Result_Database!$A$2:$A$500, Result_Database!N$2:N$500),
  _xlfn.IFNA(_xlpm.result, "")
)</f>
        <v/>
      </c>
      <c r="P277" t="str">
        <f>_xlfn.LET(
  _xlpm.result, _xlfn.XLOOKUP($B277, Result_Database!$A$2:$A$500, Result_Database!O$2:O$500),
  _xlfn.IFNA(_xlpm.result, "")
)</f>
        <v/>
      </c>
      <c r="Q277" t="str">
        <f>_xlfn.LET(
  _xlpm.result, _xlfn.XLOOKUP($B277, Result_Database!$A$2:$A$500, Result_Database!P$2:P$500),
  _xlfn.IFNA(_xlpm.result, "")
)</f>
        <v/>
      </c>
      <c r="R277" t="str">
        <f>_xlfn.LET(
  _xlpm.result, _xlfn.XLOOKUP($B277, Result_Database!$A$2:$A$500, Result_Database!Q$2:Q$500),
  _xlfn.IFNA(_xlpm.result, "")
)</f>
        <v/>
      </c>
      <c r="S277" t="str">
        <f>_xlfn.LET(
  _xlpm.result, _xlfn.XLOOKUP($B277, Result_Database!$A$2:$A$500, Result_Database!R$2:R$500),
  _xlfn.IFNA(_xlpm.result, "")
)</f>
        <v/>
      </c>
      <c r="T277" t="str">
        <f>_xlfn.LET(
  _xlpm.result, _xlfn.XLOOKUP($B277, Result_Database!$A$2:$A$500, Result_Database!S$2:S$500),
  _xlfn.IFNA(_xlpm.result, "")
)</f>
        <v/>
      </c>
      <c r="U277" t="str">
        <f>_xlfn.LET(
  _xlpm.result, _xlfn.XLOOKUP($B277, Result_Database!$A$2:$A$500, Result_Database!T$2:T$500),
  _xlfn.IFNA(_xlpm.result, "")
)</f>
        <v/>
      </c>
      <c r="V277" t="str">
        <f>_xlfn.LET(
  _xlpm.result, _xlfn.XLOOKUP($B277, Result_Database!$A$2:$A$500, Result_Database!U$2:U$500),
  _xlfn.IFNA(_xlpm.result, "")
)</f>
        <v/>
      </c>
      <c r="W277" t="str">
        <f>_xlfn.LET(
  _xlpm.result, _xlfn.XLOOKUP($B277, Result_Database!$A$2:$A$500, Result_Database!V$2:V$500),
  _xlfn.IFNA(_xlpm.result, "")
)</f>
        <v/>
      </c>
      <c r="X277" t="str">
        <f>_xlfn.LET(
  _xlpm.result, _xlfn.XLOOKUP($B277, Result_Database!$A$2:$A$500, Result_Database!W$2:W$500),
  _xlfn.IFNA(_xlpm.result, "")
)</f>
        <v/>
      </c>
      <c r="Y277" t="str">
        <f>_xlfn.LET(
  _xlpm.result, _xlfn.XLOOKUP($B277, Result_Database!$A$2:$A$500, Result_Database!X$2:X$500),
  _xlfn.IFNA(_xlpm.result, "")
)</f>
        <v/>
      </c>
      <c r="Z277" t="str">
        <f>_xlfn.LET(
  _xlpm.result, _xlfn.XLOOKUP($B277, Result_Database!$A$2:$A$500, Result_Database!Y$2:Y$500),
  _xlfn.IFNA(_xlpm.result, "")
)</f>
        <v/>
      </c>
      <c r="AA277" t="str">
        <f>_xlfn.LET(
  _xlpm.result, _xlfn.XLOOKUP($B277, Result_Database!$A$2:$A$500, Result_Database!Z$2:Z$500),
  _xlfn.IFNA(_xlpm.result, "")
)</f>
        <v/>
      </c>
      <c r="AB277" t="str">
        <f>_xlfn.LET(
  _xlpm.result, _xlfn.XLOOKUP($B277, Result_Database!$A$2:$A$500, Result_Database!AA$2:AA$500),
  _xlfn.IFNA(_xlpm.result, "")
)</f>
        <v/>
      </c>
      <c r="AC277" t="str">
        <f>_xlfn.LET(
  _xlpm.result, _xlfn.XLOOKUP($B277, Result_Database!$A$2:$A$500, Result_Database!AB$2:AB$500),
  _xlfn.IFNA(_xlpm.result, "")
)</f>
        <v/>
      </c>
      <c r="AD277" t="str">
        <f>_xlfn.LET(
  _xlpm.result, _xlfn.XLOOKUP($B277, Result_Database!$A$2:$A$500, Result_Database!AC$2:AC$500),
  _xlfn.IFNA(_xlpm.result, "")
)</f>
        <v/>
      </c>
      <c r="AE277" t="str">
        <f>_xlfn.LET(
  _xlpm.result, _xlfn.XLOOKUP($B277, Result_Database!$A$2:$A$500, Result_Database!AD$2:AD$500),
  _xlfn.IFNA(_xlpm.result, "")
)</f>
        <v/>
      </c>
      <c r="AF277" t="str">
        <f>_xlfn.LET(
  _xlpm.result, _xlfn.XLOOKUP($B277, Result_Database!$A$2:$A$500, Result_Database!AE$2:AE$500),
  _xlfn.IFNA(_xlpm.result, "")
)</f>
        <v/>
      </c>
      <c r="AG277" t="str">
        <f>_xlfn.LET(
  _xlpm.result, _xlfn.XLOOKUP($B277, Result_Database!$A$2:$A$500, Result_Database!AF$2:AF$500),
  _xlfn.IFNA(_xlpm.result, "")
)</f>
        <v/>
      </c>
      <c r="AH277" t="str">
        <f>_xlfn.LET(
  _xlpm.result, _xlfn.XLOOKUP($B277, Result_Database!$A$2:$A$500, Result_Database!AG$2:AG$500),
  _xlfn.IFNA(_xlpm.result, "")
)</f>
        <v/>
      </c>
      <c r="AI277" t="str">
        <f>_xlfn.LET(
  _xlpm.result, _xlfn.XLOOKUP($B277, Result_Database!$A$2:$A$500, Result_Database!AH$2:AH$500),
  _xlfn.IFNA(_xlpm.result, "")
)</f>
        <v/>
      </c>
      <c r="AJ277" t="str">
        <f>_xlfn.LET(
  _xlpm.result, _xlfn.XLOOKUP($B277, Result_Database!$A$2:$A$500, Result_Database!AI$2:AI$500),
  _xlfn.IFNA(_xlpm.result, "")
)</f>
        <v/>
      </c>
      <c r="AK277" t="str">
        <f>_xlfn.LET(
  _xlpm.result, _xlfn.XLOOKUP($B277, Result_Database!$A$2:$A$500, Result_Database!AJ$2:AJ$500),
  _xlfn.IFNA(_xlpm.result, "")
)</f>
        <v/>
      </c>
      <c r="AL277" t="str">
        <f>_xlfn.LET(
  _xlpm.result, _xlfn.XLOOKUP($B277, Result_Database!$A$2:$A$500, Result_Database!AK$2:AK$500),
  _xlfn.IFNA(_xlpm.result, "")
)</f>
        <v/>
      </c>
      <c r="AM27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7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7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7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7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7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7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7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7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77" t="str">
        <f>IF(SUM(Table5[[#This Row],[A1]:[C6]])&lt;&gt;0,SUM(Table5[[#This Row],[A1]:[C6]]),"")</f>
        <v/>
      </c>
      <c r="AW277" t="str">
        <f>IF(SUM(Table5[[#This Row],[D7]:[F9]])=0,"",SUM(Table5[[#This Row],[D7]:[F9]]))</f>
        <v/>
      </c>
      <c r="AX27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7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7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7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7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7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77" t="str">
        <f>IF(COUNTIF(Table5[[#This Row],[English Language]:[Electrical/ Electronics]],"WITHHELD")=0,"",COUNTIF(Table5[[#This Row],[English Language]:[Electrical/ Electronics]],"WITHHELD"))</f>
        <v/>
      </c>
      <c r="BE277" t="str">
        <f>IF(SUM(Table5[[#This Row],[NO OF CREDITS]:[BELOW CREDITS]])=0,"",SUM(Table5[[#This Row],[NO OF CREDITS]:[BELOW CREDITS]]))</f>
        <v/>
      </c>
    </row>
    <row r="278" spans="1:57" x14ac:dyDescent="0.3">
      <c r="A278" t="str">
        <f>IF(B278&lt;&gt;"",COUNTA($B$6:B278),"")</f>
        <v/>
      </c>
      <c r="B278" t="str">
        <f>IF(Result_Database!A274="","",Result_Database!A274)</f>
        <v/>
      </c>
      <c r="C278" t="str">
        <f>_xlfn.LET(
_xlpm.result,_xlfn.XLOOKUP($B278,Result_Database!$A$2:$A$500,Result_Database!$B$2:$B$500),
_xlfn.IFNA(_xlpm.result,"")
)</f>
        <v/>
      </c>
      <c r="D278" t="str">
        <f>_xlfn.LET(
  _xlpm.result, _xlfn.XLOOKUP($B278, Result_Database!$A$2:$A$500, Result_Database!C$2:C$500),
  _xlfn.IFNA(_xlpm.result, "")
)</f>
        <v/>
      </c>
      <c r="E278" t="str">
        <f>_xlfn.LET(
  _xlpm.result, _xlfn.XLOOKUP($B278, Result_Database!$A$2:$A$500, Result_Database!D$2:D$500),
  _xlfn.IFNA(_xlpm.result, "")
)</f>
        <v/>
      </c>
      <c r="F278" t="str">
        <f>_xlfn.LET(
  _xlpm.result, _xlfn.XLOOKUP($B278, Result_Database!$A$2:$A$500, Result_Database!E$2:E$500),
  _xlfn.IFNA(_xlpm.result, "")
)</f>
        <v/>
      </c>
      <c r="G278" t="str">
        <f>_xlfn.LET(
  _xlpm.result, _xlfn.XLOOKUP($B278, Result_Database!$A$2:$A$500, Result_Database!F$2:F$500),
  _xlfn.IFNA(_xlpm.result, "")
)</f>
        <v/>
      </c>
      <c r="H278" t="str">
        <f>_xlfn.LET(
  _xlpm.result, _xlfn.XLOOKUP($B278, Result_Database!$A$2:$A$500, Result_Database!G$2:G$500),
  _xlfn.IFNA(_xlpm.result, "")
)</f>
        <v/>
      </c>
      <c r="I278" t="str">
        <f>_xlfn.LET(
  _xlpm.result, _xlfn.XLOOKUP($B278, Result_Database!$A$2:$A$500, Result_Database!H$2:H$500),
  _xlfn.IFNA(_xlpm.result, "")
)</f>
        <v/>
      </c>
      <c r="J278" t="str">
        <f>_xlfn.LET(
  _xlpm.result, _xlfn.XLOOKUP($B278, Result_Database!$A$2:$A$500, Result_Database!I$2:I$500),
  _xlfn.IFNA(_xlpm.result, "")
)</f>
        <v/>
      </c>
      <c r="K278" t="str">
        <f>_xlfn.LET(
  _xlpm.result, _xlfn.XLOOKUP($B278, Result_Database!$A$2:$A$500, Result_Database!J$2:J$500),
  _xlfn.IFNA(_xlpm.result, "")
)</f>
        <v/>
      </c>
      <c r="L278" t="str">
        <f>_xlfn.LET(
  _xlpm.result, _xlfn.XLOOKUP($B278, Result_Database!$A$2:$A$500, Result_Database!K$2:K$500),
  _xlfn.IFNA(_xlpm.result, "")
)</f>
        <v/>
      </c>
      <c r="M278" t="str">
        <f>_xlfn.LET(
  _xlpm.result, _xlfn.XLOOKUP($B278, Result_Database!$A$2:$A$500, Result_Database!L$2:L$500),
  _xlfn.IFNA(_xlpm.result, "")
)</f>
        <v/>
      </c>
      <c r="N278" t="str">
        <f>_xlfn.LET(
  _xlpm.result, _xlfn.XLOOKUP($B278, Result_Database!$A$2:$A$500, Result_Database!M$2:M$500),
  _xlfn.IFNA(_xlpm.result, "")
)</f>
        <v/>
      </c>
      <c r="O278" t="str">
        <f>_xlfn.LET(
  _xlpm.result, _xlfn.XLOOKUP($B278, Result_Database!$A$2:$A$500, Result_Database!N$2:N$500),
  _xlfn.IFNA(_xlpm.result, "")
)</f>
        <v/>
      </c>
      <c r="P278" t="str">
        <f>_xlfn.LET(
  _xlpm.result, _xlfn.XLOOKUP($B278, Result_Database!$A$2:$A$500, Result_Database!O$2:O$500),
  _xlfn.IFNA(_xlpm.result, "")
)</f>
        <v/>
      </c>
      <c r="Q278" t="str">
        <f>_xlfn.LET(
  _xlpm.result, _xlfn.XLOOKUP($B278, Result_Database!$A$2:$A$500, Result_Database!P$2:P$500),
  _xlfn.IFNA(_xlpm.result, "")
)</f>
        <v/>
      </c>
      <c r="R278" t="str">
        <f>_xlfn.LET(
  _xlpm.result, _xlfn.XLOOKUP($B278, Result_Database!$A$2:$A$500, Result_Database!Q$2:Q$500),
  _xlfn.IFNA(_xlpm.result, "")
)</f>
        <v/>
      </c>
      <c r="S278" t="str">
        <f>_xlfn.LET(
  _xlpm.result, _xlfn.XLOOKUP($B278, Result_Database!$A$2:$A$500, Result_Database!R$2:R$500),
  _xlfn.IFNA(_xlpm.result, "")
)</f>
        <v/>
      </c>
      <c r="T278" t="str">
        <f>_xlfn.LET(
  _xlpm.result, _xlfn.XLOOKUP($B278, Result_Database!$A$2:$A$500, Result_Database!S$2:S$500),
  _xlfn.IFNA(_xlpm.result, "")
)</f>
        <v/>
      </c>
      <c r="U278" t="str">
        <f>_xlfn.LET(
  _xlpm.result, _xlfn.XLOOKUP($B278, Result_Database!$A$2:$A$500, Result_Database!T$2:T$500),
  _xlfn.IFNA(_xlpm.result, "")
)</f>
        <v/>
      </c>
      <c r="V278" t="str">
        <f>_xlfn.LET(
  _xlpm.result, _xlfn.XLOOKUP($B278, Result_Database!$A$2:$A$500, Result_Database!U$2:U$500),
  _xlfn.IFNA(_xlpm.result, "")
)</f>
        <v/>
      </c>
      <c r="W278" t="str">
        <f>_xlfn.LET(
  _xlpm.result, _xlfn.XLOOKUP($B278, Result_Database!$A$2:$A$500, Result_Database!V$2:V$500),
  _xlfn.IFNA(_xlpm.result, "")
)</f>
        <v/>
      </c>
      <c r="X278" t="str">
        <f>_xlfn.LET(
  _xlpm.result, _xlfn.XLOOKUP($B278, Result_Database!$A$2:$A$500, Result_Database!W$2:W$500),
  _xlfn.IFNA(_xlpm.result, "")
)</f>
        <v/>
      </c>
      <c r="Y278" t="str">
        <f>_xlfn.LET(
  _xlpm.result, _xlfn.XLOOKUP($B278, Result_Database!$A$2:$A$500, Result_Database!X$2:X$500),
  _xlfn.IFNA(_xlpm.result, "")
)</f>
        <v/>
      </c>
      <c r="Z278" t="str">
        <f>_xlfn.LET(
  _xlpm.result, _xlfn.XLOOKUP($B278, Result_Database!$A$2:$A$500, Result_Database!Y$2:Y$500),
  _xlfn.IFNA(_xlpm.result, "")
)</f>
        <v/>
      </c>
      <c r="AA278" t="str">
        <f>_xlfn.LET(
  _xlpm.result, _xlfn.XLOOKUP($B278, Result_Database!$A$2:$A$500, Result_Database!Z$2:Z$500),
  _xlfn.IFNA(_xlpm.result, "")
)</f>
        <v/>
      </c>
      <c r="AB278" t="str">
        <f>_xlfn.LET(
  _xlpm.result, _xlfn.XLOOKUP($B278, Result_Database!$A$2:$A$500, Result_Database!AA$2:AA$500),
  _xlfn.IFNA(_xlpm.result, "")
)</f>
        <v/>
      </c>
      <c r="AC278" t="str">
        <f>_xlfn.LET(
  _xlpm.result, _xlfn.XLOOKUP($B278, Result_Database!$A$2:$A$500, Result_Database!AB$2:AB$500),
  _xlfn.IFNA(_xlpm.result, "")
)</f>
        <v/>
      </c>
      <c r="AD278" t="str">
        <f>_xlfn.LET(
  _xlpm.result, _xlfn.XLOOKUP($B278, Result_Database!$A$2:$A$500, Result_Database!AC$2:AC$500),
  _xlfn.IFNA(_xlpm.result, "")
)</f>
        <v/>
      </c>
      <c r="AE278" t="str">
        <f>_xlfn.LET(
  _xlpm.result, _xlfn.XLOOKUP($B278, Result_Database!$A$2:$A$500, Result_Database!AD$2:AD$500),
  _xlfn.IFNA(_xlpm.result, "")
)</f>
        <v/>
      </c>
      <c r="AF278" t="str">
        <f>_xlfn.LET(
  _xlpm.result, _xlfn.XLOOKUP($B278, Result_Database!$A$2:$A$500, Result_Database!AE$2:AE$500),
  _xlfn.IFNA(_xlpm.result, "")
)</f>
        <v/>
      </c>
      <c r="AG278" t="str">
        <f>_xlfn.LET(
  _xlpm.result, _xlfn.XLOOKUP($B278, Result_Database!$A$2:$A$500, Result_Database!AF$2:AF$500),
  _xlfn.IFNA(_xlpm.result, "")
)</f>
        <v/>
      </c>
      <c r="AH278" t="str">
        <f>_xlfn.LET(
  _xlpm.result, _xlfn.XLOOKUP($B278, Result_Database!$A$2:$A$500, Result_Database!AG$2:AG$500),
  _xlfn.IFNA(_xlpm.result, "")
)</f>
        <v/>
      </c>
      <c r="AI278" t="str">
        <f>_xlfn.LET(
  _xlpm.result, _xlfn.XLOOKUP($B278, Result_Database!$A$2:$A$500, Result_Database!AH$2:AH$500),
  _xlfn.IFNA(_xlpm.result, "")
)</f>
        <v/>
      </c>
      <c r="AJ278" t="str">
        <f>_xlfn.LET(
  _xlpm.result, _xlfn.XLOOKUP($B278, Result_Database!$A$2:$A$500, Result_Database!AI$2:AI$500),
  _xlfn.IFNA(_xlpm.result, "")
)</f>
        <v/>
      </c>
      <c r="AK278" t="str">
        <f>_xlfn.LET(
  _xlpm.result, _xlfn.XLOOKUP($B278, Result_Database!$A$2:$A$500, Result_Database!AJ$2:AJ$500),
  _xlfn.IFNA(_xlpm.result, "")
)</f>
        <v/>
      </c>
      <c r="AL278" t="str">
        <f>_xlfn.LET(
  _xlpm.result, _xlfn.XLOOKUP($B278, Result_Database!$A$2:$A$500, Result_Database!AK$2:AK$500),
  _xlfn.IFNA(_xlpm.result, "")
)</f>
        <v/>
      </c>
      <c r="AM27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7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7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7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7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7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7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7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7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78" t="str">
        <f>IF(SUM(Table5[[#This Row],[A1]:[C6]])&lt;&gt;0,SUM(Table5[[#This Row],[A1]:[C6]]),"")</f>
        <v/>
      </c>
      <c r="AW278" t="str">
        <f>IF(SUM(Table5[[#This Row],[D7]:[F9]])=0,"",SUM(Table5[[#This Row],[D7]:[F9]]))</f>
        <v/>
      </c>
      <c r="AX27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7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7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7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7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7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78" t="str">
        <f>IF(COUNTIF(Table5[[#This Row],[English Language]:[Electrical/ Electronics]],"WITHHELD")=0,"",COUNTIF(Table5[[#This Row],[English Language]:[Electrical/ Electronics]],"WITHHELD"))</f>
        <v/>
      </c>
      <c r="BE278" t="str">
        <f>IF(SUM(Table5[[#This Row],[NO OF CREDITS]:[BELOW CREDITS]])=0,"",SUM(Table5[[#This Row],[NO OF CREDITS]:[BELOW CREDITS]]))</f>
        <v/>
      </c>
    </row>
    <row r="279" spans="1:57" x14ac:dyDescent="0.3">
      <c r="A279" t="str">
        <f>IF(B279&lt;&gt;"",COUNTA($B$6:B279),"")</f>
        <v/>
      </c>
      <c r="B279" t="str">
        <f>IF(Result_Database!A275="","",Result_Database!A275)</f>
        <v/>
      </c>
      <c r="C279" t="str">
        <f>_xlfn.LET(
_xlpm.result,_xlfn.XLOOKUP($B279,Result_Database!$A$2:$A$500,Result_Database!$B$2:$B$500),
_xlfn.IFNA(_xlpm.result,"")
)</f>
        <v/>
      </c>
      <c r="D279" t="str">
        <f>_xlfn.LET(
  _xlpm.result, _xlfn.XLOOKUP($B279, Result_Database!$A$2:$A$500, Result_Database!C$2:C$500),
  _xlfn.IFNA(_xlpm.result, "")
)</f>
        <v/>
      </c>
      <c r="E279" t="str">
        <f>_xlfn.LET(
  _xlpm.result, _xlfn.XLOOKUP($B279, Result_Database!$A$2:$A$500, Result_Database!D$2:D$500),
  _xlfn.IFNA(_xlpm.result, "")
)</f>
        <v/>
      </c>
      <c r="F279" t="str">
        <f>_xlfn.LET(
  _xlpm.result, _xlfn.XLOOKUP($B279, Result_Database!$A$2:$A$500, Result_Database!E$2:E$500),
  _xlfn.IFNA(_xlpm.result, "")
)</f>
        <v/>
      </c>
      <c r="G279" t="str">
        <f>_xlfn.LET(
  _xlpm.result, _xlfn.XLOOKUP($B279, Result_Database!$A$2:$A$500, Result_Database!F$2:F$500),
  _xlfn.IFNA(_xlpm.result, "")
)</f>
        <v/>
      </c>
      <c r="H279" t="str">
        <f>_xlfn.LET(
  _xlpm.result, _xlfn.XLOOKUP($B279, Result_Database!$A$2:$A$500, Result_Database!G$2:G$500),
  _xlfn.IFNA(_xlpm.result, "")
)</f>
        <v/>
      </c>
      <c r="I279" t="str">
        <f>_xlfn.LET(
  _xlpm.result, _xlfn.XLOOKUP($B279, Result_Database!$A$2:$A$500, Result_Database!H$2:H$500),
  _xlfn.IFNA(_xlpm.result, "")
)</f>
        <v/>
      </c>
      <c r="J279" t="str">
        <f>_xlfn.LET(
  _xlpm.result, _xlfn.XLOOKUP($B279, Result_Database!$A$2:$A$500, Result_Database!I$2:I$500),
  _xlfn.IFNA(_xlpm.result, "")
)</f>
        <v/>
      </c>
      <c r="K279" t="str">
        <f>_xlfn.LET(
  _xlpm.result, _xlfn.XLOOKUP($B279, Result_Database!$A$2:$A$500, Result_Database!J$2:J$500),
  _xlfn.IFNA(_xlpm.result, "")
)</f>
        <v/>
      </c>
      <c r="L279" t="str">
        <f>_xlfn.LET(
  _xlpm.result, _xlfn.XLOOKUP($B279, Result_Database!$A$2:$A$500, Result_Database!K$2:K$500),
  _xlfn.IFNA(_xlpm.result, "")
)</f>
        <v/>
      </c>
      <c r="M279" t="str">
        <f>_xlfn.LET(
  _xlpm.result, _xlfn.XLOOKUP($B279, Result_Database!$A$2:$A$500, Result_Database!L$2:L$500),
  _xlfn.IFNA(_xlpm.result, "")
)</f>
        <v/>
      </c>
      <c r="N279" t="str">
        <f>_xlfn.LET(
  _xlpm.result, _xlfn.XLOOKUP($B279, Result_Database!$A$2:$A$500, Result_Database!M$2:M$500),
  _xlfn.IFNA(_xlpm.result, "")
)</f>
        <v/>
      </c>
      <c r="O279" t="str">
        <f>_xlfn.LET(
  _xlpm.result, _xlfn.XLOOKUP($B279, Result_Database!$A$2:$A$500, Result_Database!N$2:N$500),
  _xlfn.IFNA(_xlpm.result, "")
)</f>
        <v/>
      </c>
      <c r="P279" t="str">
        <f>_xlfn.LET(
  _xlpm.result, _xlfn.XLOOKUP($B279, Result_Database!$A$2:$A$500, Result_Database!O$2:O$500),
  _xlfn.IFNA(_xlpm.result, "")
)</f>
        <v/>
      </c>
      <c r="Q279" t="str">
        <f>_xlfn.LET(
  _xlpm.result, _xlfn.XLOOKUP($B279, Result_Database!$A$2:$A$500, Result_Database!P$2:P$500),
  _xlfn.IFNA(_xlpm.result, "")
)</f>
        <v/>
      </c>
      <c r="R279" t="str">
        <f>_xlfn.LET(
  _xlpm.result, _xlfn.XLOOKUP($B279, Result_Database!$A$2:$A$500, Result_Database!Q$2:Q$500),
  _xlfn.IFNA(_xlpm.result, "")
)</f>
        <v/>
      </c>
      <c r="S279" t="str">
        <f>_xlfn.LET(
  _xlpm.result, _xlfn.XLOOKUP($B279, Result_Database!$A$2:$A$500, Result_Database!R$2:R$500),
  _xlfn.IFNA(_xlpm.result, "")
)</f>
        <v/>
      </c>
      <c r="T279" t="str">
        <f>_xlfn.LET(
  _xlpm.result, _xlfn.XLOOKUP($B279, Result_Database!$A$2:$A$500, Result_Database!S$2:S$500),
  _xlfn.IFNA(_xlpm.result, "")
)</f>
        <v/>
      </c>
      <c r="U279" t="str">
        <f>_xlfn.LET(
  _xlpm.result, _xlfn.XLOOKUP($B279, Result_Database!$A$2:$A$500, Result_Database!T$2:T$500),
  _xlfn.IFNA(_xlpm.result, "")
)</f>
        <v/>
      </c>
      <c r="V279" t="str">
        <f>_xlfn.LET(
  _xlpm.result, _xlfn.XLOOKUP($B279, Result_Database!$A$2:$A$500, Result_Database!U$2:U$500),
  _xlfn.IFNA(_xlpm.result, "")
)</f>
        <v/>
      </c>
      <c r="W279" t="str">
        <f>_xlfn.LET(
  _xlpm.result, _xlfn.XLOOKUP($B279, Result_Database!$A$2:$A$500, Result_Database!V$2:V$500),
  _xlfn.IFNA(_xlpm.result, "")
)</f>
        <v/>
      </c>
      <c r="X279" t="str">
        <f>_xlfn.LET(
  _xlpm.result, _xlfn.XLOOKUP($B279, Result_Database!$A$2:$A$500, Result_Database!W$2:W$500),
  _xlfn.IFNA(_xlpm.result, "")
)</f>
        <v/>
      </c>
      <c r="Y279" t="str">
        <f>_xlfn.LET(
  _xlpm.result, _xlfn.XLOOKUP($B279, Result_Database!$A$2:$A$500, Result_Database!X$2:X$500),
  _xlfn.IFNA(_xlpm.result, "")
)</f>
        <v/>
      </c>
      <c r="Z279" t="str">
        <f>_xlfn.LET(
  _xlpm.result, _xlfn.XLOOKUP($B279, Result_Database!$A$2:$A$500, Result_Database!Y$2:Y$500),
  _xlfn.IFNA(_xlpm.result, "")
)</f>
        <v/>
      </c>
      <c r="AA279" t="str">
        <f>_xlfn.LET(
  _xlpm.result, _xlfn.XLOOKUP($B279, Result_Database!$A$2:$A$500, Result_Database!Z$2:Z$500),
  _xlfn.IFNA(_xlpm.result, "")
)</f>
        <v/>
      </c>
      <c r="AB279" t="str">
        <f>_xlfn.LET(
  _xlpm.result, _xlfn.XLOOKUP($B279, Result_Database!$A$2:$A$500, Result_Database!AA$2:AA$500),
  _xlfn.IFNA(_xlpm.result, "")
)</f>
        <v/>
      </c>
      <c r="AC279" t="str">
        <f>_xlfn.LET(
  _xlpm.result, _xlfn.XLOOKUP($B279, Result_Database!$A$2:$A$500, Result_Database!AB$2:AB$500),
  _xlfn.IFNA(_xlpm.result, "")
)</f>
        <v/>
      </c>
      <c r="AD279" t="str">
        <f>_xlfn.LET(
  _xlpm.result, _xlfn.XLOOKUP($B279, Result_Database!$A$2:$A$500, Result_Database!AC$2:AC$500),
  _xlfn.IFNA(_xlpm.result, "")
)</f>
        <v/>
      </c>
      <c r="AE279" t="str">
        <f>_xlfn.LET(
  _xlpm.result, _xlfn.XLOOKUP($B279, Result_Database!$A$2:$A$500, Result_Database!AD$2:AD$500),
  _xlfn.IFNA(_xlpm.result, "")
)</f>
        <v/>
      </c>
      <c r="AF279" t="str">
        <f>_xlfn.LET(
  _xlpm.result, _xlfn.XLOOKUP($B279, Result_Database!$A$2:$A$500, Result_Database!AE$2:AE$500),
  _xlfn.IFNA(_xlpm.result, "")
)</f>
        <v/>
      </c>
      <c r="AG279" t="str">
        <f>_xlfn.LET(
  _xlpm.result, _xlfn.XLOOKUP($B279, Result_Database!$A$2:$A$500, Result_Database!AF$2:AF$500),
  _xlfn.IFNA(_xlpm.result, "")
)</f>
        <v/>
      </c>
      <c r="AH279" t="str">
        <f>_xlfn.LET(
  _xlpm.result, _xlfn.XLOOKUP($B279, Result_Database!$A$2:$A$500, Result_Database!AG$2:AG$500),
  _xlfn.IFNA(_xlpm.result, "")
)</f>
        <v/>
      </c>
      <c r="AI279" t="str">
        <f>_xlfn.LET(
  _xlpm.result, _xlfn.XLOOKUP($B279, Result_Database!$A$2:$A$500, Result_Database!AH$2:AH$500),
  _xlfn.IFNA(_xlpm.result, "")
)</f>
        <v/>
      </c>
      <c r="AJ279" t="str">
        <f>_xlfn.LET(
  _xlpm.result, _xlfn.XLOOKUP($B279, Result_Database!$A$2:$A$500, Result_Database!AI$2:AI$500),
  _xlfn.IFNA(_xlpm.result, "")
)</f>
        <v/>
      </c>
      <c r="AK279" t="str">
        <f>_xlfn.LET(
  _xlpm.result, _xlfn.XLOOKUP($B279, Result_Database!$A$2:$A$500, Result_Database!AJ$2:AJ$500),
  _xlfn.IFNA(_xlpm.result, "")
)</f>
        <v/>
      </c>
      <c r="AL279" t="str">
        <f>_xlfn.LET(
  _xlpm.result, _xlfn.XLOOKUP($B279, Result_Database!$A$2:$A$500, Result_Database!AK$2:AK$500),
  _xlfn.IFNA(_xlpm.result, "")
)</f>
        <v/>
      </c>
      <c r="AM27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7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7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7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7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7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7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7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7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79" t="str">
        <f>IF(SUM(Table5[[#This Row],[A1]:[C6]])&lt;&gt;0,SUM(Table5[[#This Row],[A1]:[C6]]),"")</f>
        <v/>
      </c>
      <c r="AW279" t="str">
        <f>IF(SUM(Table5[[#This Row],[D7]:[F9]])=0,"",SUM(Table5[[#This Row],[D7]:[F9]]))</f>
        <v/>
      </c>
      <c r="AX27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7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7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7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7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7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79" t="str">
        <f>IF(COUNTIF(Table5[[#This Row],[English Language]:[Electrical/ Electronics]],"WITHHELD")=0,"",COUNTIF(Table5[[#This Row],[English Language]:[Electrical/ Electronics]],"WITHHELD"))</f>
        <v/>
      </c>
      <c r="BE279" t="str">
        <f>IF(SUM(Table5[[#This Row],[NO OF CREDITS]:[BELOW CREDITS]])=0,"",SUM(Table5[[#This Row],[NO OF CREDITS]:[BELOW CREDITS]]))</f>
        <v/>
      </c>
    </row>
    <row r="280" spans="1:57" x14ac:dyDescent="0.3">
      <c r="A280" t="str">
        <f>IF(B280&lt;&gt;"",COUNTA($B$6:B280),"")</f>
        <v/>
      </c>
      <c r="B280" t="str">
        <f>IF(Result_Database!A276="","",Result_Database!A276)</f>
        <v/>
      </c>
      <c r="C280" t="str">
        <f>_xlfn.LET(
_xlpm.result,_xlfn.XLOOKUP($B280,Result_Database!$A$2:$A$500,Result_Database!$B$2:$B$500),
_xlfn.IFNA(_xlpm.result,"")
)</f>
        <v/>
      </c>
      <c r="D280" t="str">
        <f>_xlfn.LET(
  _xlpm.result, _xlfn.XLOOKUP($B280, Result_Database!$A$2:$A$500, Result_Database!C$2:C$500),
  _xlfn.IFNA(_xlpm.result, "")
)</f>
        <v/>
      </c>
      <c r="E280" t="str">
        <f>_xlfn.LET(
  _xlpm.result, _xlfn.XLOOKUP($B280, Result_Database!$A$2:$A$500, Result_Database!D$2:D$500),
  _xlfn.IFNA(_xlpm.result, "")
)</f>
        <v/>
      </c>
      <c r="F280" t="str">
        <f>_xlfn.LET(
  _xlpm.result, _xlfn.XLOOKUP($B280, Result_Database!$A$2:$A$500, Result_Database!E$2:E$500),
  _xlfn.IFNA(_xlpm.result, "")
)</f>
        <v/>
      </c>
      <c r="G280" t="str">
        <f>_xlfn.LET(
  _xlpm.result, _xlfn.XLOOKUP($B280, Result_Database!$A$2:$A$500, Result_Database!F$2:F$500),
  _xlfn.IFNA(_xlpm.result, "")
)</f>
        <v/>
      </c>
      <c r="H280" t="str">
        <f>_xlfn.LET(
  _xlpm.result, _xlfn.XLOOKUP($B280, Result_Database!$A$2:$A$500, Result_Database!G$2:G$500),
  _xlfn.IFNA(_xlpm.result, "")
)</f>
        <v/>
      </c>
      <c r="I280" t="str">
        <f>_xlfn.LET(
  _xlpm.result, _xlfn.XLOOKUP($B280, Result_Database!$A$2:$A$500, Result_Database!H$2:H$500),
  _xlfn.IFNA(_xlpm.result, "")
)</f>
        <v/>
      </c>
      <c r="J280" t="str">
        <f>_xlfn.LET(
  _xlpm.result, _xlfn.XLOOKUP($B280, Result_Database!$A$2:$A$500, Result_Database!I$2:I$500),
  _xlfn.IFNA(_xlpm.result, "")
)</f>
        <v/>
      </c>
      <c r="K280" t="str">
        <f>_xlfn.LET(
  _xlpm.result, _xlfn.XLOOKUP($B280, Result_Database!$A$2:$A$500, Result_Database!J$2:J$500),
  _xlfn.IFNA(_xlpm.result, "")
)</f>
        <v/>
      </c>
      <c r="L280" t="str">
        <f>_xlfn.LET(
  _xlpm.result, _xlfn.XLOOKUP($B280, Result_Database!$A$2:$A$500, Result_Database!K$2:K$500),
  _xlfn.IFNA(_xlpm.result, "")
)</f>
        <v/>
      </c>
      <c r="M280" t="str">
        <f>_xlfn.LET(
  _xlpm.result, _xlfn.XLOOKUP($B280, Result_Database!$A$2:$A$500, Result_Database!L$2:L$500),
  _xlfn.IFNA(_xlpm.result, "")
)</f>
        <v/>
      </c>
      <c r="N280" t="str">
        <f>_xlfn.LET(
  _xlpm.result, _xlfn.XLOOKUP($B280, Result_Database!$A$2:$A$500, Result_Database!M$2:M$500),
  _xlfn.IFNA(_xlpm.result, "")
)</f>
        <v/>
      </c>
      <c r="O280" t="str">
        <f>_xlfn.LET(
  _xlpm.result, _xlfn.XLOOKUP($B280, Result_Database!$A$2:$A$500, Result_Database!N$2:N$500),
  _xlfn.IFNA(_xlpm.result, "")
)</f>
        <v/>
      </c>
      <c r="P280" t="str">
        <f>_xlfn.LET(
  _xlpm.result, _xlfn.XLOOKUP($B280, Result_Database!$A$2:$A$500, Result_Database!O$2:O$500),
  _xlfn.IFNA(_xlpm.result, "")
)</f>
        <v/>
      </c>
      <c r="Q280" t="str">
        <f>_xlfn.LET(
  _xlpm.result, _xlfn.XLOOKUP($B280, Result_Database!$A$2:$A$500, Result_Database!P$2:P$500),
  _xlfn.IFNA(_xlpm.result, "")
)</f>
        <v/>
      </c>
      <c r="R280" t="str">
        <f>_xlfn.LET(
  _xlpm.result, _xlfn.XLOOKUP($B280, Result_Database!$A$2:$A$500, Result_Database!Q$2:Q$500),
  _xlfn.IFNA(_xlpm.result, "")
)</f>
        <v/>
      </c>
      <c r="S280" t="str">
        <f>_xlfn.LET(
  _xlpm.result, _xlfn.XLOOKUP($B280, Result_Database!$A$2:$A$500, Result_Database!R$2:R$500),
  _xlfn.IFNA(_xlpm.result, "")
)</f>
        <v/>
      </c>
      <c r="T280" t="str">
        <f>_xlfn.LET(
  _xlpm.result, _xlfn.XLOOKUP($B280, Result_Database!$A$2:$A$500, Result_Database!S$2:S$500),
  _xlfn.IFNA(_xlpm.result, "")
)</f>
        <v/>
      </c>
      <c r="U280" t="str">
        <f>_xlfn.LET(
  _xlpm.result, _xlfn.XLOOKUP($B280, Result_Database!$A$2:$A$500, Result_Database!T$2:T$500),
  _xlfn.IFNA(_xlpm.result, "")
)</f>
        <v/>
      </c>
      <c r="V280" t="str">
        <f>_xlfn.LET(
  _xlpm.result, _xlfn.XLOOKUP($B280, Result_Database!$A$2:$A$500, Result_Database!U$2:U$500),
  _xlfn.IFNA(_xlpm.result, "")
)</f>
        <v/>
      </c>
      <c r="W280" t="str">
        <f>_xlfn.LET(
  _xlpm.result, _xlfn.XLOOKUP($B280, Result_Database!$A$2:$A$500, Result_Database!V$2:V$500),
  _xlfn.IFNA(_xlpm.result, "")
)</f>
        <v/>
      </c>
      <c r="X280" t="str">
        <f>_xlfn.LET(
  _xlpm.result, _xlfn.XLOOKUP($B280, Result_Database!$A$2:$A$500, Result_Database!W$2:W$500),
  _xlfn.IFNA(_xlpm.result, "")
)</f>
        <v/>
      </c>
      <c r="Y280" t="str">
        <f>_xlfn.LET(
  _xlpm.result, _xlfn.XLOOKUP($B280, Result_Database!$A$2:$A$500, Result_Database!X$2:X$500),
  _xlfn.IFNA(_xlpm.result, "")
)</f>
        <v/>
      </c>
      <c r="Z280" t="str">
        <f>_xlfn.LET(
  _xlpm.result, _xlfn.XLOOKUP($B280, Result_Database!$A$2:$A$500, Result_Database!Y$2:Y$500),
  _xlfn.IFNA(_xlpm.result, "")
)</f>
        <v/>
      </c>
      <c r="AA280" t="str">
        <f>_xlfn.LET(
  _xlpm.result, _xlfn.XLOOKUP($B280, Result_Database!$A$2:$A$500, Result_Database!Z$2:Z$500),
  _xlfn.IFNA(_xlpm.result, "")
)</f>
        <v/>
      </c>
      <c r="AB280" t="str">
        <f>_xlfn.LET(
  _xlpm.result, _xlfn.XLOOKUP($B280, Result_Database!$A$2:$A$500, Result_Database!AA$2:AA$500),
  _xlfn.IFNA(_xlpm.result, "")
)</f>
        <v/>
      </c>
      <c r="AC280" t="str">
        <f>_xlfn.LET(
  _xlpm.result, _xlfn.XLOOKUP($B280, Result_Database!$A$2:$A$500, Result_Database!AB$2:AB$500),
  _xlfn.IFNA(_xlpm.result, "")
)</f>
        <v/>
      </c>
      <c r="AD280" t="str">
        <f>_xlfn.LET(
  _xlpm.result, _xlfn.XLOOKUP($B280, Result_Database!$A$2:$A$500, Result_Database!AC$2:AC$500),
  _xlfn.IFNA(_xlpm.result, "")
)</f>
        <v/>
      </c>
      <c r="AE280" t="str">
        <f>_xlfn.LET(
  _xlpm.result, _xlfn.XLOOKUP($B280, Result_Database!$A$2:$A$500, Result_Database!AD$2:AD$500),
  _xlfn.IFNA(_xlpm.result, "")
)</f>
        <v/>
      </c>
      <c r="AF280" t="str">
        <f>_xlfn.LET(
  _xlpm.result, _xlfn.XLOOKUP($B280, Result_Database!$A$2:$A$500, Result_Database!AE$2:AE$500),
  _xlfn.IFNA(_xlpm.result, "")
)</f>
        <v/>
      </c>
      <c r="AG280" t="str">
        <f>_xlfn.LET(
  _xlpm.result, _xlfn.XLOOKUP($B280, Result_Database!$A$2:$A$500, Result_Database!AF$2:AF$500),
  _xlfn.IFNA(_xlpm.result, "")
)</f>
        <v/>
      </c>
      <c r="AH280" t="str">
        <f>_xlfn.LET(
  _xlpm.result, _xlfn.XLOOKUP($B280, Result_Database!$A$2:$A$500, Result_Database!AG$2:AG$500),
  _xlfn.IFNA(_xlpm.result, "")
)</f>
        <v/>
      </c>
      <c r="AI280" t="str">
        <f>_xlfn.LET(
  _xlpm.result, _xlfn.XLOOKUP($B280, Result_Database!$A$2:$A$500, Result_Database!AH$2:AH$500),
  _xlfn.IFNA(_xlpm.result, "")
)</f>
        <v/>
      </c>
      <c r="AJ280" t="str">
        <f>_xlfn.LET(
  _xlpm.result, _xlfn.XLOOKUP($B280, Result_Database!$A$2:$A$500, Result_Database!AI$2:AI$500),
  _xlfn.IFNA(_xlpm.result, "")
)</f>
        <v/>
      </c>
      <c r="AK280" t="str">
        <f>_xlfn.LET(
  _xlpm.result, _xlfn.XLOOKUP($B280, Result_Database!$A$2:$A$500, Result_Database!AJ$2:AJ$500),
  _xlfn.IFNA(_xlpm.result, "")
)</f>
        <v/>
      </c>
      <c r="AL280" t="str">
        <f>_xlfn.LET(
  _xlpm.result, _xlfn.XLOOKUP($B280, Result_Database!$A$2:$A$500, Result_Database!AK$2:AK$500),
  _xlfn.IFNA(_xlpm.result, "")
)</f>
        <v/>
      </c>
      <c r="AM28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8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8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8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8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8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8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8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8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80" t="str">
        <f>IF(SUM(Table5[[#This Row],[A1]:[C6]])&lt;&gt;0,SUM(Table5[[#This Row],[A1]:[C6]]),"")</f>
        <v/>
      </c>
      <c r="AW280" t="str">
        <f>IF(SUM(Table5[[#This Row],[D7]:[F9]])=0,"",SUM(Table5[[#This Row],[D7]:[F9]]))</f>
        <v/>
      </c>
      <c r="AX28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8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8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8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8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8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80" t="str">
        <f>IF(COUNTIF(Table5[[#This Row],[English Language]:[Electrical/ Electronics]],"WITHHELD")=0,"",COUNTIF(Table5[[#This Row],[English Language]:[Electrical/ Electronics]],"WITHHELD"))</f>
        <v/>
      </c>
      <c r="BE280" t="str">
        <f>IF(SUM(Table5[[#This Row],[NO OF CREDITS]:[BELOW CREDITS]])=0,"",SUM(Table5[[#This Row],[NO OF CREDITS]:[BELOW CREDITS]]))</f>
        <v/>
      </c>
    </row>
    <row r="281" spans="1:57" x14ac:dyDescent="0.3">
      <c r="A281" t="str">
        <f>IF(B281&lt;&gt;"",COUNTA($B$6:B281),"")</f>
        <v/>
      </c>
      <c r="B281" t="str">
        <f>IF(Result_Database!A277="","",Result_Database!A277)</f>
        <v/>
      </c>
      <c r="C281" t="str">
        <f>_xlfn.LET(
_xlpm.result,_xlfn.XLOOKUP($B281,Result_Database!$A$2:$A$500,Result_Database!$B$2:$B$500),
_xlfn.IFNA(_xlpm.result,"")
)</f>
        <v/>
      </c>
      <c r="D281" t="str">
        <f>_xlfn.LET(
  _xlpm.result, _xlfn.XLOOKUP($B281, Result_Database!$A$2:$A$500, Result_Database!C$2:C$500),
  _xlfn.IFNA(_xlpm.result, "")
)</f>
        <v/>
      </c>
      <c r="E281" t="str">
        <f>_xlfn.LET(
  _xlpm.result, _xlfn.XLOOKUP($B281, Result_Database!$A$2:$A$500, Result_Database!D$2:D$500),
  _xlfn.IFNA(_xlpm.result, "")
)</f>
        <v/>
      </c>
      <c r="F281" t="str">
        <f>_xlfn.LET(
  _xlpm.result, _xlfn.XLOOKUP($B281, Result_Database!$A$2:$A$500, Result_Database!E$2:E$500),
  _xlfn.IFNA(_xlpm.result, "")
)</f>
        <v/>
      </c>
      <c r="G281" t="str">
        <f>_xlfn.LET(
  _xlpm.result, _xlfn.XLOOKUP($B281, Result_Database!$A$2:$A$500, Result_Database!F$2:F$500),
  _xlfn.IFNA(_xlpm.result, "")
)</f>
        <v/>
      </c>
      <c r="H281" t="str">
        <f>_xlfn.LET(
  _xlpm.result, _xlfn.XLOOKUP($B281, Result_Database!$A$2:$A$500, Result_Database!G$2:G$500),
  _xlfn.IFNA(_xlpm.result, "")
)</f>
        <v/>
      </c>
      <c r="I281" t="str">
        <f>_xlfn.LET(
  _xlpm.result, _xlfn.XLOOKUP($B281, Result_Database!$A$2:$A$500, Result_Database!H$2:H$500),
  _xlfn.IFNA(_xlpm.result, "")
)</f>
        <v/>
      </c>
      <c r="J281" t="str">
        <f>_xlfn.LET(
  _xlpm.result, _xlfn.XLOOKUP($B281, Result_Database!$A$2:$A$500, Result_Database!I$2:I$500),
  _xlfn.IFNA(_xlpm.result, "")
)</f>
        <v/>
      </c>
      <c r="K281" t="str">
        <f>_xlfn.LET(
  _xlpm.result, _xlfn.XLOOKUP($B281, Result_Database!$A$2:$A$500, Result_Database!J$2:J$500),
  _xlfn.IFNA(_xlpm.result, "")
)</f>
        <v/>
      </c>
      <c r="L281" t="str">
        <f>_xlfn.LET(
  _xlpm.result, _xlfn.XLOOKUP($B281, Result_Database!$A$2:$A$500, Result_Database!K$2:K$500),
  _xlfn.IFNA(_xlpm.result, "")
)</f>
        <v/>
      </c>
      <c r="M281" t="str">
        <f>_xlfn.LET(
  _xlpm.result, _xlfn.XLOOKUP($B281, Result_Database!$A$2:$A$500, Result_Database!L$2:L$500),
  _xlfn.IFNA(_xlpm.result, "")
)</f>
        <v/>
      </c>
      <c r="N281" t="str">
        <f>_xlfn.LET(
  _xlpm.result, _xlfn.XLOOKUP($B281, Result_Database!$A$2:$A$500, Result_Database!M$2:M$500),
  _xlfn.IFNA(_xlpm.result, "")
)</f>
        <v/>
      </c>
      <c r="O281" t="str">
        <f>_xlfn.LET(
  _xlpm.result, _xlfn.XLOOKUP($B281, Result_Database!$A$2:$A$500, Result_Database!N$2:N$500),
  _xlfn.IFNA(_xlpm.result, "")
)</f>
        <v/>
      </c>
      <c r="P281" t="str">
        <f>_xlfn.LET(
  _xlpm.result, _xlfn.XLOOKUP($B281, Result_Database!$A$2:$A$500, Result_Database!O$2:O$500),
  _xlfn.IFNA(_xlpm.result, "")
)</f>
        <v/>
      </c>
      <c r="Q281" t="str">
        <f>_xlfn.LET(
  _xlpm.result, _xlfn.XLOOKUP($B281, Result_Database!$A$2:$A$500, Result_Database!P$2:P$500),
  _xlfn.IFNA(_xlpm.result, "")
)</f>
        <v/>
      </c>
      <c r="R281" t="str">
        <f>_xlfn.LET(
  _xlpm.result, _xlfn.XLOOKUP($B281, Result_Database!$A$2:$A$500, Result_Database!Q$2:Q$500),
  _xlfn.IFNA(_xlpm.result, "")
)</f>
        <v/>
      </c>
      <c r="S281" t="str">
        <f>_xlfn.LET(
  _xlpm.result, _xlfn.XLOOKUP($B281, Result_Database!$A$2:$A$500, Result_Database!R$2:R$500),
  _xlfn.IFNA(_xlpm.result, "")
)</f>
        <v/>
      </c>
      <c r="T281" t="str">
        <f>_xlfn.LET(
  _xlpm.result, _xlfn.XLOOKUP($B281, Result_Database!$A$2:$A$500, Result_Database!S$2:S$500),
  _xlfn.IFNA(_xlpm.result, "")
)</f>
        <v/>
      </c>
      <c r="U281" t="str">
        <f>_xlfn.LET(
  _xlpm.result, _xlfn.XLOOKUP($B281, Result_Database!$A$2:$A$500, Result_Database!T$2:T$500),
  _xlfn.IFNA(_xlpm.result, "")
)</f>
        <v/>
      </c>
      <c r="V281" t="str">
        <f>_xlfn.LET(
  _xlpm.result, _xlfn.XLOOKUP($B281, Result_Database!$A$2:$A$500, Result_Database!U$2:U$500),
  _xlfn.IFNA(_xlpm.result, "")
)</f>
        <v/>
      </c>
      <c r="W281" t="str">
        <f>_xlfn.LET(
  _xlpm.result, _xlfn.XLOOKUP($B281, Result_Database!$A$2:$A$500, Result_Database!V$2:V$500),
  _xlfn.IFNA(_xlpm.result, "")
)</f>
        <v/>
      </c>
      <c r="X281" t="str">
        <f>_xlfn.LET(
  _xlpm.result, _xlfn.XLOOKUP($B281, Result_Database!$A$2:$A$500, Result_Database!W$2:W$500),
  _xlfn.IFNA(_xlpm.result, "")
)</f>
        <v/>
      </c>
      <c r="Y281" t="str">
        <f>_xlfn.LET(
  _xlpm.result, _xlfn.XLOOKUP($B281, Result_Database!$A$2:$A$500, Result_Database!X$2:X$500),
  _xlfn.IFNA(_xlpm.result, "")
)</f>
        <v/>
      </c>
      <c r="Z281" t="str">
        <f>_xlfn.LET(
  _xlpm.result, _xlfn.XLOOKUP($B281, Result_Database!$A$2:$A$500, Result_Database!Y$2:Y$500),
  _xlfn.IFNA(_xlpm.result, "")
)</f>
        <v/>
      </c>
      <c r="AA281" t="str">
        <f>_xlfn.LET(
  _xlpm.result, _xlfn.XLOOKUP($B281, Result_Database!$A$2:$A$500, Result_Database!Z$2:Z$500),
  _xlfn.IFNA(_xlpm.result, "")
)</f>
        <v/>
      </c>
      <c r="AB281" t="str">
        <f>_xlfn.LET(
  _xlpm.result, _xlfn.XLOOKUP($B281, Result_Database!$A$2:$A$500, Result_Database!AA$2:AA$500),
  _xlfn.IFNA(_xlpm.result, "")
)</f>
        <v/>
      </c>
      <c r="AC281" t="str">
        <f>_xlfn.LET(
  _xlpm.result, _xlfn.XLOOKUP($B281, Result_Database!$A$2:$A$500, Result_Database!AB$2:AB$500),
  _xlfn.IFNA(_xlpm.result, "")
)</f>
        <v/>
      </c>
      <c r="AD281" t="str">
        <f>_xlfn.LET(
  _xlpm.result, _xlfn.XLOOKUP($B281, Result_Database!$A$2:$A$500, Result_Database!AC$2:AC$500),
  _xlfn.IFNA(_xlpm.result, "")
)</f>
        <v/>
      </c>
      <c r="AE281" t="str">
        <f>_xlfn.LET(
  _xlpm.result, _xlfn.XLOOKUP($B281, Result_Database!$A$2:$A$500, Result_Database!AD$2:AD$500),
  _xlfn.IFNA(_xlpm.result, "")
)</f>
        <v/>
      </c>
      <c r="AF281" t="str">
        <f>_xlfn.LET(
  _xlpm.result, _xlfn.XLOOKUP($B281, Result_Database!$A$2:$A$500, Result_Database!AE$2:AE$500),
  _xlfn.IFNA(_xlpm.result, "")
)</f>
        <v/>
      </c>
      <c r="AG281" t="str">
        <f>_xlfn.LET(
  _xlpm.result, _xlfn.XLOOKUP($B281, Result_Database!$A$2:$A$500, Result_Database!AF$2:AF$500),
  _xlfn.IFNA(_xlpm.result, "")
)</f>
        <v/>
      </c>
      <c r="AH281" t="str">
        <f>_xlfn.LET(
  _xlpm.result, _xlfn.XLOOKUP($B281, Result_Database!$A$2:$A$500, Result_Database!AG$2:AG$500),
  _xlfn.IFNA(_xlpm.result, "")
)</f>
        <v/>
      </c>
      <c r="AI281" t="str">
        <f>_xlfn.LET(
  _xlpm.result, _xlfn.XLOOKUP($B281, Result_Database!$A$2:$A$500, Result_Database!AH$2:AH$500),
  _xlfn.IFNA(_xlpm.result, "")
)</f>
        <v/>
      </c>
      <c r="AJ281" t="str">
        <f>_xlfn.LET(
  _xlpm.result, _xlfn.XLOOKUP($B281, Result_Database!$A$2:$A$500, Result_Database!AI$2:AI$500),
  _xlfn.IFNA(_xlpm.result, "")
)</f>
        <v/>
      </c>
      <c r="AK281" t="str">
        <f>_xlfn.LET(
  _xlpm.result, _xlfn.XLOOKUP($B281, Result_Database!$A$2:$A$500, Result_Database!AJ$2:AJ$500),
  _xlfn.IFNA(_xlpm.result, "")
)</f>
        <v/>
      </c>
      <c r="AL281" t="str">
        <f>_xlfn.LET(
  _xlpm.result, _xlfn.XLOOKUP($B281, Result_Database!$A$2:$A$500, Result_Database!AK$2:AK$500),
  _xlfn.IFNA(_xlpm.result, "")
)</f>
        <v/>
      </c>
      <c r="AM28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8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8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8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8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8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8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8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8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81" t="str">
        <f>IF(SUM(Table5[[#This Row],[A1]:[C6]])&lt;&gt;0,SUM(Table5[[#This Row],[A1]:[C6]]),"")</f>
        <v/>
      </c>
      <c r="AW281" t="str">
        <f>IF(SUM(Table5[[#This Row],[D7]:[F9]])=0,"",SUM(Table5[[#This Row],[D7]:[F9]]))</f>
        <v/>
      </c>
      <c r="AX28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8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8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8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8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8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81" t="str">
        <f>IF(COUNTIF(Table5[[#This Row],[English Language]:[Electrical/ Electronics]],"WITHHELD")=0,"",COUNTIF(Table5[[#This Row],[English Language]:[Electrical/ Electronics]],"WITHHELD"))</f>
        <v/>
      </c>
      <c r="BE281" t="str">
        <f>IF(SUM(Table5[[#This Row],[NO OF CREDITS]:[BELOW CREDITS]])=0,"",SUM(Table5[[#This Row],[NO OF CREDITS]:[BELOW CREDITS]]))</f>
        <v/>
      </c>
    </row>
    <row r="282" spans="1:57" x14ac:dyDescent="0.3">
      <c r="A282" t="str">
        <f>IF(B282&lt;&gt;"",COUNTA($B$6:B282),"")</f>
        <v/>
      </c>
      <c r="B282" t="str">
        <f>IF(Result_Database!A278="","",Result_Database!A278)</f>
        <v/>
      </c>
      <c r="C282" t="str">
        <f>_xlfn.LET(
_xlpm.result,_xlfn.XLOOKUP($B282,Result_Database!$A$2:$A$500,Result_Database!$B$2:$B$500),
_xlfn.IFNA(_xlpm.result,"")
)</f>
        <v/>
      </c>
      <c r="D282" t="str">
        <f>_xlfn.LET(
  _xlpm.result, _xlfn.XLOOKUP($B282, Result_Database!$A$2:$A$500, Result_Database!C$2:C$500),
  _xlfn.IFNA(_xlpm.result, "")
)</f>
        <v/>
      </c>
      <c r="E282" t="str">
        <f>_xlfn.LET(
  _xlpm.result, _xlfn.XLOOKUP($B282, Result_Database!$A$2:$A$500, Result_Database!D$2:D$500),
  _xlfn.IFNA(_xlpm.result, "")
)</f>
        <v/>
      </c>
      <c r="F282" t="str">
        <f>_xlfn.LET(
  _xlpm.result, _xlfn.XLOOKUP($B282, Result_Database!$A$2:$A$500, Result_Database!E$2:E$500),
  _xlfn.IFNA(_xlpm.result, "")
)</f>
        <v/>
      </c>
      <c r="G282" t="str">
        <f>_xlfn.LET(
  _xlpm.result, _xlfn.XLOOKUP($B282, Result_Database!$A$2:$A$500, Result_Database!F$2:F$500),
  _xlfn.IFNA(_xlpm.result, "")
)</f>
        <v/>
      </c>
      <c r="H282" t="str">
        <f>_xlfn.LET(
  _xlpm.result, _xlfn.XLOOKUP($B282, Result_Database!$A$2:$A$500, Result_Database!G$2:G$500),
  _xlfn.IFNA(_xlpm.result, "")
)</f>
        <v/>
      </c>
      <c r="I282" t="str">
        <f>_xlfn.LET(
  _xlpm.result, _xlfn.XLOOKUP($B282, Result_Database!$A$2:$A$500, Result_Database!H$2:H$500),
  _xlfn.IFNA(_xlpm.result, "")
)</f>
        <v/>
      </c>
      <c r="J282" t="str">
        <f>_xlfn.LET(
  _xlpm.result, _xlfn.XLOOKUP($B282, Result_Database!$A$2:$A$500, Result_Database!I$2:I$500),
  _xlfn.IFNA(_xlpm.result, "")
)</f>
        <v/>
      </c>
      <c r="K282" t="str">
        <f>_xlfn.LET(
  _xlpm.result, _xlfn.XLOOKUP($B282, Result_Database!$A$2:$A$500, Result_Database!J$2:J$500),
  _xlfn.IFNA(_xlpm.result, "")
)</f>
        <v/>
      </c>
      <c r="L282" t="str">
        <f>_xlfn.LET(
  _xlpm.result, _xlfn.XLOOKUP($B282, Result_Database!$A$2:$A$500, Result_Database!K$2:K$500),
  _xlfn.IFNA(_xlpm.result, "")
)</f>
        <v/>
      </c>
      <c r="M282" t="str">
        <f>_xlfn.LET(
  _xlpm.result, _xlfn.XLOOKUP($B282, Result_Database!$A$2:$A$500, Result_Database!L$2:L$500),
  _xlfn.IFNA(_xlpm.result, "")
)</f>
        <v/>
      </c>
      <c r="N282" t="str">
        <f>_xlfn.LET(
  _xlpm.result, _xlfn.XLOOKUP($B282, Result_Database!$A$2:$A$500, Result_Database!M$2:M$500),
  _xlfn.IFNA(_xlpm.result, "")
)</f>
        <v/>
      </c>
      <c r="O282" t="str">
        <f>_xlfn.LET(
  _xlpm.result, _xlfn.XLOOKUP($B282, Result_Database!$A$2:$A$500, Result_Database!N$2:N$500),
  _xlfn.IFNA(_xlpm.result, "")
)</f>
        <v/>
      </c>
      <c r="P282" t="str">
        <f>_xlfn.LET(
  _xlpm.result, _xlfn.XLOOKUP($B282, Result_Database!$A$2:$A$500, Result_Database!O$2:O$500),
  _xlfn.IFNA(_xlpm.result, "")
)</f>
        <v/>
      </c>
      <c r="Q282" t="str">
        <f>_xlfn.LET(
  _xlpm.result, _xlfn.XLOOKUP($B282, Result_Database!$A$2:$A$500, Result_Database!P$2:P$500),
  _xlfn.IFNA(_xlpm.result, "")
)</f>
        <v/>
      </c>
      <c r="R282" t="str">
        <f>_xlfn.LET(
  _xlpm.result, _xlfn.XLOOKUP($B282, Result_Database!$A$2:$A$500, Result_Database!Q$2:Q$500),
  _xlfn.IFNA(_xlpm.result, "")
)</f>
        <v/>
      </c>
      <c r="S282" t="str">
        <f>_xlfn.LET(
  _xlpm.result, _xlfn.XLOOKUP($B282, Result_Database!$A$2:$A$500, Result_Database!R$2:R$500),
  _xlfn.IFNA(_xlpm.result, "")
)</f>
        <v/>
      </c>
      <c r="T282" t="str">
        <f>_xlfn.LET(
  _xlpm.result, _xlfn.XLOOKUP($B282, Result_Database!$A$2:$A$500, Result_Database!S$2:S$500),
  _xlfn.IFNA(_xlpm.result, "")
)</f>
        <v/>
      </c>
      <c r="U282" t="str">
        <f>_xlfn.LET(
  _xlpm.result, _xlfn.XLOOKUP($B282, Result_Database!$A$2:$A$500, Result_Database!T$2:T$500),
  _xlfn.IFNA(_xlpm.result, "")
)</f>
        <v/>
      </c>
      <c r="V282" t="str">
        <f>_xlfn.LET(
  _xlpm.result, _xlfn.XLOOKUP($B282, Result_Database!$A$2:$A$500, Result_Database!U$2:U$500),
  _xlfn.IFNA(_xlpm.result, "")
)</f>
        <v/>
      </c>
      <c r="W282" t="str">
        <f>_xlfn.LET(
  _xlpm.result, _xlfn.XLOOKUP($B282, Result_Database!$A$2:$A$500, Result_Database!V$2:V$500),
  _xlfn.IFNA(_xlpm.result, "")
)</f>
        <v/>
      </c>
      <c r="X282" t="str">
        <f>_xlfn.LET(
  _xlpm.result, _xlfn.XLOOKUP($B282, Result_Database!$A$2:$A$500, Result_Database!W$2:W$500),
  _xlfn.IFNA(_xlpm.result, "")
)</f>
        <v/>
      </c>
      <c r="Y282" t="str">
        <f>_xlfn.LET(
  _xlpm.result, _xlfn.XLOOKUP($B282, Result_Database!$A$2:$A$500, Result_Database!X$2:X$500),
  _xlfn.IFNA(_xlpm.result, "")
)</f>
        <v/>
      </c>
      <c r="Z282" t="str">
        <f>_xlfn.LET(
  _xlpm.result, _xlfn.XLOOKUP($B282, Result_Database!$A$2:$A$500, Result_Database!Y$2:Y$500),
  _xlfn.IFNA(_xlpm.result, "")
)</f>
        <v/>
      </c>
      <c r="AA282" t="str">
        <f>_xlfn.LET(
  _xlpm.result, _xlfn.XLOOKUP($B282, Result_Database!$A$2:$A$500, Result_Database!Z$2:Z$500),
  _xlfn.IFNA(_xlpm.result, "")
)</f>
        <v/>
      </c>
      <c r="AB282" t="str">
        <f>_xlfn.LET(
  _xlpm.result, _xlfn.XLOOKUP($B282, Result_Database!$A$2:$A$500, Result_Database!AA$2:AA$500),
  _xlfn.IFNA(_xlpm.result, "")
)</f>
        <v/>
      </c>
      <c r="AC282" t="str">
        <f>_xlfn.LET(
  _xlpm.result, _xlfn.XLOOKUP($B282, Result_Database!$A$2:$A$500, Result_Database!AB$2:AB$500),
  _xlfn.IFNA(_xlpm.result, "")
)</f>
        <v/>
      </c>
      <c r="AD282" t="str">
        <f>_xlfn.LET(
  _xlpm.result, _xlfn.XLOOKUP($B282, Result_Database!$A$2:$A$500, Result_Database!AC$2:AC$500),
  _xlfn.IFNA(_xlpm.result, "")
)</f>
        <v/>
      </c>
      <c r="AE282" t="str">
        <f>_xlfn.LET(
  _xlpm.result, _xlfn.XLOOKUP($B282, Result_Database!$A$2:$A$500, Result_Database!AD$2:AD$500),
  _xlfn.IFNA(_xlpm.result, "")
)</f>
        <v/>
      </c>
      <c r="AF282" t="str">
        <f>_xlfn.LET(
  _xlpm.result, _xlfn.XLOOKUP($B282, Result_Database!$A$2:$A$500, Result_Database!AE$2:AE$500),
  _xlfn.IFNA(_xlpm.result, "")
)</f>
        <v/>
      </c>
      <c r="AG282" t="str">
        <f>_xlfn.LET(
  _xlpm.result, _xlfn.XLOOKUP($B282, Result_Database!$A$2:$A$500, Result_Database!AF$2:AF$500),
  _xlfn.IFNA(_xlpm.result, "")
)</f>
        <v/>
      </c>
      <c r="AH282" t="str">
        <f>_xlfn.LET(
  _xlpm.result, _xlfn.XLOOKUP($B282, Result_Database!$A$2:$A$500, Result_Database!AG$2:AG$500),
  _xlfn.IFNA(_xlpm.result, "")
)</f>
        <v/>
      </c>
      <c r="AI282" t="str">
        <f>_xlfn.LET(
  _xlpm.result, _xlfn.XLOOKUP($B282, Result_Database!$A$2:$A$500, Result_Database!AH$2:AH$500),
  _xlfn.IFNA(_xlpm.result, "")
)</f>
        <v/>
      </c>
      <c r="AJ282" t="str">
        <f>_xlfn.LET(
  _xlpm.result, _xlfn.XLOOKUP($B282, Result_Database!$A$2:$A$500, Result_Database!AI$2:AI$500),
  _xlfn.IFNA(_xlpm.result, "")
)</f>
        <v/>
      </c>
      <c r="AK282" t="str">
        <f>_xlfn.LET(
  _xlpm.result, _xlfn.XLOOKUP($B282, Result_Database!$A$2:$A$500, Result_Database!AJ$2:AJ$500),
  _xlfn.IFNA(_xlpm.result, "")
)</f>
        <v/>
      </c>
      <c r="AL282" t="str">
        <f>_xlfn.LET(
  _xlpm.result, _xlfn.XLOOKUP($B282, Result_Database!$A$2:$A$500, Result_Database!AK$2:AK$500),
  _xlfn.IFNA(_xlpm.result, "")
)</f>
        <v/>
      </c>
      <c r="AM28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8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8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8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8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8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8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8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8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82" t="str">
        <f>IF(SUM(Table5[[#This Row],[A1]:[C6]])&lt;&gt;0,SUM(Table5[[#This Row],[A1]:[C6]]),"")</f>
        <v/>
      </c>
      <c r="AW282" t="str">
        <f>IF(SUM(Table5[[#This Row],[D7]:[F9]])=0,"",SUM(Table5[[#This Row],[D7]:[F9]]))</f>
        <v/>
      </c>
      <c r="AX28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8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8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8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8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8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82" t="str">
        <f>IF(COUNTIF(Table5[[#This Row],[English Language]:[Electrical/ Electronics]],"WITHHELD")=0,"",COUNTIF(Table5[[#This Row],[English Language]:[Electrical/ Electronics]],"WITHHELD"))</f>
        <v/>
      </c>
      <c r="BE282" t="str">
        <f>IF(SUM(Table5[[#This Row],[NO OF CREDITS]:[BELOW CREDITS]])=0,"",SUM(Table5[[#This Row],[NO OF CREDITS]:[BELOW CREDITS]]))</f>
        <v/>
      </c>
    </row>
    <row r="283" spans="1:57" x14ac:dyDescent="0.3">
      <c r="A283" t="str">
        <f>IF(B283&lt;&gt;"",COUNTA($B$6:B283),"")</f>
        <v/>
      </c>
      <c r="B283" t="str">
        <f>IF(Result_Database!A279="","",Result_Database!A279)</f>
        <v/>
      </c>
      <c r="C283" t="str">
        <f>_xlfn.LET(
_xlpm.result,_xlfn.XLOOKUP($B283,Result_Database!$A$2:$A$500,Result_Database!$B$2:$B$500),
_xlfn.IFNA(_xlpm.result,"")
)</f>
        <v/>
      </c>
      <c r="D283" t="str">
        <f>_xlfn.LET(
  _xlpm.result, _xlfn.XLOOKUP($B283, Result_Database!$A$2:$A$500, Result_Database!C$2:C$500),
  _xlfn.IFNA(_xlpm.result, "")
)</f>
        <v/>
      </c>
      <c r="E283" t="str">
        <f>_xlfn.LET(
  _xlpm.result, _xlfn.XLOOKUP($B283, Result_Database!$A$2:$A$500, Result_Database!D$2:D$500),
  _xlfn.IFNA(_xlpm.result, "")
)</f>
        <v/>
      </c>
      <c r="F283" t="str">
        <f>_xlfn.LET(
  _xlpm.result, _xlfn.XLOOKUP($B283, Result_Database!$A$2:$A$500, Result_Database!E$2:E$500),
  _xlfn.IFNA(_xlpm.result, "")
)</f>
        <v/>
      </c>
      <c r="G283" t="str">
        <f>_xlfn.LET(
  _xlpm.result, _xlfn.XLOOKUP($B283, Result_Database!$A$2:$A$500, Result_Database!F$2:F$500),
  _xlfn.IFNA(_xlpm.result, "")
)</f>
        <v/>
      </c>
      <c r="H283" t="str">
        <f>_xlfn.LET(
  _xlpm.result, _xlfn.XLOOKUP($B283, Result_Database!$A$2:$A$500, Result_Database!G$2:G$500),
  _xlfn.IFNA(_xlpm.result, "")
)</f>
        <v/>
      </c>
      <c r="I283" t="str">
        <f>_xlfn.LET(
  _xlpm.result, _xlfn.XLOOKUP($B283, Result_Database!$A$2:$A$500, Result_Database!H$2:H$500),
  _xlfn.IFNA(_xlpm.result, "")
)</f>
        <v/>
      </c>
      <c r="J283" t="str">
        <f>_xlfn.LET(
  _xlpm.result, _xlfn.XLOOKUP($B283, Result_Database!$A$2:$A$500, Result_Database!I$2:I$500),
  _xlfn.IFNA(_xlpm.result, "")
)</f>
        <v/>
      </c>
      <c r="K283" t="str">
        <f>_xlfn.LET(
  _xlpm.result, _xlfn.XLOOKUP($B283, Result_Database!$A$2:$A$500, Result_Database!J$2:J$500),
  _xlfn.IFNA(_xlpm.result, "")
)</f>
        <v/>
      </c>
      <c r="L283" t="str">
        <f>_xlfn.LET(
  _xlpm.result, _xlfn.XLOOKUP($B283, Result_Database!$A$2:$A$500, Result_Database!K$2:K$500),
  _xlfn.IFNA(_xlpm.result, "")
)</f>
        <v/>
      </c>
      <c r="M283" t="str">
        <f>_xlfn.LET(
  _xlpm.result, _xlfn.XLOOKUP($B283, Result_Database!$A$2:$A$500, Result_Database!L$2:L$500),
  _xlfn.IFNA(_xlpm.result, "")
)</f>
        <v/>
      </c>
      <c r="N283" t="str">
        <f>_xlfn.LET(
  _xlpm.result, _xlfn.XLOOKUP($B283, Result_Database!$A$2:$A$500, Result_Database!M$2:M$500),
  _xlfn.IFNA(_xlpm.result, "")
)</f>
        <v/>
      </c>
      <c r="O283" t="str">
        <f>_xlfn.LET(
  _xlpm.result, _xlfn.XLOOKUP($B283, Result_Database!$A$2:$A$500, Result_Database!N$2:N$500),
  _xlfn.IFNA(_xlpm.result, "")
)</f>
        <v/>
      </c>
      <c r="P283" t="str">
        <f>_xlfn.LET(
  _xlpm.result, _xlfn.XLOOKUP($B283, Result_Database!$A$2:$A$500, Result_Database!O$2:O$500),
  _xlfn.IFNA(_xlpm.result, "")
)</f>
        <v/>
      </c>
      <c r="Q283" t="str">
        <f>_xlfn.LET(
  _xlpm.result, _xlfn.XLOOKUP($B283, Result_Database!$A$2:$A$500, Result_Database!P$2:P$500),
  _xlfn.IFNA(_xlpm.result, "")
)</f>
        <v/>
      </c>
      <c r="R283" t="str">
        <f>_xlfn.LET(
  _xlpm.result, _xlfn.XLOOKUP($B283, Result_Database!$A$2:$A$500, Result_Database!Q$2:Q$500),
  _xlfn.IFNA(_xlpm.result, "")
)</f>
        <v/>
      </c>
      <c r="S283" t="str">
        <f>_xlfn.LET(
  _xlpm.result, _xlfn.XLOOKUP($B283, Result_Database!$A$2:$A$500, Result_Database!R$2:R$500),
  _xlfn.IFNA(_xlpm.result, "")
)</f>
        <v/>
      </c>
      <c r="T283" t="str">
        <f>_xlfn.LET(
  _xlpm.result, _xlfn.XLOOKUP($B283, Result_Database!$A$2:$A$500, Result_Database!S$2:S$500),
  _xlfn.IFNA(_xlpm.result, "")
)</f>
        <v/>
      </c>
      <c r="U283" t="str">
        <f>_xlfn.LET(
  _xlpm.result, _xlfn.XLOOKUP($B283, Result_Database!$A$2:$A$500, Result_Database!T$2:T$500),
  _xlfn.IFNA(_xlpm.result, "")
)</f>
        <v/>
      </c>
      <c r="V283" t="str">
        <f>_xlfn.LET(
  _xlpm.result, _xlfn.XLOOKUP($B283, Result_Database!$A$2:$A$500, Result_Database!U$2:U$500),
  _xlfn.IFNA(_xlpm.result, "")
)</f>
        <v/>
      </c>
      <c r="W283" t="str">
        <f>_xlfn.LET(
  _xlpm.result, _xlfn.XLOOKUP($B283, Result_Database!$A$2:$A$500, Result_Database!V$2:V$500),
  _xlfn.IFNA(_xlpm.result, "")
)</f>
        <v/>
      </c>
      <c r="X283" t="str">
        <f>_xlfn.LET(
  _xlpm.result, _xlfn.XLOOKUP($B283, Result_Database!$A$2:$A$500, Result_Database!W$2:W$500),
  _xlfn.IFNA(_xlpm.result, "")
)</f>
        <v/>
      </c>
      <c r="Y283" t="str">
        <f>_xlfn.LET(
  _xlpm.result, _xlfn.XLOOKUP($B283, Result_Database!$A$2:$A$500, Result_Database!X$2:X$500),
  _xlfn.IFNA(_xlpm.result, "")
)</f>
        <v/>
      </c>
      <c r="Z283" t="str">
        <f>_xlfn.LET(
  _xlpm.result, _xlfn.XLOOKUP($B283, Result_Database!$A$2:$A$500, Result_Database!Y$2:Y$500),
  _xlfn.IFNA(_xlpm.result, "")
)</f>
        <v/>
      </c>
      <c r="AA283" t="str">
        <f>_xlfn.LET(
  _xlpm.result, _xlfn.XLOOKUP($B283, Result_Database!$A$2:$A$500, Result_Database!Z$2:Z$500),
  _xlfn.IFNA(_xlpm.result, "")
)</f>
        <v/>
      </c>
      <c r="AB283" t="str">
        <f>_xlfn.LET(
  _xlpm.result, _xlfn.XLOOKUP($B283, Result_Database!$A$2:$A$500, Result_Database!AA$2:AA$500),
  _xlfn.IFNA(_xlpm.result, "")
)</f>
        <v/>
      </c>
      <c r="AC283" t="str">
        <f>_xlfn.LET(
  _xlpm.result, _xlfn.XLOOKUP($B283, Result_Database!$A$2:$A$500, Result_Database!AB$2:AB$500),
  _xlfn.IFNA(_xlpm.result, "")
)</f>
        <v/>
      </c>
      <c r="AD283" t="str">
        <f>_xlfn.LET(
  _xlpm.result, _xlfn.XLOOKUP($B283, Result_Database!$A$2:$A$500, Result_Database!AC$2:AC$500),
  _xlfn.IFNA(_xlpm.result, "")
)</f>
        <v/>
      </c>
      <c r="AE283" t="str">
        <f>_xlfn.LET(
  _xlpm.result, _xlfn.XLOOKUP($B283, Result_Database!$A$2:$A$500, Result_Database!AD$2:AD$500),
  _xlfn.IFNA(_xlpm.result, "")
)</f>
        <v/>
      </c>
      <c r="AF283" t="str">
        <f>_xlfn.LET(
  _xlpm.result, _xlfn.XLOOKUP($B283, Result_Database!$A$2:$A$500, Result_Database!AE$2:AE$500),
  _xlfn.IFNA(_xlpm.result, "")
)</f>
        <v/>
      </c>
      <c r="AG283" t="str">
        <f>_xlfn.LET(
  _xlpm.result, _xlfn.XLOOKUP($B283, Result_Database!$A$2:$A$500, Result_Database!AF$2:AF$500),
  _xlfn.IFNA(_xlpm.result, "")
)</f>
        <v/>
      </c>
      <c r="AH283" t="str">
        <f>_xlfn.LET(
  _xlpm.result, _xlfn.XLOOKUP($B283, Result_Database!$A$2:$A$500, Result_Database!AG$2:AG$500),
  _xlfn.IFNA(_xlpm.result, "")
)</f>
        <v/>
      </c>
      <c r="AI283" t="str">
        <f>_xlfn.LET(
  _xlpm.result, _xlfn.XLOOKUP($B283, Result_Database!$A$2:$A$500, Result_Database!AH$2:AH$500),
  _xlfn.IFNA(_xlpm.result, "")
)</f>
        <v/>
      </c>
      <c r="AJ283" t="str">
        <f>_xlfn.LET(
  _xlpm.result, _xlfn.XLOOKUP($B283, Result_Database!$A$2:$A$500, Result_Database!AI$2:AI$500),
  _xlfn.IFNA(_xlpm.result, "")
)</f>
        <v/>
      </c>
      <c r="AK283" t="str">
        <f>_xlfn.LET(
  _xlpm.result, _xlfn.XLOOKUP($B283, Result_Database!$A$2:$A$500, Result_Database!AJ$2:AJ$500),
  _xlfn.IFNA(_xlpm.result, "")
)</f>
        <v/>
      </c>
      <c r="AL283" t="str">
        <f>_xlfn.LET(
  _xlpm.result, _xlfn.XLOOKUP($B283, Result_Database!$A$2:$A$500, Result_Database!AK$2:AK$500),
  _xlfn.IFNA(_xlpm.result, "")
)</f>
        <v/>
      </c>
      <c r="AM28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8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8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8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8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8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8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8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8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83" t="str">
        <f>IF(SUM(Table5[[#This Row],[A1]:[C6]])&lt;&gt;0,SUM(Table5[[#This Row],[A1]:[C6]]),"")</f>
        <v/>
      </c>
      <c r="AW283" t="str">
        <f>IF(SUM(Table5[[#This Row],[D7]:[F9]])=0,"",SUM(Table5[[#This Row],[D7]:[F9]]))</f>
        <v/>
      </c>
      <c r="AX28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8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8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8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8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8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83" t="str">
        <f>IF(COUNTIF(Table5[[#This Row],[English Language]:[Electrical/ Electronics]],"WITHHELD")=0,"",COUNTIF(Table5[[#This Row],[English Language]:[Electrical/ Electronics]],"WITHHELD"))</f>
        <v/>
      </c>
      <c r="BE283" t="str">
        <f>IF(SUM(Table5[[#This Row],[NO OF CREDITS]:[BELOW CREDITS]])=0,"",SUM(Table5[[#This Row],[NO OF CREDITS]:[BELOW CREDITS]]))</f>
        <v/>
      </c>
    </row>
    <row r="284" spans="1:57" x14ac:dyDescent="0.3">
      <c r="A284" t="str">
        <f>IF(B284&lt;&gt;"",COUNTA($B$6:B284),"")</f>
        <v/>
      </c>
      <c r="B284" t="str">
        <f>IF(Result_Database!A280="","",Result_Database!A280)</f>
        <v/>
      </c>
      <c r="C284" t="str">
        <f>_xlfn.LET(
_xlpm.result,_xlfn.XLOOKUP($B284,Result_Database!$A$2:$A$500,Result_Database!$B$2:$B$500),
_xlfn.IFNA(_xlpm.result,"")
)</f>
        <v/>
      </c>
      <c r="D284" t="str">
        <f>_xlfn.LET(
  _xlpm.result, _xlfn.XLOOKUP($B284, Result_Database!$A$2:$A$500, Result_Database!C$2:C$500),
  _xlfn.IFNA(_xlpm.result, "")
)</f>
        <v/>
      </c>
      <c r="E284" t="str">
        <f>_xlfn.LET(
  _xlpm.result, _xlfn.XLOOKUP($B284, Result_Database!$A$2:$A$500, Result_Database!D$2:D$500),
  _xlfn.IFNA(_xlpm.result, "")
)</f>
        <v/>
      </c>
      <c r="F284" t="str">
        <f>_xlfn.LET(
  _xlpm.result, _xlfn.XLOOKUP($B284, Result_Database!$A$2:$A$500, Result_Database!E$2:E$500),
  _xlfn.IFNA(_xlpm.result, "")
)</f>
        <v/>
      </c>
      <c r="G284" t="str">
        <f>_xlfn.LET(
  _xlpm.result, _xlfn.XLOOKUP($B284, Result_Database!$A$2:$A$500, Result_Database!F$2:F$500),
  _xlfn.IFNA(_xlpm.result, "")
)</f>
        <v/>
      </c>
      <c r="H284" t="str">
        <f>_xlfn.LET(
  _xlpm.result, _xlfn.XLOOKUP($B284, Result_Database!$A$2:$A$500, Result_Database!G$2:G$500),
  _xlfn.IFNA(_xlpm.result, "")
)</f>
        <v/>
      </c>
      <c r="I284" t="str">
        <f>_xlfn.LET(
  _xlpm.result, _xlfn.XLOOKUP($B284, Result_Database!$A$2:$A$500, Result_Database!H$2:H$500),
  _xlfn.IFNA(_xlpm.result, "")
)</f>
        <v/>
      </c>
      <c r="J284" t="str">
        <f>_xlfn.LET(
  _xlpm.result, _xlfn.XLOOKUP($B284, Result_Database!$A$2:$A$500, Result_Database!I$2:I$500),
  _xlfn.IFNA(_xlpm.result, "")
)</f>
        <v/>
      </c>
      <c r="K284" t="str">
        <f>_xlfn.LET(
  _xlpm.result, _xlfn.XLOOKUP($B284, Result_Database!$A$2:$A$500, Result_Database!J$2:J$500),
  _xlfn.IFNA(_xlpm.result, "")
)</f>
        <v/>
      </c>
      <c r="L284" t="str">
        <f>_xlfn.LET(
  _xlpm.result, _xlfn.XLOOKUP($B284, Result_Database!$A$2:$A$500, Result_Database!K$2:K$500),
  _xlfn.IFNA(_xlpm.result, "")
)</f>
        <v/>
      </c>
      <c r="M284" t="str">
        <f>_xlfn.LET(
  _xlpm.result, _xlfn.XLOOKUP($B284, Result_Database!$A$2:$A$500, Result_Database!L$2:L$500),
  _xlfn.IFNA(_xlpm.result, "")
)</f>
        <v/>
      </c>
      <c r="N284" t="str">
        <f>_xlfn.LET(
  _xlpm.result, _xlfn.XLOOKUP($B284, Result_Database!$A$2:$A$500, Result_Database!M$2:M$500),
  _xlfn.IFNA(_xlpm.result, "")
)</f>
        <v/>
      </c>
      <c r="O284" t="str">
        <f>_xlfn.LET(
  _xlpm.result, _xlfn.XLOOKUP($B284, Result_Database!$A$2:$A$500, Result_Database!N$2:N$500),
  _xlfn.IFNA(_xlpm.result, "")
)</f>
        <v/>
      </c>
      <c r="P284" t="str">
        <f>_xlfn.LET(
  _xlpm.result, _xlfn.XLOOKUP($B284, Result_Database!$A$2:$A$500, Result_Database!O$2:O$500),
  _xlfn.IFNA(_xlpm.result, "")
)</f>
        <v/>
      </c>
      <c r="Q284" t="str">
        <f>_xlfn.LET(
  _xlpm.result, _xlfn.XLOOKUP($B284, Result_Database!$A$2:$A$500, Result_Database!P$2:P$500),
  _xlfn.IFNA(_xlpm.result, "")
)</f>
        <v/>
      </c>
      <c r="R284" t="str">
        <f>_xlfn.LET(
  _xlpm.result, _xlfn.XLOOKUP($B284, Result_Database!$A$2:$A$500, Result_Database!Q$2:Q$500),
  _xlfn.IFNA(_xlpm.result, "")
)</f>
        <v/>
      </c>
      <c r="S284" t="str">
        <f>_xlfn.LET(
  _xlpm.result, _xlfn.XLOOKUP($B284, Result_Database!$A$2:$A$500, Result_Database!R$2:R$500),
  _xlfn.IFNA(_xlpm.result, "")
)</f>
        <v/>
      </c>
      <c r="T284" t="str">
        <f>_xlfn.LET(
  _xlpm.result, _xlfn.XLOOKUP($B284, Result_Database!$A$2:$A$500, Result_Database!S$2:S$500),
  _xlfn.IFNA(_xlpm.result, "")
)</f>
        <v/>
      </c>
      <c r="U284" t="str">
        <f>_xlfn.LET(
  _xlpm.result, _xlfn.XLOOKUP($B284, Result_Database!$A$2:$A$500, Result_Database!T$2:T$500),
  _xlfn.IFNA(_xlpm.result, "")
)</f>
        <v/>
      </c>
      <c r="V284" t="str">
        <f>_xlfn.LET(
  _xlpm.result, _xlfn.XLOOKUP($B284, Result_Database!$A$2:$A$500, Result_Database!U$2:U$500),
  _xlfn.IFNA(_xlpm.result, "")
)</f>
        <v/>
      </c>
      <c r="W284" t="str">
        <f>_xlfn.LET(
  _xlpm.result, _xlfn.XLOOKUP($B284, Result_Database!$A$2:$A$500, Result_Database!V$2:V$500),
  _xlfn.IFNA(_xlpm.result, "")
)</f>
        <v/>
      </c>
      <c r="X284" t="str">
        <f>_xlfn.LET(
  _xlpm.result, _xlfn.XLOOKUP($B284, Result_Database!$A$2:$A$500, Result_Database!W$2:W$500),
  _xlfn.IFNA(_xlpm.result, "")
)</f>
        <v/>
      </c>
      <c r="Y284" t="str">
        <f>_xlfn.LET(
  _xlpm.result, _xlfn.XLOOKUP($B284, Result_Database!$A$2:$A$500, Result_Database!X$2:X$500),
  _xlfn.IFNA(_xlpm.result, "")
)</f>
        <v/>
      </c>
      <c r="Z284" t="str">
        <f>_xlfn.LET(
  _xlpm.result, _xlfn.XLOOKUP($B284, Result_Database!$A$2:$A$500, Result_Database!Y$2:Y$500),
  _xlfn.IFNA(_xlpm.result, "")
)</f>
        <v/>
      </c>
      <c r="AA284" t="str">
        <f>_xlfn.LET(
  _xlpm.result, _xlfn.XLOOKUP($B284, Result_Database!$A$2:$A$500, Result_Database!Z$2:Z$500),
  _xlfn.IFNA(_xlpm.result, "")
)</f>
        <v/>
      </c>
      <c r="AB284" t="str">
        <f>_xlfn.LET(
  _xlpm.result, _xlfn.XLOOKUP($B284, Result_Database!$A$2:$A$500, Result_Database!AA$2:AA$500),
  _xlfn.IFNA(_xlpm.result, "")
)</f>
        <v/>
      </c>
      <c r="AC284" t="str">
        <f>_xlfn.LET(
  _xlpm.result, _xlfn.XLOOKUP($B284, Result_Database!$A$2:$A$500, Result_Database!AB$2:AB$500),
  _xlfn.IFNA(_xlpm.result, "")
)</f>
        <v/>
      </c>
      <c r="AD284" t="str">
        <f>_xlfn.LET(
  _xlpm.result, _xlfn.XLOOKUP($B284, Result_Database!$A$2:$A$500, Result_Database!AC$2:AC$500),
  _xlfn.IFNA(_xlpm.result, "")
)</f>
        <v/>
      </c>
      <c r="AE284" t="str">
        <f>_xlfn.LET(
  _xlpm.result, _xlfn.XLOOKUP($B284, Result_Database!$A$2:$A$500, Result_Database!AD$2:AD$500),
  _xlfn.IFNA(_xlpm.result, "")
)</f>
        <v/>
      </c>
      <c r="AF284" t="str">
        <f>_xlfn.LET(
  _xlpm.result, _xlfn.XLOOKUP($B284, Result_Database!$A$2:$A$500, Result_Database!AE$2:AE$500),
  _xlfn.IFNA(_xlpm.result, "")
)</f>
        <v/>
      </c>
      <c r="AG284" t="str">
        <f>_xlfn.LET(
  _xlpm.result, _xlfn.XLOOKUP($B284, Result_Database!$A$2:$A$500, Result_Database!AF$2:AF$500),
  _xlfn.IFNA(_xlpm.result, "")
)</f>
        <v/>
      </c>
      <c r="AH284" t="str">
        <f>_xlfn.LET(
  _xlpm.result, _xlfn.XLOOKUP($B284, Result_Database!$A$2:$A$500, Result_Database!AG$2:AG$500),
  _xlfn.IFNA(_xlpm.result, "")
)</f>
        <v/>
      </c>
      <c r="AI284" t="str">
        <f>_xlfn.LET(
  _xlpm.result, _xlfn.XLOOKUP($B284, Result_Database!$A$2:$A$500, Result_Database!AH$2:AH$500),
  _xlfn.IFNA(_xlpm.result, "")
)</f>
        <v/>
      </c>
      <c r="AJ284" t="str">
        <f>_xlfn.LET(
  _xlpm.result, _xlfn.XLOOKUP($B284, Result_Database!$A$2:$A$500, Result_Database!AI$2:AI$500),
  _xlfn.IFNA(_xlpm.result, "")
)</f>
        <v/>
      </c>
      <c r="AK284" t="str">
        <f>_xlfn.LET(
  _xlpm.result, _xlfn.XLOOKUP($B284, Result_Database!$A$2:$A$500, Result_Database!AJ$2:AJ$500),
  _xlfn.IFNA(_xlpm.result, "")
)</f>
        <v/>
      </c>
      <c r="AL284" t="str">
        <f>_xlfn.LET(
  _xlpm.result, _xlfn.XLOOKUP($B284, Result_Database!$A$2:$A$500, Result_Database!AK$2:AK$500),
  _xlfn.IFNA(_xlpm.result, "")
)</f>
        <v/>
      </c>
      <c r="AM28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8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8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8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8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8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8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8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8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84" t="str">
        <f>IF(SUM(Table5[[#This Row],[A1]:[C6]])&lt;&gt;0,SUM(Table5[[#This Row],[A1]:[C6]]),"")</f>
        <v/>
      </c>
      <c r="AW284" t="str">
        <f>IF(SUM(Table5[[#This Row],[D7]:[F9]])=0,"",SUM(Table5[[#This Row],[D7]:[F9]]))</f>
        <v/>
      </c>
      <c r="AX28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8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8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8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8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8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84" t="str">
        <f>IF(COUNTIF(Table5[[#This Row],[English Language]:[Electrical/ Electronics]],"WITHHELD")=0,"",COUNTIF(Table5[[#This Row],[English Language]:[Electrical/ Electronics]],"WITHHELD"))</f>
        <v/>
      </c>
      <c r="BE284" t="str">
        <f>IF(SUM(Table5[[#This Row],[NO OF CREDITS]:[BELOW CREDITS]])=0,"",SUM(Table5[[#This Row],[NO OF CREDITS]:[BELOW CREDITS]]))</f>
        <v/>
      </c>
    </row>
    <row r="285" spans="1:57" x14ac:dyDescent="0.3">
      <c r="A285" t="str">
        <f>IF(B285&lt;&gt;"",COUNTA($B$6:B285),"")</f>
        <v/>
      </c>
      <c r="B285" t="str">
        <f>IF(Result_Database!A281="","",Result_Database!A281)</f>
        <v/>
      </c>
      <c r="C285" t="str">
        <f>_xlfn.LET(
_xlpm.result,_xlfn.XLOOKUP($B285,Result_Database!$A$2:$A$500,Result_Database!$B$2:$B$500),
_xlfn.IFNA(_xlpm.result,"")
)</f>
        <v/>
      </c>
      <c r="D285" t="str">
        <f>_xlfn.LET(
  _xlpm.result, _xlfn.XLOOKUP($B285, Result_Database!$A$2:$A$500, Result_Database!C$2:C$500),
  _xlfn.IFNA(_xlpm.result, "")
)</f>
        <v/>
      </c>
      <c r="E285" t="str">
        <f>_xlfn.LET(
  _xlpm.result, _xlfn.XLOOKUP($B285, Result_Database!$A$2:$A$500, Result_Database!D$2:D$500),
  _xlfn.IFNA(_xlpm.result, "")
)</f>
        <v/>
      </c>
      <c r="F285" t="str">
        <f>_xlfn.LET(
  _xlpm.result, _xlfn.XLOOKUP($B285, Result_Database!$A$2:$A$500, Result_Database!E$2:E$500),
  _xlfn.IFNA(_xlpm.result, "")
)</f>
        <v/>
      </c>
      <c r="G285" t="str">
        <f>_xlfn.LET(
  _xlpm.result, _xlfn.XLOOKUP($B285, Result_Database!$A$2:$A$500, Result_Database!F$2:F$500),
  _xlfn.IFNA(_xlpm.result, "")
)</f>
        <v/>
      </c>
      <c r="H285" t="str">
        <f>_xlfn.LET(
  _xlpm.result, _xlfn.XLOOKUP($B285, Result_Database!$A$2:$A$500, Result_Database!G$2:G$500),
  _xlfn.IFNA(_xlpm.result, "")
)</f>
        <v/>
      </c>
      <c r="I285" t="str">
        <f>_xlfn.LET(
  _xlpm.result, _xlfn.XLOOKUP($B285, Result_Database!$A$2:$A$500, Result_Database!H$2:H$500),
  _xlfn.IFNA(_xlpm.result, "")
)</f>
        <v/>
      </c>
      <c r="J285" t="str">
        <f>_xlfn.LET(
  _xlpm.result, _xlfn.XLOOKUP($B285, Result_Database!$A$2:$A$500, Result_Database!I$2:I$500),
  _xlfn.IFNA(_xlpm.result, "")
)</f>
        <v/>
      </c>
      <c r="K285" t="str">
        <f>_xlfn.LET(
  _xlpm.result, _xlfn.XLOOKUP($B285, Result_Database!$A$2:$A$500, Result_Database!J$2:J$500),
  _xlfn.IFNA(_xlpm.result, "")
)</f>
        <v/>
      </c>
      <c r="L285" t="str">
        <f>_xlfn.LET(
  _xlpm.result, _xlfn.XLOOKUP($B285, Result_Database!$A$2:$A$500, Result_Database!K$2:K$500),
  _xlfn.IFNA(_xlpm.result, "")
)</f>
        <v/>
      </c>
      <c r="M285" t="str">
        <f>_xlfn.LET(
  _xlpm.result, _xlfn.XLOOKUP($B285, Result_Database!$A$2:$A$500, Result_Database!L$2:L$500),
  _xlfn.IFNA(_xlpm.result, "")
)</f>
        <v/>
      </c>
      <c r="N285" t="str">
        <f>_xlfn.LET(
  _xlpm.result, _xlfn.XLOOKUP($B285, Result_Database!$A$2:$A$500, Result_Database!M$2:M$500),
  _xlfn.IFNA(_xlpm.result, "")
)</f>
        <v/>
      </c>
      <c r="O285" t="str">
        <f>_xlfn.LET(
  _xlpm.result, _xlfn.XLOOKUP($B285, Result_Database!$A$2:$A$500, Result_Database!N$2:N$500),
  _xlfn.IFNA(_xlpm.result, "")
)</f>
        <v/>
      </c>
      <c r="P285" t="str">
        <f>_xlfn.LET(
  _xlpm.result, _xlfn.XLOOKUP($B285, Result_Database!$A$2:$A$500, Result_Database!O$2:O$500),
  _xlfn.IFNA(_xlpm.result, "")
)</f>
        <v/>
      </c>
      <c r="Q285" t="str">
        <f>_xlfn.LET(
  _xlpm.result, _xlfn.XLOOKUP($B285, Result_Database!$A$2:$A$500, Result_Database!P$2:P$500),
  _xlfn.IFNA(_xlpm.result, "")
)</f>
        <v/>
      </c>
      <c r="R285" t="str">
        <f>_xlfn.LET(
  _xlpm.result, _xlfn.XLOOKUP($B285, Result_Database!$A$2:$A$500, Result_Database!Q$2:Q$500),
  _xlfn.IFNA(_xlpm.result, "")
)</f>
        <v/>
      </c>
      <c r="S285" t="str">
        <f>_xlfn.LET(
  _xlpm.result, _xlfn.XLOOKUP($B285, Result_Database!$A$2:$A$500, Result_Database!R$2:R$500),
  _xlfn.IFNA(_xlpm.result, "")
)</f>
        <v/>
      </c>
      <c r="T285" t="str">
        <f>_xlfn.LET(
  _xlpm.result, _xlfn.XLOOKUP($B285, Result_Database!$A$2:$A$500, Result_Database!S$2:S$500),
  _xlfn.IFNA(_xlpm.result, "")
)</f>
        <v/>
      </c>
      <c r="U285" t="str">
        <f>_xlfn.LET(
  _xlpm.result, _xlfn.XLOOKUP($B285, Result_Database!$A$2:$A$500, Result_Database!T$2:T$500),
  _xlfn.IFNA(_xlpm.result, "")
)</f>
        <v/>
      </c>
      <c r="V285" t="str">
        <f>_xlfn.LET(
  _xlpm.result, _xlfn.XLOOKUP($B285, Result_Database!$A$2:$A$500, Result_Database!U$2:U$500),
  _xlfn.IFNA(_xlpm.result, "")
)</f>
        <v/>
      </c>
      <c r="W285" t="str">
        <f>_xlfn.LET(
  _xlpm.result, _xlfn.XLOOKUP($B285, Result_Database!$A$2:$A$500, Result_Database!V$2:V$500),
  _xlfn.IFNA(_xlpm.result, "")
)</f>
        <v/>
      </c>
      <c r="X285" t="str">
        <f>_xlfn.LET(
  _xlpm.result, _xlfn.XLOOKUP($B285, Result_Database!$A$2:$A$500, Result_Database!W$2:W$500),
  _xlfn.IFNA(_xlpm.result, "")
)</f>
        <v/>
      </c>
      <c r="Y285" t="str">
        <f>_xlfn.LET(
  _xlpm.result, _xlfn.XLOOKUP($B285, Result_Database!$A$2:$A$500, Result_Database!X$2:X$500),
  _xlfn.IFNA(_xlpm.result, "")
)</f>
        <v/>
      </c>
      <c r="Z285" t="str">
        <f>_xlfn.LET(
  _xlpm.result, _xlfn.XLOOKUP($B285, Result_Database!$A$2:$A$500, Result_Database!Y$2:Y$500),
  _xlfn.IFNA(_xlpm.result, "")
)</f>
        <v/>
      </c>
      <c r="AA285" t="str">
        <f>_xlfn.LET(
  _xlpm.result, _xlfn.XLOOKUP($B285, Result_Database!$A$2:$A$500, Result_Database!Z$2:Z$500),
  _xlfn.IFNA(_xlpm.result, "")
)</f>
        <v/>
      </c>
      <c r="AB285" t="str">
        <f>_xlfn.LET(
  _xlpm.result, _xlfn.XLOOKUP($B285, Result_Database!$A$2:$A$500, Result_Database!AA$2:AA$500),
  _xlfn.IFNA(_xlpm.result, "")
)</f>
        <v/>
      </c>
      <c r="AC285" t="str">
        <f>_xlfn.LET(
  _xlpm.result, _xlfn.XLOOKUP($B285, Result_Database!$A$2:$A$500, Result_Database!AB$2:AB$500),
  _xlfn.IFNA(_xlpm.result, "")
)</f>
        <v/>
      </c>
      <c r="AD285" t="str">
        <f>_xlfn.LET(
  _xlpm.result, _xlfn.XLOOKUP($B285, Result_Database!$A$2:$A$500, Result_Database!AC$2:AC$500),
  _xlfn.IFNA(_xlpm.result, "")
)</f>
        <v/>
      </c>
      <c r="AE285" t="str">
        <f>_xlfn.LET(
  _xlpm.result, _xlfn.XLOOKUP($B285, Result_Database!$A$2:$A$500, Result_Database!AD$2:AD$500),
  _xlfn.IFNA(_xlpm.result, "")
)</f>
        <v/>
      </c>
      <c r="AF285" t="str">
        <f>_xlfn.LET(
  _xlpm.result, _xlfn.XLOOKUP($B285, Result_Database!$A$2:$A$500, Result_Database!AE$2:AE$500),
  _xlfn.IFNA(_xlpm.result, "")
)</f>
        <v/>
      </c>
      <c r="AG285" t="str">
        <f>_xlfn.LET(
  _xlpm.result, _xlfn.XLOOKUP($B285, Result_Database!$A$2:$A$500, Result_Database!AF$2:AF$500),
  _xlfn.IFNA(_xlpm.result, "")
)</f>
        <v/>
      </c>
      <c r="AH285" t="str">
        <f>_xlfn.LET(
  _xlpm.result, _xlfn.XLOOKUP($B285, Result_Database!$A$2:$A$500, Result_Database!AG$2:AG$500),
  _xlfn.IFNA(_xlpm.result, "")
)</f>
        <v/>
      </c>
      <c r="AI285" t="str">
        <f>_xlfn.LET(
  _xlpm.result, _xlfn.XLOOKUP($B285, Result_Database!$A$2:$A$500, Result_Database!AH$2:AH$500),
  _xlfn.IFNA(_xlpm.result, "")
)</f>
        <v/>
      </c>
      <c r="AJ285" t="str">
        <f>_xlfn.LET(
  _xlpm.result, _xlfn.XLOOKUP($B285, Result_Database!$A$2:$A$500, Result_Database!AI$2:AI$500),
  _xlfn.IFNA(_xlpm.result, "")
)</f>
        <v/>
      </c>
      <c r="AK285" t="str">
        <f>_xlfn.LET(
  _xlpm.result, _xlfn.XLOOKUP($B285, Result_Database!$A$2:$A$500, Result_Database!AJ$2:AJ$500),
  _xlfn.IFNA(_xlpm.result, "")
)</f>
        <v/>
      </c>
      <c r="AL285" t="str">
        <f>_xlfn.LET(
  _xlpm.result, _xlfn.XLOOKUP($B285, Result_Database!$A$2:$A$500, Result_Database!AK$2:AK$500),
  _xlfn.IFNA(_xlpm.result, "")
)</f>
        <v/>
      </c>
      <c r="AM28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8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8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8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8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8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8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8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8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85" t="str">
        <f>IF(SUM(Table5[[#This Row],[A1]:[C6]])&lt;&gt;0,SUM(Table5[[#This Row],[A1]:[C6]]),"")</f>
        <v/>
      </c>
      <c r="AW285" t="str">
        <f>IF(SUM(Table5[[#This Row],[D7]:[F9]])=0,"",SUM(Table5[[#This Row],[D7]:[F9]]))</f>
        <v/>
      </c>
      <c r="AX28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8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8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8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8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8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85" t="str">
        <f>IF(COUNTIF(Table5[[#This Row],[English Language]:[Electrical/ Electronics]],"WITHHELD")=0,"",COUNTIF(Table5[[#This Row],[English Language]:[Electrical/ Electronics]],"WITHHELD"))</f>
        <v/>
      </c>
      <c r="BE285" t="str">
        <f>IF(SUM(Table5[[#This Row],[NO OF CREDITS]:[BELOW CREDITS]])=0,"",SUM(Table5[[#This Row],[NO OF CREDITS]:[BELOW CREDITS]]))</f>
        <v/>
      </c>
    </row>
    <row r="286" spans="1:57" x14ac:dyDescent="0.3">
      <c r="A286" t="str">
        <f>IF(B286&lt;&gt;"",COUNTA($B$6:B286),"")</f>
        <v/>
      </c>
      <c r="B286" t="str">
        <f>IF(Result_Database!A282="","",Result_Database!A282)</f>
        <v/>
      </c>
      <c r="C286" t="str">
        <f>_xlfn.LET(
_xlpm.result,_xlfn.XLOOKUP($B286,Result_Database!$A$2:$A$500,Result_Database!$B$2:$B$500),
_xlfn.IFNA(_xlpm.result,"")
)</f>
        <v/>
      </c>
      <c r="D286" t="str">
        <f>_xlfn.LET(
  _xlpm.result, _xlfn.XLOOKUP($B286, Result_Database!$A$2:$A$500, Result_Database!C$2:C$500),
  _xlfn.IFNA(_xlpm.result, "")
)</f>
        <v/>
      </c>
      <c r="E286" t="str">
        <f>_xlfn.LET(
  _xlpm.result, _xlfn.XLOOKUP($B286, Result_Database!$A$2:$A$500, Result_Database!D$2:D$500),
  _xlfn.IFNA(_xlpm.result, "")
)</f>
        <v/>
      </c>
      <c r="F286" t="str">
        <f>_xlfn.LET(
  _xlpm.result, _xlfn.XLOOKUP($B286, Result_Database!$A$2:$A$500, Result_Database!E$2:E$500),
  _xlfn.IFNA(_xlpm.result, "")
)</f>
        <v/>
      </c>
      <c r="G286" t="str">
        <f>_xlfn.LET(
  _xlpm.result, _xlfn.XLOOKUP($B286, Result_Database!$A$2:$A$500, Result_Database!F$2:F$500),
  _xlfn.IFNA(_xlpm.result, "")
)</f>
        <v/>
      </c>
      <c r="H286" t="str">
        <f>_xlfn.LET(
  _xlpm.result, _xlfn.XLOOKUP($B286, Result_Database!$A$2:$A$500, Result_Database!G$2:G$500),
  _xlfn.IFNA(_xlpm.result, "")
)</f>
        <v/>
      </c>
      <c r="I286" t="str">
        <f>_xlfn.LET(
  _xlpm.result, _xlfn.XLOOKUP($B286, Result_Database!$A$2:$A$500, Result_Database!H$2:H$500),
  _xlfn.IFNA(_xlpm.result, "")
)</f>
        <v/>
      </c>
      <c r="J286" t="str">
        <f>_xlfn.LET(
  _xlpm.result, _xlfn.XLOOKUP($B286, Result_Database!$A$2:$A$500, Result_Database!I$2:I$500),
  _xlfn.IFNA(_xlpm.result, "")
)</f>
        <v/>
      </c>
      <c r="K286" t="str">
        <f>_xlfn.LET(
  _xlpm.result, _xlfn.XLOOKUP($B286, Result_Database!$A$2:$A$500, Result_Database!J$2:J$500),
  _xlfn.IFNA(_xlpm.result, "")
)</f>
        <v/>
      </c>
      <c r="L286" t="str">
        <f>_xlfn.LET(
  _xlpm.result, _xlfn.XLOOKUP($B286, Result_Database!$A$2:$A$500, Result_Database!K$2:K$500),
  _xlfn.IFNA(_xlpm.result, "")
)</f>
        <v/>
      </c>
      <c r="M286" t="str">
        <f>_xlfn.LET(
  _xlpm.result, _xlfn.XLOOKUP($B286, Result_Database!$A$2:$A$500, Result_Database!L$2:L$500),
  _xlfn.IFNA(_xlpm.result, "")
)</f>
        <v/>
      </c>
      <c r="N286" t="str">
        <f>_xlfn.LET(
  _xlpm.result, _xlfn.XLOOKUP($B286, Result_Database!$A$2:$A$500, Result_Database!M$2:M$500),
  _xlfn.IFNA(_xlpm.result, "")
)</f>
        <v/>
      </c>
      <c r="O286" t="str">
        <f>_xlfn.LET(
  _xlpm.result, _xlfn.XLOOKUP($B286, Result_Database!$A$2:$A$500, Result_Database!N$2:N$500),
  _xlfn.IFNA(_xlpm.result, "")
)</f>
        <v/>
      </c>
      <c r="P286" t="str">
        <f>_xlfn.LET(
  _xlpm.result, _xlfn.XLOOKUP($B286, Result_Database!$A$2:$A$500, Result_Database!O$2:O$500),
  _xlfn.IFNA(_xlpm.result, "")
)</f>
        <v/>
      </c>
      <c r="Q286" t="str">
        <f>_xlfn.LET(
  _xlpm.result, _xlfn.XLOOKUP($B286, Result_Database!$A$2:$A$500, Result_Database!P$2:P$500),
  _xlfn.IFNA(_xlpm.result, "")
)</f>
        <v/>
      </c>
      <c r="R286" t="str">
        <f>_xlfn.LET(
  _xlpm.result, _xlfn.XLOOKUP($B286, Result_Database!$A$2:$A$500, Result_Database!Q$2:Q$500),
  _xlfn.IFNA(_xlpm.result, "")
)</f>
        <v/>
      </c>
      <c r="S286" t="str">
        <f>_xlfn.LET(
  _xlpm.result, _xlfn.XLOOKUP($B286, Result_Database!$A$2:$A$500, Result_Database!R$2:R$500),
  _xlfn.IFNA(_xlpm.result, "")
)</f>
        <v/>
      </c>
      <c r="T286" t="str">
        <f>_xlfn.LET(
  _xlpm.result, _xlfn.XLOOKUP($B286, Result_Database!$A$2:$A$500, Result_Database!S$2:S$500),
  _xlfn.IFNA(_xlpm.result, "")
)</f>
        <v/>
      </c>
      <c r="U286" t="str">
        <f>_xlfn.LET(
  _xlpm.result, _xlfn.XLOOKUP($B286, Result_Database!$A$2:$A$500, Result_Database!T$2:T$500),
  _xlfn.IFNA(_xlpm.result, "")
)</f>
        <v/>
      </c>
      <c r="V286" t="str">
        <f>_xlfn.LET(
  _xlpm.result, _xlfn.XLOOKUP($B286, Result_Database!$A$2:$A$500, Result_Database!U$2:U$500),
  _xlfn.IFNA(_xlpm.result, "")
)</f>
        <v/>
      </c>
      <c r="W286" t="str">
        <f>_xlfn.LET(
  _xlpm.result, _xlfn.XLOOKUP($B286, Result_Database!$A$2:$A$500, Result_Database!V$2:V$500),
  _xlfn.IFNA(_xlpm.result, "")
)</f>
        <v/>
      </c>
      <c r="X286" t="str">
        <f>_xlfn.LET(
  _xlpm.result, _xlfn.XLOOKUP($B286, Result_Database!$A$2:$A$500, Result_Database!W$2:W$500),
  _xlfn.IFNA(_xlpm.result, "")
)</f>
        <v/>
      </c>
      <c r="Y286" t="str">
        <f>_xlfn.LET(
  _xlpm.result, _xlfn.XLOOKUP($B286, Result_Database!$A$2:$A$500, Result_Database!X$2:X$500),
  _xlfn.IFNA(_xlpm.result, "")
)</f>
        <v/>
      </c>
      <c r="Z286" t="str">
        <f>_xlfn.LET(
  _xlpm.result, _xlfn.XLOOKUP($B286, Result_Database!$A$2:$A$500, Result_Database!Y$2:Y$500),
  _xlfn.IFNA(_xlpm.result, "")
)</f>
        <v/>
      </c>
      <c r="AA286" t="str">
        <f>_xlfn.LET(
  _xlpm.result, _xlfn.XLOOKUP($B286, Result_Database!$A$2:$A$500, Result_Database!Z$2:Z$500),
  _xlfn.IFNA(_xlpm.result, "")
)</f>
        <v/>
      </c>
      <c r="AB286" t="str">
        <f>_xlfn.LET(
  _xlpm.result, _xlfn.XLOOKUP($B286, Result_Database!$A$2:$A$500, Result_Database!AA$2:AA$500),
  _xlfn.IFNA(_xlpm.result, "")
)</f>
        <v/>
      </c>
      <c r="AC286" t="str">
        <f>_xlfn.LET(
  _xlpm.result, _xlfn.XLOOKUP($B286, Result_Database!$A$2:$A$500, Result_Database!AB$2:AB$500),
  _xlfn.IFNA(_xlpm.result, "")
)</f>
        <v/>
      </c>
      <c r="AD286" t="str">
        <f>_xlfn.LET(
  _xlpm.result, _xlfn.XLOOKUP($B286, Result_Database!$A$2:$A$500, Result_Database!AC$2:AC$500),
  _xlfn.IFNA(_xlpm.result, "")
)</f>
        <v/>
      </c>
      <c r="AE286" t="str">
        <f>_xlfn.LET(
  _xlpm.result, _xlfn.XLOOKUP($B286, Result_Database!$A$2:$A$500, Result_Database!AD$2:AD$500),
  _xlfn.IFNA(_xlpm.result, "")
)</f>
        <v/>
      </c>
      <c r="AF286" t="str">
        <f>_xlfn.LET(
  _xlpm.result, _xlfn.XLOOKUP($B286, Result_Database!$A$2:$A$500, Result_Database!AE$2:AE$500),
  _xlfn.IFNA(_xlpm.result, "")
)</f>
        <v/>
      </c>
      <c r="AG286" t="str">
        <f>_xlfn.LET(
  _xlpm.result, _xlfn.XLOOKUP($B286, Result_Database!$A$2:$A$500, Result_Database!AF$2:AF$500),
  _xlfn.IFNA(_xlpm.result, "")
)</f>
        <v/>
      </c>
      <c r="AH286" t="str">
        <f>_xlfn.LET(
  _xlpm.result, _xlfn.XLOOKUP($B286, Result_Database!$A$2:$A$500, Result_Database!AG$2:AG$500),
  _xlfn.IFNA(_xlpm.result, "")
)</f>
        <v/>
      </c>
      <c r="AI286" t="str">
        <f>_xlfn.LET(
  _xlpm.result, _xlfn.XLOOKUP($B286, Result_Database!$A$2:$A$500, Result_Database!AH$2:AH$500),
  _xlfn.IFNA(_xlpm.result, "")
)</f>
        <v/>
      </c>
      <c r="AJ286" t="str">
        <f>_xlfn.LET(
  _xlpm.result, _xlfn.XLOOKUP($B286, Result_Database!$A$2:$A$500, Result_Database!AI$2:AI$500),
  _xlfn.IFNA(_xlpm.result, "")
)</f>
        <v/>
      </c>
      <c r="AK286" t="str">
        <f>_xlfn.LET(
  _xlpm.result, _xlfn.XLOOKUP($B286, Result_Database!$A$2:$A$500, Result_Database!AJ$2:AJ$500),
  _xlfn.IFNA(_xlpm.result, "")
)</f>
        <v/>
      </c>
      <c r="AL286" t="str">
        <f>_xlfn.LET(
  _xlpm.result, _xlfn.XLOOKUP($B286, Result_Database!$A$2:$A$500, Result_Database!AK$2:AK$500),
  _xlfn.IFNA(_xlpm.result, "")
)</f>
        <v/>
      </c>
      <c r="AM28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8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8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8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8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8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8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8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8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86" t="str">
        <f>IF(SUM(Table5[[#This Row],[A1]:[C6]])&lt;&gt;0,SUM(Table5[[#This Row],[A1]:[C6]]),"")</f>
        <v/>
      </c>
      <c r="AW286" t="str">
        <f>IF(SUM(Table5[[#This Row],[D7]:[F9]])=0,"",SUM(Table5[[#This Row],[D7]:[F9]]))</f>
        <v/>
      </c>
      <c r="AX28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8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8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8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8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8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86" t="str">
        <f>IF(COUNTIF(Table5[[#This Row],[English Language]:[Electrical/ Electronics]],"WITHHELD")=0,"",COUNTIF(Table5[[#This Row],[English Language]:[Electrical/ Electronics]],"WITHHELD"))</f>
        <v/>
      </c>
      <c r="BE286" t="str">
        <f>IF(SUM(Table5[[#This Row],[NO OF CREDITS]:[BELOW CREDITS]])=0,"",SUM(Table5[[#This Row],[NO OF CREDITS]:[BELOW CREDITS]]))</f>
        <v/>
      </c>
    </row>
    <row r="287" spans="1:57" x14ac:dyDescent="0.3">
      <c r="A287" t="str">
        <f>IF(B287&lt;&gt;"",COUNTA($B$6:B287),"")</f>
        <v/>
      </c>
      <c r="B287" t="str">
        <f>IF(Result_Database!A283="","",Result_Database!A283)</f>
        <v/>
      </c>
      <c r="C287" t="str">
        <f>_xlfn.LET(
_xlpm.result,_xlfn.XLOOKUP($B287,Result_Database!$A$2:$A$500,Result_Database!$B$2:$B$500),
_xlfn.IFNA(_xlpm.result,"")
)</f>
        <v/>
      </c>
      <c r="D287" t="str">
        <f>_xlfn.LET(
  _xlpm.result, _xlfn.XLOOKUP($B287, Result_Database!$A$2:$A$500, Result_Database!C$2:C$500),
  _xlfn.IFNA(_xlpm.result, "")
)</f>
        <v/>
      </c>
      <c r="E287" t="str">
        <f>_xlfn.LET(
  _xlpm.result, _xlfn.XLOOKUP($B287, Result_Database!$A$2:$A$500, Result_Database!D$2:D$500),
  _xlfn.IFNA(_xlpm.result, "")
)</f>
        <v/>
      </c>
      <c r="F287" t="str">
        <f>_xlfn.LET(
  _xlpm.result, _xlfn.XLOOKUP($B287, Result_Database!$A$2:$A$500, Result_Database!E$2:E$500),
  _xlfn.IFNA(_xlpm.result, "")
)</f>
        <v/>
      </c>
      <c r="G287" t="str">
        <f>_xlfn.LET(
  _xlpm.result, _xlfn.XLOOKUP($B287, Result_Database!$A$2:$A$500, Result_Database!F$2:F$500),
  _xlfn.IFNA(_xlpm.result, "")
)</f>
        <v/>
      </c>
      <c r="H287" t="str">
        <f>_xlfn.LET(
  _xlpm.result, _xlfn.XLOOKUP($B287, Result_Database!$A$2:$A$500, Result_Database!G$2:G$500),
  _xlfn.IFNA(_xlpm.result, "")
)</f>
        <v/>
      </c>
      <c r="I287" t="str">
        <f>_xlfn.LET(
  _xlpm.result, _xlfn.XLOOKUP($B287, Result_Database!$A$2:$A$500, Result_Database!H$2:H$500),
  _xlfn.IFNA(_xlpm.result, "")
)</f>
        <v/>
      </c>
      <c r="J287" t="str">
        <f>_xlfn.LET(
  _xlpm.result, _xlfn.XLOOKUP($B287, Result_Database!$A$2:$A$500, Result_Database!I$2:I$500),
  _xlfn.IFNA(_xlpm.result, "")
)</f>
        <v/>
      </c>
      <c r="K287" t="str">
        <f>_xlfn.LET(
  _xlpm.result, _xlfn.XLOOKUP($B287, Result_Database!$A$2:$A$500, Result_Database!J$2:J$500),
  _xlfn.IFNA(_xlpm.result, "")
)</f>
        <v/>
      </c>
      <c r="L287" t="str">
        <f>_xlfn.LET(
  _xlpm.result, _xlfn.XLOOKUP($B287, Result_Database!$A$2:$A$500, Result_Database!K$2:K$500),
  _xlfn.IFNA(_xlpm.result, "")
)</f>
        <v/>
      </c>
      <c r="M287" t="str">
        <f>_xlfn.LET(
  _xlpm.result, _xlfn.XLOOKUP($B287, Result_Database!$A$2:$A$500, Result_Database!L$2:L$500),
  _xlfn.IFNA(_xlpm.result, "")
)</f>
        <v/>
      </c>
      <c r="N287" t="str">
        <f>_xlfn.LET(
  _xlpm.result, _xlfn.XLOOKUP($B287, Result_Database!$A$2:$A$500, Result_Database!M$2:M$500),
  _xlfn.IFNA(_xlpm.result, "")
)</f>
        <v/>
      </c>
      <c r="O287" t="str">
        <f>_xlfn.LET(
  _xlpm.result, _xlfn.XLOOKUP($B287, Result_Database!$A$2:$A$500, Result_Database!N$2:N$500),
  _xlfn.IFNA(_xlpm.result, "")
)</f>
        <v/>
      </c>
      <c r="P287" t="str">
        <f>_xlfn.LET(
  _xlpm.result, _xlfn.XLOOKUP($B287, Result_Database!$A$2:$A$500, Result_Database!O$2:O$500),
  _xlfn.IFNA(_xlpm.result, "")
)</f>
        <v/>
      </c>
      <c r="Q287" t="str">
        <f>_xlfn.LET(
  _xlpm.result, _xlfn.XLOOKUP($B287, Result_Database!$A$2:$A$500, Result_Database!P$2:P$500),
  _xlfn.IFNA(_xlpm.result, "")
)</f>
        <v/>
      </c>
      <c r="R287" t="str">
        <f>_xlfn.LET(
  _xlpm.result, _xlfn.XLOOKUP($B287, Result_Database!$A$2:$A$500, Result_Database!Q$2:Q$500),
  _xlfn.IFNA(_xlpm.result, "")
)</f>
        <v/>
      </c>
      <c r="S287" t="str">
        <f>_xlfn.LET(
  _xlpm.result, _xlfn.XLOOKUP($B287, Result_Database!$A$2:$A$500, Result_Database!R$2:R$500),
  _xlfn.IFNA(_xlpm.result, "")
)</f>
        <v/>
      </c>
      <c r="T287" t="str">
        <f>_xlfn.LET(
  _xlpm.result, _xlfn.XLOOKUP($B287, Result_Database!$A$2:$A$500, Result_Database!S$2:S$500),
  _xlfn.IFNA(_xlpm.result, "")
)</f>
        <v/>
      </c>
      <c r="U287" t="str">
        <f>_xlfn.LET(
  _xlpm.result, _xlfn.XLOOKUP($B287, Result_Database!$A$2:$A$500, Result_Database!T$2:T$500),
  _xlfn.IFNA(_xlpm.result, "")
)</f>
        <v/>
      </c>
      <c r="V287" t="str">
        <f>_xlfn.LET(
  _xlpm.result, _xlfn.XLOOKUP($B287, Result_Database!$A$2:$A$500, Result_Database!U$2:U$500),
  _xlfn.IFNA(_xlpm.result, "")
)</f>
        <v/>
      </c>
      <c r="W287" t="str">
        <f>_xlfn.LET(
  _xlpm.result, _xlfn.XLOOKUP($B287, Result_Database!$A$2:$A$500, Result_Database!V$2:V$500),
  _xlfn.IFNA(_xlpm.result, "")
)</f>
        <v/>
      </c>
      <c r="X287" t="str">
        <f>_xlfn.LET(
  _xlpm.result, _xlfn.XLOOKUP($B287, Result_Database!$A$2:$A$500, Result_Database!W$2:W$500),
  _xlfn.IFNA(_xlpm.result, "")
)</f>
        <v/>
      </c>
      <c r="Y287" t="str">
        <f>_xlfn.LET(
  _xlpm.result, _xlfn.XLOOKUP($B287, Result_Database!$A$2:$A$500, Result_Database!X$2:X$500),
  _xlfn.IFNA(_xlpm.result, "")
)</f>
        <v/>
      </c>
      <c r="Z287" t="str">
        <f>_xlfn.LET(
  _xlpm.result, _xlfn.XLOOKUP($B287, Result_Database!$A$2:$A$500, Result_Database!Y$2:Y$500),
  _xlfn.IFNA(_xlpm.result, "")
)</f>
        <v/>
      </c>
      <c r="AA287" t="str">
        <f>_xlfn.LET(
  _xlpm.result, _xlfn.XLOOKUP($B287, Result_Database!$A$2:$A$500, Result_Database!Z$2:Z$500),
  _xlfn.IFNA(_xlpm.result, "")
)</f>
        <v/>
      </c>
      <c r="AB287" t="str">
        <f>_xlfn.LET(
  _xlpm.result, _xlfn.XLOOKUP($B287, Result_Database!$A$2:$A$500, Result_Database!AA$2:AA$500),
  _xlfn.IFNA(_xlpm.result, "")
)</f>
        <v/>
      </c>
      <c r="AC287" t="str">
        <f>_xlfn.LET(
  _xlpm.result, _xlfn.XLOOKUP($B287, Result_Database!$A$2:$A$500, Result_Database!AB$2:AB$500),
  _xlfn.IFNA(_xlpm.result, "")
)</f>
        <v/>
      </c>
      <c r="AD287" t="str">
        <f>_xlfn.LET(
  _xlpm.result, _xlfn.XLOOKUP($B287, Result_Database!$A$2:$A$500, Result_Database!AC$2:AC$500),
  _xlfn.IFNA(_xlpm.result, "")
)</f>
        <v/>
      </c>
      <c r="AE287" t="str">
        <f>_xlfn.LET(
  _xlpm.result, _xlfn.XLOOKUP($B287, Result_Database!$A$2:$A$500, Result_Database!AD$2:AD$500),
  _xlfn.IFNA(_xlpm.result, "")
)</f>
        <v/>
      </c>
      <c r="AF287" t="str">
        <f>_xlfn.LET(
  _xlpm.result, _xlfn.XLOOKUP($B287, Result_Database!$A$2:$A$500, Result_Database!AE$2:AE$500),
  _xlfn.IFNA(_xlpm.result, "")
)</f>
        <v/>
      </c>
      <c r="AG287" t="str">
        <f>_xlfn.LET(
  _xlpm.result, _xlfn.XLOOKUP($B287, Result_Database!$A$2:$A$500, Result_Database!AF$2:AF$500),
  _xlfn.IFNA(_xlpm.result, "")
)</f>
        <v/>
      </c>
      <c r="AH287" t="str">
        <f>_xlfn.LET(
  _xlpm.result, _xlfn.XLOOKUP($B287, Result_Database!$A$2:$A$500, Result_Database!AG$2:AG$500),
  _xlfn.IFNA(_xlpm.result, "")
)</f>
        <v/>
      </c>
      <c r="AI287" t="str">
        <f>_xlfn.LET(
  _xlpm.result, _xlfn.XLOOKUP($B287, Result_Database!$A$2:$A$500, Result_Database!AH$2:AH$500),
  _xlfn.IFNA(_xlpm.result, "")
)</f>
        <v/>
      </c>
      <c r="AJ287" t="str">
        <f>_xlfn.LET(
  _xlpm.result, _xlfn.XLOOKUP($B287, Result_Database!$A$2:$A$500, Result_Database!AI$2:AI$500),
  _xlfn.IFNA(_xlpm.result, "")
)</f>
        <v/>
      </c>
      <c r="AK287" t="str">
        <f>_xlfn.LET(
  _xlpm.result, _xlfn.XLOOKUP($B287, Result_Database!$A$2:$A$500, Result_Database!AJ$2:AJ$500),
  _xlfn.IFNA(_xlpm.result, "")
)</f>
        <v/>
      </c>
      <c r="AL287" t="str">
        <f>_xlfn.LET(
  _xlpm.result, _xlfn.XLOOKUP($B287, Result_Database!$A$2:$A$500, Result_Database!AK$2:AK$500),
  _xlfn.IFNA(_xlpm.result, "")
)</f>
        <v/>
      </c>
      <c r="AM28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8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8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8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8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8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8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8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8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87" t="str">
        <f>IF(SUM(Table5[[#This Row],[A1]:[C6]])&lt;&gt;0,SUM(Table5[[#This Row],[A1]:[C6]]),"")</f>
        <v/>
      </c>
      <c r="AW287" t="str">
        <f>IF(SUM(Table5[[#This Row],[D7]:[F9]])=0,"",SUM(Table5[[#This Row],[D7]:[F9]]))</f>
        <v/>
      </c>
      <c r="AX28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8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8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8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8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8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87" t="str">
        <f>IF(COUNTIF(Table5[[#This Row],[English Language]:[Electrical/ Electronics]],"WITHHELD")=0,"",COUNTIF(Table5[[#This Row],[English Language]:[Electrical/ Electronics]],"WITHHELD"))</f>
        <v/>
      </c>
      <c r="BE287" t="str">
        <f>IF(SUM(Table5[[#This Row],[NO OF CREDITS]:[BELOW CREDITS]])=0,"",SUM(Table5[[#This Row],[NO OF CREDITS]:[BELOW CREDITS]]))</f>
        <v/>
      </c>
    </row>
    <row r="288" spans="1:57" x14ac:dyDescent="0.3">
      <c r="A288" t="str">
        <f>IF(B288&lt;&gt;"",COUNTA($B$6:B288),"")</f>
        <v/>
      </c>
      <c r="B288" t="str">
        <f>IF(Result_Database!A284="","",Result_Database!A284)</f>
        <v/>
      </c>
      <c r="C288" t="str">
        <f>_xlfn.LET(
_xlpm.result,_xlfn.XLOOKUP($B288,Result_Database!$A$2:$A$500,Result_Database!$B$2:$B$500),
_xlfn.IFNA(_xlpm.result,"")
)</f>
        <v/>
      </c>
      <c r="D288" t="str">
        <f>_xlfn.LET(
  _xlpm.result, _xlfn.XLOOKUP($B288, Result_Database!$A$2:$A$500, Result_Database!C$2:C$500),
  _xlfn.IFNA(_xlpm.result, "")
)</f>
        <v/>
      </c>
      <c r="E288" t="str">
        <f>_xlfn.LET(
  _xlpm.result, _xlfn.XLOOKUP($B288, Result_Database!$A$2:$A$500, Result_Database!D$2:D$500),
  _xlfn.IFNA(_xlpm.result, "")
)</f>
        <v/>
      </c>
      <c r="F288" t="str">
        <f>_xlfn.LET(
  _xlpm.result, _xlfn.XLOOKUP($B288, Result_Database!$A$2:$A$500, Result_Database!E$2:E$500),
  _xlfn.IFNA(_xlpm.result, "")
)</f>
        <v/>
      </c>
      <c r="G288" t="str">
        <f>_xlfn.LET(
  _xlpm.result, _xlfn.XLOOKUP($B288, Result_Database!$A$2:$A$500, Result_Database!F$2:F$500),
  _xlfn.IFNA(_xlpm.result, "")
)</f>
        <v/>
      </c>
      <c r="H288" t="str">
        <f>_xlfn.LET(
  _xlpm.result, _xlfn.XLOOKUP($B288, Result_Database!$A$2:$A$500, Result_Database!G$2:G$500),
  _xlfn.IFNA(_xlpm.result, "")
)</f>
        <v/>
      </c>
      <c r="I288" t="str">
        <f>_xlfn.LET(
  _xlpm.result, _xlfn.XLOOKUP($B288, Result_Database!$A$2:$A$500, Result_Database!H$2:H$500),
  _xlfn.IFNA(_xlpm.result, "")
)</f>
        <v/>
      </c>
      <c r="J288" t="str">
        <f>_xlfn.LET(
  _xlpm.result, _xlfn.XLOOKUP($B288, Result_Database!$A$2:$A$500, Result_Database!I$2:I$500),
  _xlfn.IFNA(_xlpm.result, "")
)</f>
        <v/>
      </c>
      <c r="K288" t="str">
        <f>_xlfn.LET(
  _xlpm.result, _xlfn.XLOOKUP($B288, Result_Database!$A$2:$A$500, Result_Database!J$2:J$500),
  _xlfn.IFNA(_xlpm.result, "")
)</f>
        <v/>
      </c>
      <c r="L288" t="str">
        <f>_xlfn.LET(
  _xlpm.result, _xlfn.XLOOKUP($B288, Result_Database!$A$2:$A$500, Result_Database!K$2:K$500),
  _xlfn.IFNA(_xlpm.result, "")
)</f>
        <v/>
      </c>
      <c r="M288" t="str">
        <f>_xlfn.LET(
  _xlpm.result, _xlfn.XLOOKUP($B288, Result_Database!$A$2:$A$500, Result_Database!L$2:L$500),
  _xlfn.IFNA(_xlpm.result, "")
)</f>
        <v/>
      </c>
      <c r="N288" t="str">
        <f>_xlfn.LET(
  _xlpm.result, _xlfn.XLOOKUP($B288, Result_Database!$A$2:$A$500, Result_Database!M$2:M$500),
  _xlfn.IFNA(_xlpm.result, "")
)</f>
        <v/>
      </c>
      <c r="O288" t="str">
        <f>_xlfn.LET(
  _xlpm.result, _xlfn.XLOOKUP($B288, Result_Database!$A$2:$A$500, Result_Database!N$2:N$500),
  _xlfn.IFNA(_xlpm.result, "")
)</f>
        <v/>
      </c>
      <c r="P288" t="str">
        <f>_xlfn.LET(
  _xlpm.result, _xlfn.XLOOKUP($B288, Result_Database!$A$2:$A$500, Result_Database!O$2:O$500),
  _xlfn.IFNA(_xlpm.result, "")
)</f>
        <v/>
      </c>
      <c r="Q288" t="str">
        <f>_xlfn.LET(
  _xlpm.result, _xlfn.XLOOKUP($B288, Result_Database!$A$2:$A$500, Result_Database!P$2:P$500),
  _xlfn.IFNA(_xlpm.result, "")
)</f>
        <v/>
      </c>
      <c r="R288" t="str">
        <f>_xlfn.LET(
  _xlpm.result, _xlfn.XLOOKUP($B288, Result_Database!$A$2:$A$500, Result_Database!Q$2:Q$500),
  _xlfn.IFNA(_xlpm.result, "")
)</f>
        <v/>
      </c>
      <c r="S288" t="str">
        <f>_xlfn.LET(
  _xlpm.result, _xlfn.XLOOKUP($B288, Result_Database!$A$2:$A$500, Result_Database!R$2:R$500),
  _xlfn.IFNA(_xlpm.result, "")
)</f>
        <v/>
      </c>
      <c r="T288" t="str">
        <f>_xlfn.LET(
  _xlpm.result, _xlfn.XLOOKUP($B288, Result_Database!$A$2:$A$500, Result_Database!S$2:S$500),
  _xlfn.IFNA(_xlpm.result, "")
)</f>
        <v/>
      </c>
      <c r="U288" t="str">
        <f>_xlfn.LET(
  _xlpm.result, _xlfn.XLOOKUP($B288, Result_Database!$A$2:$A$500, Result_Database!T$2:T$500),
  _xlfn.IFNA(_xlpm.result, "")
)</f>
        <v/>
      </c>
      <c r="V288" t="str">
        <f>_xlfn.LET(
  _xlpm.result, _xlfn.XLOOKUP($B288, Result_Database!$A$2:$A$500, Result_Database!U$2:U$500),
  _xlfn.IFNA(_xlpm.result, "")
)</f>
        <v/>
      </c>
      <c r="W288" t="str">
        <f>_xlfn.LET(
  _xlpm.result, _xlfn.XLOOKUP($B288, Result_Database!$A$2:$A$500, Result_Database!V$2:V$500),
  _xlfn.IFNA(_xlpm.result, "")
)</f>
        <v/>
      </c>
      <c r="X288" t="str">
        <f>_xlfn.LET(
  _xlpm.result, _xlfn.XLOOKUP($B288, Result_Database!$A$2:$A$500, Result_Database!W$2:W$500),
  _xlfn.IFNA(_xlpm.result, "")
)</f>
        <v/>
      </c>
      <c r="Y288" t="str">
        <f>_xlfn.LET(
  _xlpm.result, _xlfn.XLOOKUP($B288, Result_Database!$A$2:$A$500, Result_Database!X$2:X$500),
  _xlfn.IFNA(_xlpm.result, "")
)</f>
        <v/>
      </c>
      <c r="Z288" t="str">
        <f>_xlfn.LET(
  _xlpm.result, _xlfn.XLOOKUP($B288, Result_Database!$A$2:$A$500, Result_Database!Y$2:Y$500),
  _xlfn.IFNA(_xlpm.result, "")
)</f>
        <v/>
      </c>
      <c r="AA288" t="str">
        <f>_xlfn.LET(
  _xlpm.result, _xlfn.XLOOKUP($B288, Result_Database!$A$2:$A$500, Result_Database!Z$2:Z$500),
  _xlfn.IFNA(_xlpm.result, "")
)</f>
        <v/>
      </c>
      <c r="AB288" t="str">
        <f>_xlfn.LET(
  _xlpm.result, _xlfn.XLOOKUP($B288, Result_Database!$A$2:$A$500, Result_Database!AA$2:AA$500),
  _xlfn.IFNA(_xlpm.result, "")
)</f>
        <v/>
      </c>
      <c r="AC288" t="str">
        <f>_xlfn.LET(
  _xlpm.result, _xlfn.XLOOKUP($B288, Result_Database!$A$2:$A$500, Result_Database!AB$2:AB$500),
  _xlfn.IFNA(_xlpm.result, "")
)</f>
        <v/>
      </c>
      <c r="AD288" t="str">
        <f>_xlfn.LET(
  _xlpm.result, _xlfn.XLOOKUP($B288, Result_Database!$A$2:$A$500, Result_Database!AC$2:AC$500),
  _xlfn.IFNA(_xlpm.result, "")
)</f>
        <v/>
      </c>
      <c r="AE288" t="str">
        <f>_xlfn.LET(
  _xlpm.result, _xlfn.XLOOKUP($B288, Result_Database!$A$2:$A$500, Result_Database!AD$2:AD$500),
  _xlfn.IFNA(_xlpm.result, "")
)</f>
        <v/>
      </c>
      <c r="AF288" t="str">
        <f>_xlfn.LET(
  _xlpm.result, _xlfn.XLOOKUP($B288, Result_Database!$A$2:$A$500, Result_Database!AE$2:AE$500),
  _xlfn.IFNA(_xlpm.result, "")
)</f>
        <v/>
      </c>
      <c r="AG288" t="str">
        <f>_xlfn.LET(
  _xlpm.result, _xlfn.XLOOKUP($B288, Result_Database!$A$2:$A$500, Result_Database!AF$2:AF$500),
  _xlfn.IFNA(_xlpm.result, "")
)</f>
        <v/>
      </c>
      <c r="AH288" t="str">
        <f>_xlfn.LET(
  _xlpm.result, _xlfn.XLOOKUP($B288, Result_Database!$A$2:$A$500, Result_Database!AG$2:AG$500),
  _xlfn.IFNA(_xlpm.result, "")
)</f>
        <v/>
      </c>
      <c r="AI288" t="str">
        <f>_xlfn.LET(
  _xlpm.result, _xlfn.XLOOKUP($B288, Result_Database!$A$2:$A$500, Result_Database!AH$2:AH$500),
  _xlfn.IFNA(_xlpm.result, "")
)</f>
        <v/>
      </c>
      <c r="AJ288" t="str">
        <f>_xlfn.LET(
  _xlpm.result, _xlfn.XLOOKUP($B288, Result_Database!$A$2:$A$500, Result_Database!AI$2:AI$500),
  _xlfn.IFNA(_xlpm.result, "")
)</f>
        <v/>
      </c>
      <c r="AK288" t="str">
        <f>_xlfn.LET(
  _xlpm.result, _xlfn.XLOOKUP($B288, Result_Database!$A$2:$A$500, Result_Database!AJ$2:AJ$500),
  _xlfn.IFNA(_xlpm.result, "")
)</f>
        <v/>
      </c>
      <c r="AL288" t="str">
        <f>_xlfn.LET(
  _xlpm.result, _xlfn.XLOOKUP($B288, Result_Database!$A$2:$A$500, Result_Database!AK$2:AK$500),
  _xlfn.IFNA(_xlpm.result, "")
)</f>
        <v/>
      </c>
      <c r="AM28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8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8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8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8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8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8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8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8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88" t="str">
        <f>IF(SUM(Table5[[#This Row],[A1]:[C6]])&lt;&gt;0,SUM(Table5[[#This Row],[A1]:[C6]]),"")</f>
        <v/>
      </c>
      <c r="AW288" t="str">
        <f>IF(SUM(Table5[[#This Row],[D7]:[F9]])=0,"",SUM(Table5[[#This Row],[D7]:[F9]]))</f>
        <v/>
      </c>
      <c r="AX28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8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8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8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8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8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88" t="str">
        <f>IF(COUNTIF(Table5[[#This Row],[English Language]:[Electrical/ Electronics]],"WITHHELD")=0,"",COUNTIF(Table5[[#This Row],[English Language]:[Electrical/ Electronics]],"WITHHELD"))</f>
        <v/>
      </c>
      <c r="BE288" t="str">
        <f>IF(SUM(Table5[[#This Row],[NO OF CREDITS]:[BELOW CREDITS]])=0,"",SUM(Table5[[#This Row],[NO OF CREDITS]:[BELOW CREDITS]]))</f>
        <v/>
      </c>
    </row>
    <row r="289" spans="1:57" x14ac:dyDescent="0.3">
      <c r="A289" t="str">
        <f>IF(B289&lt;&gt;"",COUNTA($B$6:B289),"")</f>
        <v/>
      </c>
      <c r="B289" t="str">
        <f>IF(Result_Database!A285="","",Result_Database!A285)</f>
        <v/>
      </c>
      <c r="C289" t="str">
        <f>_xlfn.LET(
_xlpm.result,_xlfn.XLOOKUP($B289,Result_Database!$A$2:$A$500,Result_Database!$B$2:$B$500),
_xlfn.IFNA(_xlpm.result,"")
)</f>
        <v/>
      </c>
      <c r="D289" t="str">
        <f>_xlfn.LET(
  _xlpm.result, _xlfn.XLOOKUP($B289, Result_Database!$A$2:$A$500, Result_Database!C$2:C$500),
  _xlfn.IFNA(_xlpm.result, "")
)</f>
        <v/>
      </c>
      <c r="E289" t="str">
        <f>_xlfn.LET(
  _xlpm.result, _xlfn.XLOOKUP($B289, Result_Database!$A$2:$A$500, Result_Database!D$2:D$500),
  _xlfn.IFNA(_xlpm.result, "")
)</f>
        <v/>
      </c>
      <c r="F289" t="str">
        <f>_xlfn.LET(
  _xlpm.result, _xlfn.XLOOKUP($B289, Result_Database!$A$2:$A$500, Result_Database!E$2:E$500),
  _xlfn.IFNA(_xlpm.result, "")
)</f>
        <v/>
      </c>
      <c r="G289" t="str">
        <f>_xlfn.LET(
  _xlpm.result, _xlfn.XLOOKUP($B289, Result_Database!$A$2:$A$500, Result_Database!F$2:F$500),
  _xlfn.IFNA(_xlpm.result, "")
)</f>
        <v/>
      </c>
      <c r="H289" t="str">
        <f>_xlfn.LET(
  _xlpm.result, _xlfn.XLOOKUP($B289, Result_Database!$A$2:$A$500, Result_Database!G$2:G$500),
  _xlfn.IFNA(_xlpm.result, "")
)</f>
        <v/>
      </c>
      <c r="I289" t="str">
        <f>_xlfn.LET(
  _xlpm.result, _xlfn.XLOOKUP($B289, Result_Database!$A$2:$A$500, Result_Database!H$2:H$500),
  _xlfn.IFNA(_xlpm.result, "")
)</f>
        <v/>
      </c>
      <c r="J289" t="str">
        <f>_xlfn.LET(
  _xlpm.result, _xlfn.XLOOKUP($B289, Result_Database!$A$2:$A$500, Result_Database!I$2:I$500),
  _xlfn.IFNA(_xlpm.result, "")
)</f>
        <v/>
      </c>
      <c r="K289" t="str">
        <f>_xlfn.LET(
  _xlpm.result, _xlfn.XLOOKUP($B289, Result_Database!$A$2:$A$500, Result_Database!J$2:J$500),
  _xlfn.IFNA(_xlpm.result, "")
)</f>
        <v/>
      </c>
      <c r="L289" t="str">
        <f>_xlfn.LET(
  _xlpm.result, _xlfn.XLOOKUP($B289, Result_Database!$A$2:$A$500, Result_Database!K$2:K$500),
  _xlfn.IFNA(_xlpm.result, "")
)</f>
        <v/>
      </c>
      <c r="M289" t="str">
        <f>_xlfn.LET(
  _xlpm.result, _xlfn.XLOOKUP($B289, Result_Database!$A$2:$A$500, Result_Database!L$2:L$500),
  _xlfn.IFNA(_xlpm.result, "")
)</f>
        <v/>
      </c>
      <c r="N289" t="str">
        <f>_xlfn.LET(
  _xlpm.result, _xlfn.XLOOKUP($B289, Result_Database!$A$2:$A$500, Result_Database!M$2:M$500),
  _xlfn.IFNA(_xlpm.result, "")
)</f>
        <v/>
      </c>
      <c r="O289" t="str">
        <f>_xlfn.LET(
  _xlpm.result, _xlfn.XLOOKUP($B289, Result_Database!$A$2:$A$500, Result_Database!N$2:N$500),
  _xlfn.IFNA(_xlpm.result, "")
)</f>
        <v/>
      </c>
      <c r="P289" t="str">
        <f>_xlfn.LET(
  _xlpm.result, _xlfn.XLOOKUP($B289, Result_Database!$A$2:$A$500, Result_Database!O$2:O$500),
  _xlfn.IFNA(_xlpm.result, "")
)</f>
        <v/>
      </c>
      <c r="Q289" t="str">
        <f>_xlfn.LET(
  _xlpm.result, _xlfn.XLOOKUP($B289, Result_Database!$A$2:$A$500, Result_Database!P$2:P$500),
  _xlfn.IFNA(_xlpm.result, "")
)</f>
        <v/>
      </c>
      <c r="R289" t="str">
        <f>_xlfn.LET(
  _xlpm.result, _xlfn.XLOOKUP($B289, Result_Database!$A$2:$A$500, Result_Database!Q$2:Q$500),
  _xlfn.IFNA(_xlpm.result, "")
)</f>
        <v/>
      </c>
      <c r="S289" t="str">
        <f>_xlfn.LET(
  _xlpm.result, _xlfn.XLOOKUP($B289, Result_Database!$A$2:$A$500, Result_Database!R$2:R$500),
  _xlfn.IFNA(_xlpm.result, "")
)</f>
        <v/>
      </c>
      <c r="T289" t="str">
        <f>_xlfn.LET(
  _xlpm.result, _xlfn.XLOOKUP($B289, Result_Database!$A$2:$A$500, Result_Database!S$2:S$500),
  _xlfn.IFNA(_xlpm.result, "")
)</f>
        <v/>
      </c>
      <c r="U289" t="str">
        <f>_xlfn.LET(
  _xlpm.result, _xlfn.XLOOKUP($B289, Result_Database!$A$2:$A$500, Result_Database!T$2:T$500),
  _xlfn.IFNA(_xlpm.result, "")
)</f>
        <v/>
      </c>
      <c r="V289" t="str">
        <f>_xlfn.LET(
  _xlpm.result, _xlfn.XLOOKUP($B289, Result_Database!$A$2:$A$500, Result_Database!U$2:U$500),
  _xlfn.IFNA(_xlpm.result, "")
)</f>
        <v/>
      </c>
      <c r="W289" t="str">
        <f>_xlfn.LET(
  _xlpm.result, _xlfn.XLOOKUP($B289, Result_Database!$A$2:$A$500, Result_Database!V$2:V$500),
  _xlfn.IFNA(_xlpm.result, "")
)</f>
        <v/>
      </c>
      <c r="X289" t="str">
        <f>_xlfn.LET(
  _xlpm.result, _xlfn.XLOOKUP($B289, Result_Database!$A$2:$A$500, Result_Database!W$2:W$500),
  _xlfn.IFNA(_xlpm.result, "")
)</f>
        <v/>
      </c>
      <c r="Y289" t="str">
        <f>_xlfn.LET(
  _xlpm.result, _xlfn.XLOOKUP($B289, Result_Database!$A$2:$A$500, Result_Database!X$2:X$500),
  _xlfn.IFNA(_xlpm.result, "")
)</f>
        <v/>
      </c>
      <c r="Z289" t="str">
        <f>_xlfn.LET(
  _xlpm.result, _xlfn.XLOOKUP($B289, Result_Database!$A$2:$A$500, Result_Database!Y$2:Y$500),
  _xlfn.IFNA(_xlpm.result, "")
)</f>
        <v/>
      </c>
      <c r="AA289" t="str">
        <f>_xlfn.LET(
  _xlpm.result, _xlfn.XLOOKUP($B289, Result_Database!$A$2:$A$500, Result_Database!Z$2:Z$500),
  _xlfn.IFNA(_xlpm.result, "")
)</f>
        <v/>
      </c>
      <c r="AB289" t="str">
        <f>_xlfn.LET(
  _xlpm.result, _xlfn.XLOOKUP($B289, Result_Database!$A$2:$A$500, Result_Database!AA$2:AA$500),
  _xlfn.IFNA(_xlpm.result, "")
)</f>
        <v/>
      </c>
      <c r="AC289" t="str">
        <f>_xlfn.LET(
  _xlpm.result, _xlfn.XLOOKUP($B289, Result_Database!$A$2:$A$500, Result_Database!AB$2:AB$500),
  _xlfn.IFNA(_xlpm.result, "")
)</f>
        <v/>
      </c>
      <c r="AD289" t="str">
        <f>_xlfn.LET(
  _xlpm.result, _xlfn.XLOOKUP($B289, Result_Database!$A$2:$A$500, Result_Database!AC$2:AC$500),
  _xlfn.IFNA(_xlpm.result, "")
)</f>
        <v/>
      </c>
      <c r="AE289" t="str">
        <f>_xlfn.LET(
  _xlpm.result, _xlfn.XLOOKUP($B289, Result_Database!$A$2:$A$500, Result_Database!AD$2:AD$500),
  _xlfn.IFNA(_xlpm.result, "")
)</f>
        <v/>
      </c>
      <c r="AF289" t="str">
        <f>_xlfn.LET(
  _xlpm.result, _xlfn.XLOOKUP($B289, Result_Database!$A$2:$A$500, Result_Database!AE$2:AE$500),
  _xlfn.IFNA(_xlpm.result, "")
)</f>
        <v/>
      </c>
      <c r="AG289" t="str">
        <f>_xlfn.LET(
  _xlpm.result, _xlfn.XLOOKUP($B289, Result_Database!$A$2:$A$500, Result_Database!AF$2:AF$500),
  _xlfn.IFNA(_xlpm.result, "")
)</f>
        <v/>
      </c>
      <c r="AH289" t="str">
        <f>_xlfn.LET(
  _xlpm.result, _xlfn.XLOOKUP($B289, Result_Database!$A$2:$A$500, Result_Database!AG$2:AG$500),
  _xlfn.IFNA(_xlpm.result, "")
)</f>
        <v/>
      </c>
      <c r="AI289" t="str">
        <f>_xlfn.LET(
  _xlpm.result, _xlfn.XLOOKUP($B289, Result_Database!$A$2:$A$500, Result_Database!AH$2:AH$500),
  _xlfn.IFNA(_xlpm.result, "")
)</f>
        <v/>
      </c>
      <c r="AJ289" t="str">
        <f>_xlfn.LET(
  _xlpm.result, _xlfn.XLOOKUP($B289, Result_Database!$A$2:$A$500, Result_Database!AI$2:AI$500),
  _xlfn.IFNA(_xlpm.result, "")
)</f>
        <v/>
      </c>
      <c r="AK289" t="str">
        <f>_xlfn.LET(
  _xlpm.result, _xlfn.XLOOKUP($B289, Result_Database!$A$2:$A$500, Result_Database!AJ$2:AJ$500),
  _xlfn.IFNA(_xlpm.result, "")
)</f>
        <v/>
      </c>
      <c r="AL289" t="str">
        <f>_xlfn.LET(
  _xlpm.result, _xlfn.XLOOKUP($B289, Result_Database!$A$2:$A$500, Result_Database!AK$2:AK$500),
  _xlfn.IFNA(_xlpm.result, "")
)</f>
        <v/>
      </c>
      <c r="AM28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8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8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8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8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8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8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8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8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89" t="str">
        <f>IF(SUM(Table5[[#This Row],[A1]:[C6]])&lt;&gt;0,SUM(Table5[[#This Row],[A1]:[C6]]),"")</f>
        <v/>
      </c>
      <c r="AW289" t="str">
        <f>IF(SUM(Table5[[#This Row],[D7]:[F9]])=0,"",SUM(Table5[[#This Row],[D7]:[F9]]))</f>
        <v/>
      </c>
      <c r="AX28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8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8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8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8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8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89" t="str">
        <f>IF(COUNTIF(Table5[[#This Row],[English Language]:[Electrical/ Electronics]],"WITHHELD")=0,"",COUNTIF(Table5[[#This Row],[English Language]:[Electrical/ Electronics]],"WITHHELD"))</f>
        <v/>
      </c>
      <c r="BE289" t="str">
        <f>IF(SUM(Table5[[#This Row],[NO OF CREDITS]:[BELOW CREDITS]])=0,"",SUM(Table5[[#This Row],[NO OF CREDITS]:[BELOW CREDITS]]))</f>
        <v/>
      </c>
    </row>
    <row r="290" spans="1:57" x14ac:dyDescent="0.3">
      <c r="A290" t="str">
        <f>IF(B290&lt;&gt;"",COUNTA($B$6:B290),"")</f>
        <v/>
      </c>
      <c r="B290" t="str">
        <f>IF(Result_Database!A286="","",Result_Database!A286)</f>
        <v/>
      </c>
      <c r="C290" t="str">
        <f>_xlfn.LET(
_xlpm.result,_xlfn.XLOOKUP($B290,Result_Database!$A$2:$A$500,Result_Database!$B$2:$B$500),
_xlfn.IFNA(_xlpm.result,"")
)</f>
        <v/>
      </c>
      <c r="D290" t="str">
        <f>_xlfn.LET(
  _xlpm.result, _xlfn.XLOOKUP($B290, Result_Database!$A$2:$A$500, Result_Database!C$2:C$500),
  _xlfn.IFNA(_xlpm.result, "")
)</f>
        <v/>
      </c>
      <c r="E290" t="str">
        <f>_xlfn.LET(
  _xlpm.result, _xlfn.XLOOKUP($B290, Result_Database!$A$2:$A$500, Result_Database!D$2:D$500),
  _xlfn.IFNA(_xlpm.result, "")
)</f>
        <v/>
      </c>
      <c r="F290" t="str">
        <f>_xlfn.LET(
  _xlpm.result, _xlfn.XLOOKUP($B290, Result_Database!$A$2:$A$500, Result_Database!E$2:E$500),
  _xlfn.IFNA(_xlpm.result, "")
)</f>
        <v/>
      </c>
      <c r="G290" t="str">
        <f>_xlfn.LET(
  _xlpm.result, _xlfn.XLOOKUP($B290, Result_Database!$A$2:$A$500, Result_Database!F$2:F$500),
  _xlfn.IFNA(_xlpm.result, "")
)</f>
        <v/>
      </c>
      <c r="H290" t="str">
        <f>_xlfn.LET(
  _xlpm.result, _xlfn.XLOOKUP($B290, Result_Database!$A$2:$A$500, Result_Database!G$2:G$500),
  _xlfn.IFNA(_xlpm.result, "")
)</f>
        <v/>
      </c>
      <c r="I290" t="str">
        <f>_xlfn.LET(
  _xlpm.result, _xlfn.XLOOKUP($B290, Result_Database!$A$2:$A$500, Result_Database!H$2:H$500),
  _xlfn.IFNA(_xlpm.result, "")
)</f>
        <v/>
      </c>
      <c r="J290" t="str">
        <f>_xlfn.LET(
  _xlpm.result, _xlfn.XLOOKUP($B290, Result_Database!$A$2:$A$500, Result_Database!I$2:I$500),
  _xlfn.IFNA(_xlpm.result, "")
)</f>
        <v/>
      </c>
      <c r="K290" t="str">
        <f>_xlfn.LET(
  _xlpm.result, _xlfn.XLOOKUP($B290, Result_Database!$A$2:$A$500, Result_Database!J$2:J$500),
  _xlfn.IFNA(_xlpm.result, "")
)</f>
        <v/>
      </c>
      <c r="L290" t="str">
        <f>_xlfn.LET(
  _xlpm.result, _xlfn.XLOOKUP($B290, Result_Database!$A$2:$A$500, Result_Database!K$2:K$500),
  _xlfn.IFNA(_xlpm.result, "")
)</f>
        <v/>
      </c>
      <c r="M290" t="str">
        <f>_xlfn.LET(
  _xlpm.result, _xlfn.XLOOKUP($B290, Result_Database!$A$2:$A$500, Result_Database!L$2:L$500),
  _xlfn.IFNA(_xlpm.result, "")
)</f>
        <v/>
      </c>
      <c r="N290" t="str">
        <f>_xlfn.LET(
  _xlpm.result, _xlfn.XLOOKUP($B290, Result_Database!$A$2:$A$500, Result_Database!M$2:M$500),
  _xlfn.IFNA(_xlpm.result, "")
)</f>
        <v/>
      </c>
      <c r="O290" t="str">
        <f>_xlfn.LET(
  _xlpm.result, _xlfn.XLOOKUP($B290, Result_Database!$A$2:$A$500, Result_Database!N$2:N$500),
  _xlfn.IFNA(_xlpm.result, "")
)</f>
        <v/>
      </c>
      <c r="P290" t="str">
        <f>_xlfn.LET(
  _xlpm.result, _xlfn.XLOOKUP($B290, Result_Database!$A$2:$A$500, Result_Database!O$2:O$500),
  _xlfn.IFNA(_xlpm.result, "")
)</f>
        <v/>
      </c>
      <c r="Q290" t="str">
        <f>_xlfn.LET(
  _xlpm.result, _xlfn.XLOOKUP($B290, Result_Database!$A$2:$A$500, Result_Database!P$2:P$500),
  _xlfn.IFNA(_xlpm.result, "")
)</f>
        <v/>
      </c>
      <c r="R290" t="str">
        <f>_xlfn.LET(
  _xlpm.result, _xlfn.XLOOKUP($B290, Result_Database!$A$2:$A$500, Result_Database!Q$2:Q$500),
  _xlfn.IFNA(_xlpm.result, "")
)</f>
        <v/>
      </c>
      <c r="S290" t="str">
        <f>_xlfn.LET(
  _xlpm.result, _xlfn.XLOOKUP($B290, Result_Database!$A$2:$A$500, Result_Database!R$2:R$500),
  _xlfn.IFNA(_xlpm.result, "")
)</f>
        <v/>
      </c>
      <c r="T290" t="str">
        <f>_xlfn.LET(
  _xlpm.result, _xlfn.XLOOKUP($B290, Result_Database!$A$2:$A$500, Result_Database!S$2:S$500),
  _xlfn.IFNA(_xlpm.result, "")
)</f>
        <v/>
      </c>
      <c r="U290" t="str">
        <f>_xlfn.LET(
  _xlpm.result, _xlfn.XLOOKUP($B290, Result_Database!$A$2:$A$500, Result_Database!T$2:T$500),
  _xlfn.IFNA(_xlpm.result, "")
)</f>
        <v/>
      </c>
      <c r="V290" t="str">
        <f>_xlfn.LET(
  _xlpm.result, _xlfn.XLOOKUP($B290, Result_Database!$A$2:$A$500, Result_Database!U$2:U$500),
  _xlfn.IFNA(_xlpm.result, "")
)</f>
        <v/>
      </c>
      <c r="W290" t="str">
        <f>_xlfn.LET(
  _xlpm.result, _xlfn.XLOOKUP($B290, Result_Database!$A$2:$A$500, Result_Database!V$2:V$500),
  _xlfn.IFNA(_xlpm.result, "")
)</f>
        <v/>
      </c>
      <c r="X290" t="str">
        <f>_xlfn.LET(
  _xlpm.result, _xlfn.XLOOKUP($B290, Result_Database!$A$2:$A$500, Result_Database!W$2:W$500),
  _xlfn.IFNA(_xlpm.result, "")
)</f>
        <v/>
      </c>
      <c r="Y290" t="str">
        <f>_xlfn.LET(
  _xlpm.result, _xlfn.XLOOKUP($B290, Result_Database!$A$2:$A$500, Result_Database!X$2:X$500),
  _xlfn.IFNA(_xlpm.result, "")
)</f>
        <v/>
      </c>
      <c r="Z290" t="str">
        <f>_xlfn.LET(
  _xlpm.result, _xlfn.XLOOKUP($B290, Result_Database!$A$2:$A$500, Result_Database!Y$2:Y$500),
  _xlfn.IFNA(_xlpm.result, "")
)</f>
        <v/>
      </c>
      <c r="AA290" t="str">
        <f>_xlfn.LET(
  _xlpm.result, _xlfn.XLOOKUP($B290, Result_Database!$A$2:$A$500, Result_Database!Z$2:Z$500),
  _xlfn.IFNA(_xlpm.result, "")
)</f>
        <v/>
      </c>
      <c r="AB290" t="str">
        <f>_xlfn.LET(
  _xlpm.result, _xlfn.XLOOKUP($B290, Result_Database!$A$2:$A$500, Result_Database!AA$2:AA$500),
  _xlfn.IFNA(_xlpm.result, "")
)</f>
        <v/>
      </c>
      <c r="AC290" t="str">
        <f>_xlfn.LET(
  _xlpm.result, _xlfn.XLOOKUP($B290, Result_Database!$A$2:$A$500, Result_Database!AB$2:AB$500),
  _xlfn.IFNA(_xlpm.result, "")
)</f>
        <v/>
      </c>
      <c r="AD290" t="str">
        <f>_xlfn.LET(
  _xlpm.result, _xlfn.XLOOKUP($B290, Result_Database!$A$2:$A$500, Result_Database!AC$2:AC$500),
  _xlfn.IFNA(_xlpm.result, "")
)</f>
        <v/>
      </c>
      <c r="AE290" t="str">
        <f>_xlfn.LET(
  _xlpm.result, _xlfn.XLOOKUP($B290, Result_Database!$A$2:$A$500, Result_Database!AD$2:AD$500),
  _xlfn.IFNA(_xlpm.result, "")
)</f>
        <v/>
      </c>
      <c r="AF290" t="str">
        <f>_xlfn.LET(
  _xlpm.result, _xlfn.XLOOKUP($B290, Result_Database!$A$2:$A$500, Result_Database!AE$2:AE$500),
  _xlfn.IFNA(_xlpm.result, "")
)</f>
        <v/>
      </c>
      <c r="AG290" t="str">
        <f>_xlfn.LET(
  _xlpm.result, _xlfn.XLOOKUP($B290, Result_Database!$A$2:$A$500, Result_Database!AF$2:AF$500),
  _xlfn.IFNA(_xlpm.result, "")
)</f>
        <v/>
      </c>
      <c r="AH290" t="str">
        <f>_xlfn.LET(
  _xlpm.result, _xlfn.XLOOKUP($B290, Result_Database!$A$2:$A$500, Result_Database!AG$2:AG$500),
  _xlfn.IFNA(_xlpm.result, "")
)</f>
        <v/>
      </c>
      <c r="AI290" t="str">
        <f>_xlfn.LET(
  _xlpm.result, _xlfn.XLOOKUP($B290, Result_Database!$A$2:$A$500, Result_Database!AH$2:AH$500),
  _xlfn.IFNA(_xlpm.result, "")
)</f>
        <v/>
      </c>
      <c r="AJ290" t="str">
        <f>_xlfn.LET(
  _xlpm.result, _xlfn.XLOOKUP($B290, Result_Database!$A$2:$A$500, Result_Database!AI$2:AI$500),
  _xlfn.IFNA(_xlpm.result, "")
)</f>
        <v/>
      </c>
      <c r="AK290" t="str">
        <f>_xlfn.LET(
  _xlpm.result, _xlfn.XLOOKUP($B290, Result_Database!$A$2:$A$500, Result_Database!AJ$2:AJ$500),
  _xlfn.IFNA(_xlpm.result, "")
)</f>
        <v/>
      </c>
      <c r="AL290" t="str">
        <f>_xlfn.LET(
  _xlpm.result, _xlfn.XLOOKUP($B290, Result_Database!$A$2:$A$500, Result_Database!AK$2:AK$500),
  _xlfn.IFNA(_xlpm.result, "")
)</f>
        <v/>
      </c>
      <c r="AM29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9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9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9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9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9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9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9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9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90" t="str">
        <f>IF(SUM(Table5[[#This Row],[A1]:[C6]])&lt;&gt;0,SUM(Table5[[#This Row],[A1]:[C6]]),"")</f>
        <v/>
      </c>
      <c r="AW290" t="str">
        <f>IF(SUM(Table5[[#This Row],[D7]:[F9]])=0,"",SUM(Table5[[#This Row],[D7]:[F9]]))</f>
        <v/>
      </c>
      <c r="AX29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9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9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9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9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9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90" t="str">
        <f>IF(COUNTIF(Table5[[#This Row],[English Language]:[Electrical/ Electronics]],"WITHHELD")=0,"",COUNTIF(Table5[[#This Row],[English Language]:[Electrical/ Electronics]],"WITHHELD"))</f>
        <v/>
      </c>
      <c r="BE290" t="str">
        <f>IF(SUM(Table5[[#This Row],[NO OF CREDITS]:[BELOW CREDITS]])=0,"",SUM(Table5[[#This Row],[NO OF CREDITS]:[BELOW CREDITS]]))</f>
        <v/>
      </c>
    </row>
    <row r="291" spans="1:57" x14ac:dyDescent="0.3">
      <c r="A291" t="str">
        <f>IF(B291&lt;&gt;"",COUNTA($B$6:B291),"")</f>
        <v/>
      </c>
      <c r="B291" t="str">
        <f>IF(Result_Database!A287="","",Result_Database!A287)</f>
        <v/>
      </c>
      <c r="C291" t="str">
        <f>_xlfn.LET(
_xlpm.result,_xlfn.XLOOKUP($B291,Result_Database!$A$2:$A$500,Result_Database!$B$2:$B$500),
_xlfn.IFNA(_xlpm.result,"")
)</f>
        <v/>
      </c>
      <c r="D291" t="str">
        <f>_xlfn.LET(
  _xlpm.result, _xlfn.XLOOKUP($B291, Result_Database!$A$2:$A$500, Result_Database!C$2:C$500),
  _xlfn.IFNA(_xlpm.result, "")
)</f>
        <v/>
      </c>
      <c r="E291" t="str">
        <f>_xlfn.LET(
  _xlpm.result, _xlfn.XLOOKUP($B291, Result_Database!$A$2:$A$500, Result_Database!D$2:D$500),
  _xlfn.IFNA(_xlpm.result, "")
)</f>
        <v/>
      </c>
      <c r="F291" t="str">
        <f>_xlfn.LET(
  _xlpm.result, _xlfn.XLOOKUP($B291, Result_Database!$A$2:$A$500, Result_Database!E$2:E$500),
  _xlfn.IFNA(_xlpm.result, "")
)</f>
        <v/>
      </c>
      <c r="G291" t="str">
        <f>_xlfn.LET(
  _xlpm.result, _xlfn.XLOOKUP($B291, Result_Database!$A$2:$A$500, Result_Database!F$2:F$500),
  _xlfn.IFNA(_xlpm.result, "")
)</f>
        <v/>
      </c>
      <c r="H291" t="str">
        <f>_xlfn.LET(
  _xlpm.result, _xlfn.XLOOKUP($B291, Result_Database!$A$2:$A$500, Result_Database!G$2:G$500),
  _xlfn.IFNA(_xlpm.result, "")
)</f>
        <v/>
      </c>
      <c r="I291" t="str">
        <f>_xlfn.LET(
  _xlpm.result, _xlfn.XLOOKUP($B291, Result_Database!$A$2:$A$500, Result_Database!H$2:H$500),
  _xlfn.IFNA(_xlpm.result, "")
)</f>
        <v/>
      </c>
      <c r="J291" t="str">
        <f>_xlfn.LET(
  _xlpm.result, _xlfn.XLOOKUP($B291, Result_Database!$A$2:$A$500, Result_Database!I$2:I$500),
  _xlfn.IFNA(_xlpm.result, "")
)</f>
        <v/>
      </c>
      <c r="K291" t="str">
        <f>_xlfn.LET(
  _xlpm.result, _xlfn.XLOOKUP($B291, Result_Database!$A$2:$A$500, Result_Database!J$2:J$500),
  _xlfn.IFNA(_xlpm.result, "")
)</f>
        <v/>
      </c>
      <c r="L291" t="str">
        <f>_xlfn.LET(
  _xlpm.result, _xlfn.XLOOKUP($B291, Result_Database!$A$2:$A$500, Result_Database!K$2:K$500),
  _xlfn.IFNA(_xlpm.result, "")
)</f>
        <v/>
      </c>
      <c r="M291" t="str">
        <f>_xlfn.LET(
  _xlpm.result, _xlfn.XLOOKUP($B291, Result_Database!$A$2:$A$500, Result_Database!L$2:L$500),
  _xlfn.IFNA(_xlpm.result, "")
)</f>
        <v/>
      </c>
      <c r="N291" t="str">
        <f>_xlfn.LET(
  _xlpm.result, _xlfn.XLOOKUP($B291, Result_Database!$A$2:$A$500, Result_Database!M$2:M$500),
  _xlfn.IFNA(_xlpm.result, "")
)</f>
        <v/>
      </c>
      <c r="O291" t="str">
        <f>_xlfn.LET(
  _xlpm.result, _xlfn.XLOOKUP($B291, Result_Database!$A$2:$A$500, Result_Database!N$2:N$500),
  _xlfn.IFNA(_xlpm.result, "")
)</f>
        <v/>
      </c>
      <c r="P291" t="str">
        <f>_xlfn.LET(
  _xlpm.result, _xlfn.XLOOKUP($B291, Result_Database!$A$2:$A$500, Result_Database!O$2:O$500),
  _xlfn.IFNA(_xlpm.result, "")
)</f>
        <v/>
      </c>
      <c r="Q291" t="str">
        <f>_xlfn.LET(
  _xlpm.result, _xlfn.XLOOKUP($B291, Result_Database!$A$2:$A$500, Result_Database!P$2:P$500),
  _xlfn.IFNA(_xlpm.result, "")
)</f>
        <v/>
      </c>
      <c r="R291" t="str">
        <f>_xlfn.LET(
  _xlpm.result, _xlfn.XLOOKUP($B291, Result_Database!$A$2:$A$500, Result_Database!Q$2:Q$500),
  _xlfn.IFNA(_xlpm.result, "")
)</f>
        <v/>
      </c>
      <c r="S291" t="str">
        <f>_xlfn.LET(
  _xlpm.result, _xlfn.XLOOKUP($B291, Result_Database!$A$2:$A$500, Result_Database!R$2:R$500),
  _xlfn.IFNA(_xlpm.result, "")
)</f>
        <v/>
      </c>
      <c r="T291" t="str">
        <f>_xlfn.LET(
  _xlpm.result, _xlfn.XLOOKUP($B291, Result_Database!$A$2:$A$500, Result_Database!S$2:S$500),
  _xlfn.IFNA(_xlpm.result, "")
)</f>
        <v/>
      </c>
      <c r="U291" t="str">
        <f>_xlfn.LET(
  _xlpm.result, _xlfn.XLOOKUP($B291, Result_Database!$A$2:$A$500, Result_Database!T$2:T$500),
  _xlfn.IFNA(_xlpm.result, "")
)</f>
        <v/>
      </c>
      <c r="V291" t="str">
        <f>_xlfn.LET(
  _xlpm.result, _xlfn.XLOOKUP($B291, Result_Database!$A$2:$A$500, Result_Database!U$2:U$500),
  _xlfn.IFNA(_xlpm.result, "")
)</f>
        <v/>
      </c>
      <c r="W291" t="str">
        <f>_xlfn.LET(
  _xlpm.result, _xlfn.XLOOKUP($B291, Result_Database!$A$2:$A$500, Result_Database!V$2:V$500),
  _xlfn.IFNA(_xlpm.result, "")
)</f>
        <v/>
      </c>
      <c r="X291" t="str">
        <f>_xlfn.LET(
  _xlpm.result, _xlfn.XLOOKUP($B291, Result_Database!$A$2:$A$500, Result_Database!W$2:W$500),
  _xlfn.IFNA(_xlpm.result, "")
)</f>
        <v/>
      </c>
      <c r="Y291" t="str">
        <f>_xlfn.LET(
  _xlpm.result, _xlfn.XLOOKUP($B291, Result_Database!$A$2:$A$500, Result_Database!X$2:X$500),
  _xlfn.IFNA(_xlpm.result, "")
)</f>
        <v/>
      </c>
      <c r="Z291" t="str">
        <f>_xlfn.LET(
  _xlpm.result, _xlfn.XLOOKUP($B291, Result_Database!$A$2:$A$500, Result_Database!Y$2:Y$500),
  _xlfn.IFNA(_xlpm.result, "")
)</f>
        <v/>
      </c>
      <c r="AA291" t="str">
        <f>_xlfn.LET(
  _xlpm.result, _xlfn.XLOOKUP($B291, Result_Database!$A$2:$A$500, Result_Database!Z$2:Z$500),
  _xlfn.IFNA(_xlpm.result, "")
)</f>
        <v/>
      </c>
      <c r="AB291" t="str">
        <f>_xlfn.LET(
  _xlpm.result, _xlfn.XLOOKUP($B291, Result_Database!$A$2:$A$500, Result_Database!AA$2:AA$500),
  _xlfn.IFNA(_xlpm.result, "")
)</f>
        <v/>
      </c>
      <c r="AC291" t="str">
        <f>_xlfn.LET(
  _xlpm.result, _xlfn.XLOOKUP($B291, Result_Database!$A$2:$A$500, Result_Database!AB$2:AB$500),
  _xlfn.IFNA(_xlpm.result, "")
)</f>
        <v/>
      </c>
      <c r="AD291" t="str">
        <f>_xlfn.LET(
  _xlpm.result, _xlfn.XLOOKUP($B291, Result_Database!$A$2:$A$500, Result_Database!AC$2:AC$500),
  _xlfn.IFNA(_xlpm.result, "")
)</f>
        <v/>
      </c>
      <c r="AE291" t="str">
        <f>_xlfn.LET(
  _xlpm.result, _xlfn.XLOOKUP($B291, Result_Database!$A$2:$A$500, Result_Database!AD$2:AD$500),
  _xlfn.IFNA(_xlpm.result, "")
)</f>
        <v/>
      </c>
      <c r="AF291" t="str">
        <f>_xlfn.LET(
  _xlpm.result, _xlfn.XLOOKUP($B291, Result_Database!$A$2:$A$500, Result_Database!AE$2:AE$500),
  _xlfn.IFNA(_xlpm.result, "")
)</f>
        <v/>
      </c>
      <c r="AG291" t="str">
        <f>_xlfn.LET(
  _xlpm.result, _xlfn.XLOOKUP($B291, Result_Database!$A$2:$A$500, Result_Database!AF$2:AF$500),
  _xlfn.IFNA(_xlpm.result, "")
)</f>
        <v/>
      </c>
      <c r="AH291" t="str">
        <f>_xlfn.LET(
  _xlpm.result, _xlfn.XLOOKUP($B291, Result_Database!$A$2:$A$500, Result_Database!AG$2:AG$500),
  _xlfn.IFNA(_xlpm.result, "")
)</f>
        <v/>
      </c>
      <c r="AI291" t="str">
        <f>_xlfn.LET(
  _xlpm.result, _xlfn.XLOOKUP($B291, Result_Database!$A$2:$A$500, Result_Database!AH$2:AH$500),
  _xlfn.IFNA(_xlpm.result, "")
)</f>
        <v/>
      </c>
      <c r="AJ291" t="str">
        <f>_xlfn.LET(
  _xlpm.result, _xlfn.XLOOKUP($B291, Result_Database!$A$2:$A$500, Result_Database!AI$2:AI$500),
  _xlfn.IFNA(_xlpm.result, "")
)</f>
        <v/>
      </c>
      <c r="AK291" t="str">
        <f>_xlfn.LET(
  _xlpm.result, _xlfn.XLOOKUP($B291, Result_Database!$A$2:$A$500, Result_Database!AJ$2:AJ$500),
  _xlfn.IFNA(_xlpm.result, "")
)</f>
        <v/>
      </c>
      <c r="AL291" t="str">
        <f>_xlfn.LET(
  _xlpm.result, _xlfn.XLOOKUP($B291, Result_Database!$A$2:$A$500, Result_Database!AK$2:AK$500),
  _xlfn.IFNA(_xlpm.result, "")
)</f>
        <v/>
      </c>
      <c r="AM29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9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9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9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9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9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9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9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9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91" t="str">
        <f>IF(SUM(Table5[[#This Row],[A1]:[C6]])&lt;&gt;0,SUM(Table5[[#This Row],[A1]:[C6]]),"")</f>
        <v/>
      </c>
      <c r="AW291" t="str">
        <f>IF(SUM(Table5[[#This Row],[D7]:[F9]])=0,"",SUM(Table5[[#This Row],[D7]:[F9]]))</f>
        <v/>
      </c>
      <c r="AX29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9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9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9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9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9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91" t="str">
        <f>IF(COUNTIF(Table5[[#This Row],[English Language]:[Electrical/ Electronics]],"WITHHELD")=0,"",COUNTIF(Table5[[#This Row],[English Language]:[Electrical/ Electronics]],"WITHHELD"))</f>
        <v/>
      </c>
      <c r="BE291" t="str">
        <f>IF(SUM(Table5[[#This Row],[NO OF CREDITS]:[BELOW CREDITS]])=0,"",SUM(Table5[[#This Row],[NO OF CREDITS]:[BELOW CREDITS]]))</f>
        <v/>
      </c>
    </row>
    <row r="292" spans="1:57" x14ac:dyDescent="0.3">
      <c r="A292" t="str">
        <f>IF(B292&lt;&gt;"",COUNTA($B$6:B292),"")</f>
        <v/>
      </c>
      <c r="B292" t="str">
        <f>IF(Result_Database!A288="","",Result_Database!A288)</f>
        <v/>
      </c>
      <c r="C292" t="str">
        <f>_xlfn.LET(
_xlpm.result,_xlfn.XLOOKUP($B292,Result_Database!$A$2:$A$500,Result_Database!$B$2:$B$500),
_xlfn.IFNA(_xlpm.result,"")
)</f>
        <v/>
      </c>
      <c r="D292" t="str">
        <f>_xlfn.LET(
  _xlpm.result, _xlfn.XLOOKUP($B292, Result_Database!$A$2:$A$500, Result_Database!C$2:C$500),
  _xlfn.IFNA(_xlpm.result, "")
)</f>
        <v/>
      </c>
      <c r="E292" t="str">
        <f>_xlfn.LET(
  _xlpm.result, _xlfn.XLOOKUP($B292, Result_Database!$A$2:$A$500, Result_Database!D$2:D$500),
  _xlfn.IFNA(_xlpm.result, "")
)</f>
        <v/>
      </c>
      <c r="F292" t="str">
        <f>_xlfn.LET(
  _xlpm.result, _xlfn.XLOOKUP($B292, Result_Database!$A$2:$A$500, Result_Database!E$2:E$500),
  _xlfn.IFNA(_xlpm.result, "")
)</f>
        <v/>
      </c>
      <c r="G292" t="str">
        <f>_xlfn.LET(
  _xlpm.result, _xlfn.XLOOKUP($B292, Result_Database!$A$2:$A$500, Result_Database!F$2:F$500),
  _xlfn.IFNA(_xlpm.result, "")
)</f>
        <v/>
      </c>
      <c r="H292" t="str">
        <f>_xlfn.LET(
  _xlpm.result, _xlfn.XLOOKUP($B292, Result_Database!$A$2:$A$500, Result_Database!G$2:G$500),
  _xlfn.IFNA(_xlpm.result, "")
)</f>
        <v/>
      </c>
      <c r="I292" t="str">
        <f>_xlfn.LET(
  _xlpm.result, _xlfn.XLOOKUP($B292, Result_Database!$A$2:$A$500, Result_Database!H$2:H$500),
  _xlfn.IFNA(_xlpm.result, "")
)</f>
        <v/>
      </c>
      <c r="J292" t="str">
        <f>_xlfn.LET(
  _xlpm.result, _xlfn.XLOOKUP($B292, Result_Database!$A$2:$A$500, Result_Database!I$2:I$500),
  _xlfn.IFNA(_xlpm.result, "")
)</f>
        <v/>
      </c>
      <c r="K292" t="str">
        <f>_xlfn.LET(
  _xlpm.result, _xlfn.XLOOKUP($B292, Result_Database!$A$2:$A$500, Result_Database!J$2:J$500),
  _xlfn.IFNA(_xlpm.result, "")
)</f>
        <v/>
      </c>
      <c r="L292" t="str">
        <f>_xlfn.LET(
  _xlpm.result, _xlfn.XLOOKUP($B292, Result_Database!$A$2:$A$500, Result_Database!K$2:K$500),
  _xlfn.IFNA(_xlpm.result, "")
)</f>
        <v/>
      </c>
      <c r="M292" t="str">
        <f>_xlfn.LET(
  _xlpm.result, _xlfn.XLOOKUP($B292, Result_Database!$A$2:$A$500, Result_Database!L$2:L$500),
  _xlfn.IFNA(_xlpm.result, "")
)</f>
        <v/>
      </c>
      <c r="N292" t="str">
        <f>_xlfn.LET(
  _xlpm.result, _xlfn.XLOOKUP($B292, Result_Database!$A$2:$A$500, Result_Database!M$2:M$500),
  _xlfn.IFNA(_xlpm.result, "")
)</f>
        <v/>
      </c>
      <c r="O292" t="str">
        <f>_xlfn.LET(
  _xlpm.result, _xlfn.XLOOKUP($B292, Result_Database!$A$2:$A$500, Result_Database!N$2:N$500),
  _xlfn.IFNA(_xlpm.result, "")
)</f>
        <v/>
      </c>
      <c r="P292" t="str">
        <f>_xlfn.LET(
  _xlpm.result, _xlfn.XLOOKUP($B292, Result_Database!$A$2:$A$500, Result_Database!O$2:O$500),
  _xlfn.IFNA(_xlpm.result, "")
)</f>
        <v/>
      </c>
      <c r="Q292" t="str">
        <f>_xlfn.LET(
  _xlpm.result, _xlfn.XLOOKUP($B292, Result_Database!$A$2:$A$500, Result_Database!P$2:P$500),
  _xlfn.IFNA(_xlpm.result, "")
)</f>
        <v/>
      </c>
      <c r="R292" t="str">
        <f>_xlfn.LET(
  _xlpm.result, _xlfn.XLOOKUP($B292, Result_Database!$A$2:$A$500, Result_Database!Q$2:Q$500),
  _xlfn.IFNA(_xlpm.result, "")
)</f>
        <v/>
      </c>
      <c r="S292" t="str">
        <f>_xlfn.LET(
  _xlpm.result, _xlfn.XLOOKUP($B292, Result_Database!$A$2:$A$500, Result_Database!R$2:R$500),
  _xlfn.IFNA(_xlpm.result, "")
)</f>
        <v/>
      </c>
      <c r="T292" t="str">
        <f>_xlfn.LET(
  _xlpm.result, _xlfn.XLOOKUP($B292, Result_Database!$A$2:$A$500, Result_Database!S$2:S$500),
  _xlfn.IFNA(_xlpm.result, "")
)</f>
        <v/>
      </c>
      <c r="U292" t="str">
        <f>_xlfn.LET(
  _xlpm.result, _xlfn.XLOOKUP($B292, Result_Database!$A$2:$A$500, Result_Database!T$2:T$500),
  _xlfn.IFNA(_xlpm.result, "")
)</f>
        <v/>
      </c>
      <c r="V292" t="str">
        <f>_xlfn.LET(
  _xlpm.result, _xlfn.XLOOKUP($B292, Result_Database!$A$2:$A$500, Result_Database!U$2:U$500),
  _xlfn.IFNA(_xlpm.result, "")
)</f>
        <v/>
      </c>
      <c r="W292" t="str">
        <f>_xlfn.LET(
  _xlpm.result, _xlfn.XLOOKUP($B292, Result_Database!$A$2:$A$500, Result_Database!V$2:V$500),
  _xlfn.IFNA(_xlpm.result, "")
)</f>
        <v/>
      </c>
      <c r="X292" t="str">
        <f>_xlfn.LET(
  _xlpm.result, _xlfn.XLOOKUP($B292, Result_Database!$A$2:$A$500, Result_Database!W$2:W$500),
  _xlfn.IFNA(_xlpm.result, "")
)</f>
        <v/>
      </c>
      <c r="Y292" t="str">
        <f>_xlfn.LET(
  _xlpm.result, _xlfn.XLOOKUP($B292, Result_Database!$A$2:$A$500, Result_Database!X$2:X$500),
  _xlfn.IFNA(_xlpm.result, "")
)</f>
        <v/>
      </c>
      <c r="Z292" t="str">
        <f>_xlfn.LET(
  _xlpm.result, _xlfn.XLOOKUP($B292, Result_Database!$A$2:$A$500, Result_Database!Y$2:Y$500),
  _xlfn.IFNA(_xlpm.result, "")
)</f>
        <v/>
      </c>
      <c r="AA292" t="str">
        <f>_xlfn.LET(
  _xlpm.result, _xlfn.XLOOKUP($B292, Result_Database!$A$2:$A$500, Result_Database!Z$2:Z$500),
  _xlfn.IFNA(_xlpm.result, "")
)</f>
        <v/>
      </c>
      <c r="AB292" t="str">
        <f>_xlfn.LET(
  _xlpm.result, _xlfn.XLOOKUP($B292, Result_Database!$A$2:$A$500, Result_Database!AA$2:AA$500),
  _xlfn.IFNA(_xlpm.result, "")
)</f>
        <v/>
      </c>
      <c r="AC292" t="str">
        <f>_xlfn.LET(
  _xlpm.result, _xlfn.XLOOKUP($B292, Result_Database!$A$2:$A$500, Result_Database!AB$2:AB$500),
  _xlfn.IFNA(_xlpm.result, "")
)</f>
        <v/>
      </c>
      <c r="AD292" t="str">
        <f>_xlfn.LET(
  _xlpm.result, _xlfn.XLOOKUP($B292, Result_Database!$A$2:$A$500, Result_Database!AC$2:AC$500),
  _xlfn.IFNA(_xlpm.result, "")
)</f>
        <v/>
      </c>
      <c r="AE292" t="str">
        <f>_xlfn.LET(
  _xlpm.result, _xlfn.XLOOKUP($B292, Result_Database!$A$2:$A$500, Result_Database!AD$2:AD$500),
  _xlfn.IFNA(_xlpm.result, "")
)</f>
        <v/>
      </c>
      <c r="AF292" t="str">
        <f>_xlfn.LET(
  _xlpm.result, _xlfn.XLOOKUP($B292, Result_Database!$A$2:$A$500, Result_Database!AE$2:AE$500),
  _xlfn.IFNA(_xlpm.result, "")
)</f>
        <v/>
      </c>
      <c r="AG292" t="str">
        <f>_xlfn.LET(
  _xlpm.result, _xlfn.XLOOKUP($B292, Result_Database!$A$2:$A$500, Result_Database!AF$2:AF$500),
  _xlfn.IFNA(_xlpm.result, "")
)</f>
        <v/>
      </c>
      <c r="AH292" t="str">
        <f>_xlfn.LET(
  _xlpm.result, _xlfn.XLOOKUP($B292, Result_Database!$A$2:$A$500, Result_Database!AG$2:AG$500),
  _xlfn.IFNA(_xlpm.result, "")
)</f>
        <v/>
      </c>
      <c r="AI292" t="str">
        <f>_xlfn.LET(
  _xlpm.result, _xlfn.XLOOKUP($B292, Result_Database!$A$2:$A$500, Result_Database!AH$2:AH$500),
  _xlfn.IFNA(_xlpm.result, "")
)</f>
        <v/>
      </c>
      <c r="AJ292" t="str">
        <f>_xlfn.LET(
  _xlpm.result, _xlfn.XLOOKUP($B292, Result_Database!$A$2:$A$500, Result_Database!AI$2:AI$500),
  _xlfn.IFNA(_xlpm.result, "")
)</f>
        <v/>
      </c>
      <c r="AK292" t="str">
        <f>_xlfn.LET(
  _xlpm.result, _xlfn.XLOOKUP($B292, Result_Database!$A$2:$A$500, Result_Database!AJ$2:AJ$500),
  _xlfn.IFNA(_xlpm.result, "")
)</f>
        <v/>
      </c>
      <c r="AL292" t="str">
        <f>_xlfn.LET(
  _xlpm.result, _xlfn.XLOOKUP($B292, Result_Database!$A$2:$A$500, Result_Database!AK$2:AK$500),
  _xlfn.IFNA(_xlpm.result, "")
)</f>
        <v/>
      </c>
      <c r="AM29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9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9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9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9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9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9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9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9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92" t="str">
        <f>IF(SUM(Table5[[#This Row],[A1]:[C6]])&lt;&gt;0,SUM(Table5[[#This Row],[A1]:[C6]]),"")</f>
        <v/>
      </c>
      <c r="AW292" t="str">
        <f>IF(SUM(Table5[[#This Row],[D7]:[F9]])=0,"",SUM(Table5[[#This Row],[D7]:[F9]]))</f>
        <v/>
      </c>
      <c r="AX29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9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9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9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9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9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92" t="str">
        <f>IF(COUNTIF(Table5[[#This Row],[English Language]:[Electrical/ Electronics]],"WITHHELD")=0,"",COUNTIF(Table5[[#This Row],[English Language]:[Electrical/ Electronics]],"WITHHELD"))</f>
        <v/>
      </c>
      <c r="BE292" t="str">
        <f>IF(SUM(Table5[[#This Row],[NO OF CREDITS]:[BELOW CREDITS]])=0,"",SUM(Table5[[#This Row],[NO OF CREDITS]:[BELOW CREDITS]]))</f>
        <v/>
      </c>
    </row>
    <row r="293" spans="1:57" x14ac:dyDescent="0.3">
      <c r="A293" t="str">
        <f>IF(B293&lt;&gt;"",COUNTA($B$6:B293),"")</f>
        <v/>
      </c>
      <c r="B293" t="str">
        <f>IF(Result_Database!A289="","",Result_Database!A289)</f>
        <v/>
      </c>
      <c r="C293" t="str">
        <f>_xlfn.LET(
_xlpm.result,_xlfn.XLOOKUP($B293,Result_Database!$A$2:$A$500,Result_Database!$B$2:$B$500),
_xlfn.IFNA(_xlpm.result,"")
)</f>
        <v/>
      </c>
      <c r="D293" t="str">
        <f>_xlfn.LET(
  _xlpm.result, _xlfn.XLOOKUP($B293, Result_Database!$A$2:$A$500, Result_Database!C$2:C$500),
  _xlfn.IFNA(_xlpm.result, "")
)</f>
        <v/>
      </c>
      <c r="E293" t="str">
        <f>_xlfn.LET(
  _xlpm.result, _xlfn.XLOOKUP($B293, Result_Database!$A$2:$A$500, Result_Database!D$2:D$500),
  _xlfn.IFNA(_xlpm.result, "")
)</f>
        <v/>
      </c>
      <c r="F293" t="str">
        <f>_xlfn.LET(
  _xlpm.result, _xlfn.XLOOKUP($B293, Result_Database!$A$2:$A$500, Result_Database!E$2:E$500),
  _xlfn.IFNA(_xlpm.result, "")
)</f>
        <v/>
      </c>
      <c r="G293" t="str">
        <f>_xlfn.LET(
  _xlpm.result, _xlfn.XLOOKUP($B293, Result_Database!$A$2:$A$500, Result_Database!F$2:F$500),
  _xlfn.IFNA(_xlpm.result, "")
)</f>
        <v/>
      </c>
      <c r="H293" t="str">
        <f>_xlfn.LET(
  _xlpm.result, _xlfn.XLOOKUP($B293, Result_Database!$A$2:$A$500, Result_Database!G$2:G$500),
  _xlfn.IFNA(_xlpm.result, "")
)</f>
        <v/>
      </c>
      <c r="I293" t="str">
        <f>_xlfn.LET(
  _xlpm.result, _xlfn.XLOOKUP($B293, Result_Database!$A$2:$A$500, Result_Database!H$2:H$500),
  _xlfn.IFNA(_xlpm.result, "")
)</f>
        <v/>
      </c>
      <c r="J293" t="str">
        <f>_xlfn.LET(
  _xlpm.result, _xlfn.XLOOKUP($B293, Result_Database!$A$2:$A$500, Result_Database!I$2:I$500),
  _xlfn.IFNA(_xlpm.result, "")
)</f>
        <v/>
      </c>
      <c r="K293" t="str">
        <f>_xlfn.LET(
  _xlpm.result, _xlfn.XLOOKUP($B293, Result_Database!$A$2:$A$500, Result_Database!J$2:J$500),
  _xlfn.IFNA(_xlpm.result, "")
)</f>
        <v/>
      </c>
      <c r="L293" t="str">
        <f>_xlfn.LET(
  _xlpm.result, _xlfn.XLOOKUP($B293, Result_Database!$A$2:$A$500, Result_Database!K$2:K$500),
  _xlfn.IFNA(_xlpm.result, "")
)</f>
        <v/>
      </c>
      <c r="M293" t="str">
        <f>_xlfn.LET(
  _xlpm.result, _xlfn.XLOOKUP($B293, Result_Database!$A$2:$A$500, Result_Database!L$2:L$500),
  _xlfn.IFNA(_xlpm.result, "")
)</f>
        <v/>
      </c>
      <c r="N293" t="str">
        <f>_xlfn.LET(
  _xlpm.result, _xlfn.XLOOKUP($B293, Result_Database!$A$2:$A$500, Result_Database!M$2:M$500),
  _xlfn.IFNA(_xlpm.result, "")
)</f>
        <v/>
      </c>
      <c r="O293" t="str">
        <f>_xlfn.LET(
  _xlpm.result, _xlfn.XLOOKUP($B293, Result_Database!$A$2:$A$500, Result_Database!N$2:N$500),
  _xlfn.IFNA(_xlpm.result, "")
)</f>
        <v/>
      </c>
      <c r="P293" t="str">
        <f>_xlfn.LET(
  _xlpm.result, _xlfn.XLOOKUP($B293, Result_Database!$A$2:$A$500, Result_Database!O$2:O$500),
  _xlfn.IFNA(_xlpm.result, "")
)</f>
        <v/>
      </c>
      <c r="Q293" t="str">
        <f>_xlfn.LET(
  _xlpm.result, _xlfn.XLOOKUP($B293, Result_Database!$A$2:$A$500, Result_Database!P$2:P$500),
  _xlfn.IFNA(_xlpm.result, "")
)</f>
        <v/>
      </c>
      <c r="R293" t="str">
        <f>_xlfn.LET(
  _xlpm.result, _xlfn.XLOOKUP($B293, Result_Database!$A$2:$A$500, Result_Database!Q$2:Q$500),
  _xlfn.IFNA(_xlpm.result, "")
)</f>
        <v/>
      </c>
      <c r="S293" t="str">
        <f>_xlfn.LET(
  _xlpm.result, _xlfn.XLOOKUP($B293, Result_Database!$A$2:$A$500, Result_Database!R$2:R$500),
  _xlfn.IFNA(_xlpm.result, "")
)</f>
        <v/>
      </c>
      <c r="T293" t="str">
        <f>_xlfn.LET(
  _xlpm.result, _xlfn.XLOOKUP($B293, Result_Database!$A$2:$A$500, Result_Database!S$2:S$500),
  _xlfn.IFNA(_xlpm.result, "")
)</f>
        <v/>
      </c>
      <c r="U293" t="str">
        <f>_xlfn.LET(
  _xlpm.result, _xlfn.XLOOKUP($B293, Result_Database!$A$2:$A$500, Result_Database!T$2:T$500),
  _xlfn.IFNA(_xlpm.result, "")
)</f>
        <v/>
      </c>
      <c r="V293" t="str">
        <f>_xlfn.LET(
  _xlpm.result, _xlfn.XLOOKUP($B293, Result_Database!$A$2:$A$500, Result_Database!U$2:U$500),
  _xlfn.IFNA(_xlpm.result, "")
)</f>
        <v/>
      </c>
      <c r="W293" t="str">
        <f>_xlfn.LET(
  _xlpm.result, _xlfn.XLOOKUP($B293, Result_Database!$A$2:$A$500, Result_Database!V$2:V$500),
  _xlfn.IFNA(_xlpm.result, "")
)</f>
        <v/>
      </c>
      <c r="X293" t="str">
        <f>_xlfn.LET(
  _xlpm.result, _xlfn.XLOOKUP($B293, Result_Database!$A$2:$A$500, Result_Database!W$2:W$500),
  _xlfn.IFNA(_xlpm.result, "")
)</f>
        <v/>
      </c>
      <c r="Y293" t="str">
        <f>_xlfn.LET(
  _xlpm.result, _xlfn.XLOOKUP($B293, Result_Database!$A$2:$A$500, Result_Database!X$2:X$500),
  _xlfn.IFNA(_xlpm.result, "")
)</f>
        <v/>
      </c>
      <c r="Z293" t="str">
        <f>_xlfn.LET(
  _xlpm.result, _xlfn.XLOOKUP($B293, Result_Database!$A$2:$A$500, Result_Database!Y$2:Y$500),
  _xlfn.IFNA(_xlpm.result, "")
)</f>
        <v/>
      </c>
      <c r="AA293" t="str">
        <f>_xlfn.LET(
  _xlpm.result, _xlfn.XLOOKUP($B293, Result_Database!$A$2:$A$500, Result_Database!Z$2:Z$500),
  _xlfn.IFNA(_xlpm.result, "")
)</f>
        <v/>
      </c>
      <c r="AB293" t="str">
        <f>_xlfn.LET(
  _xlpm.result, _xlfn.XLOOKUP($B293, Result_Database!$A$2:$A$500, Result_Database!AA$2:AA$500),
  _xlfn.IFNA(_xlpm.result, "")
)</f>
        <v/>
      </c>
      <c r="AC293" t="str">
        <f>_xlfn.LET(
  _xlpm.result, _xlfn.XLOOKUP($B293, Result_Database!$A$2:$A$500, Result_Database!AB$2:AB$500),
  _xlfn.IFNA(_xlpm.result, "")
)</f>
        <v/>
      </c>
      <c r="AD293" t="str">
        <f>_xlfn.LET(
  _xlpm.result, _xlfn.XLOOKUP($B293, Result_Database!$A$2:$A$500, Result_Database!AC$2:AC$500),
  _xlfn.IFNA(_xlpm.result, "")
)</f>
        <v/>
      </c>
      <c r="AE293" t="str">
        <f>_xlfn.LET(
  _xlpm.result, _xlfn.XLOOKUP($B293, Result_Database!$A$2:$A$500, Result_Database!AD$2:AD$500),
  _xlfn.IFNA(_xlpm.result, "")
)</f>
        <v/>
      </c>
      <c r="AF293" t="str">
        <f>_xlfn.LET(
  _xlpm.result, _xlfn.XLOOKUP($B293, Result_Database!$A$2:$A$500, Result_Database!AE$2:AE$500),
  _xlfn.IFNA(_xlpm.result, "")
)</f>
        <v/>
      </c>
      <c r="AG293" t="str">
        <f>_xlfn.LET(
  _xlpm.result, _xlfn.XLOOKUP($B293, Result_Database!$A$2:$A$500, Result_Database!AF$2:AF$500),
  _xlfn.IFNA(_xlpm.result, "")
)</f>
        <v/>
      </c>
      <c r="AH293" t="str">
        <f>_xlfn.LET(
  _xlpm.result, _xlfn.XLOOKUP($B293, Result_Database!$A$2:$A$500, Result_Database!AG$2:AG$500),
  _xlfn.IFNA(_xlpm.result, "")
)</f>
        <v/>
      </c>
      <c r="AI293" t="str">
        <f>_xlfn.LET(
  _xlpm.result, _xlfn.XLOOKUP($B293, Result_Database!$A$2:$A$500, Result_Database!AH$2:AH$500),
  _xlfn.IFNA(_xlpm.result, "")
)</f>
        <v/>
      </c>
      <c r="AJ293" t="str">
        <f>_xlfn.LET(
  _xlpm.result, _xlfn.XLOOKUP($B293, Result_Database!$A$2:$A$500, Result_Database!AI$2:AI$500),
  _xlfn.IFNA(_xlpm.result, "")
)</f>
        <v/>
      </c>
      <c r="AK293" t="str">
        <f>_xlfn.LET(
  _xlpm.result, _xlfn.XLOOKUP($B293, Result_Database!$A$2:$A$500, Result_Database!AJ$2:AJ$500),
  _xlfn.IFNA(_xlpm.result, "")
)</f>
        <v/>
      </c>
      <c r="AL293" t="str">
        <f>_xlfn.LET(
  _xlpm.result, _xlfn.XLOOKUP($B293, Result_Database!$A$2:$A$500, Result_Database!AK$2:AK$500),
  _xlfn.IFNA(_xlpm.result, "")
)</f>
        <v/>
      </c>
      <c r="AM29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9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9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9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9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9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9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9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9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93" t="str">
        <f>IF(SUM(Table5[[#This Row],[A1]:[C6]])&lt;&gt;0,SUM(Table5[[#This Row],[A1]:[C6]]),"")</f>
        <v/>
      </c>
      <c r="AW293" t="str">
        <f>IF(SUM(Table5[[#This Row],[D7]:[F9]])=0,"",SUM(Table5[[#This Row],[D7]:[F9]]))</f>
        <v/>
      </c>
      <c r="AX29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9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9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9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9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9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93" t="str">
        <f>IF(COUNTIF(Table5[[#This Row],[English Language]:[Electrical/ Electronics]],"WITHHELD")=0,"",COUNTIF(Table5[[#This Row],[English Language]:[Electrical/ Electronics]],"WITHHELD"))</f>
        <v/>
      </c>
      <c r="BE293" t="str">
        <f>IF(SUM(Table5[[#This Row],[NO OF CREDITS]:[BELOW CREDITS]])=0,"",SUM(Table5[[#This Row],[NO OF CREDITS]:[BELOW CREDITS]]))</f>
        <v/>
      </c>
    </row>
    <row r="294" spans="1:57" x14ac:dyDescent="0.3">
      <c r="A294" t="str">
        <f>IF(B294&lt;&gt;"",COUNTA($B$6:B294),"")</f>
        <v/>
      </c>
      <c r="B294" t="str">
        <f>IF(Result_Database!A290="","",Result_Database!A290)</f>
        <v/>
      </c>
      <c r="C294" t="str">
        <f>_xlfn.LET(
_xlpm.result,_xlfn.XLOOKUP($B294,Result_Database!$A$2:$A$500,Result_Database!$B$2:$B$500),
_xlfn.IFNA(_xlpm.result,"")
)</f>
        <v/>
      </c>
      <c r="D294" t="str">
        <f>_xlfn.LET(
  _xlpm.result, _xlfn.XLOOKUP($B294, Result_Database!$A$2:$A$500, Result_Database!C$2:C$500),
  _xlfn.IFNA(_xlpm.result, "")
)</f>
        <v/>
      </c>
      <c r="E294" t="str">
        <f>_xlfn.LET(
  _xlpm.result, _xlfn.XLOOKUP($B294, Result_Database!$A$2:$A$500, Result_Database!D$2:D$500),
  _xlfn.IFNA(_xlpm.result, "")
)</f>
        <v/>
      </c>
      <c r="F294" t="str">
        <f>_xlfn.LET(
  _xlpm.result, _xlfn.XLOOKUP($B294, Result_Database!$A$2:$A$500, Result_Database!E$2:E$500),
  _xlfn.IFNA(_xlpm.result, "")
)</f>
        <v/>
      </c>
      <c r="G294" t="str">
        <f>_xlfn.LET(
  _xlpm.result, _xlfn.XLOOKUP($B294, Result_Database!$A$2:$A$500, Result_Database!F$2:F$500),
  _xlfn.IFNA(_xlpm.result, "")
)</f>
        <v/>
      </c>
      <c r="H294" t="str">
        <f>_xlfn.LET(
  _xlpm.result, _xlfn.XLOOKUP($B294, Result_Database!$A$2:$A$500, Result_Database!G$2:G$500),
  _xlfn.IFNA(_xlpm.result, "")
)</f>
        <v/>
      </c>
      <c r="I294" t="str">
        <f>_xlfn.LET(
  _xlpm.result, _xlfn.XLOOKUP($B294, Result_Database!$A$2:$A$500, Result_Database!H$2:H$500),
  _xlfn.IFNA(_xlpm.result, "")
)</f>
        <v/>
      </c>
      <c r="J294" t="str">
        <f>_xlfn.LET(
  _xlpm.result, _xlfn.XLOOKUP($B294, Result_Database!$A$2:$A$500, Result_Database!I$2:I$500),
  _xlfn.IFNA(_xlpm.result, "")
)</f>
        <v/>
      </c>
      <c r="K294" t="str">
        <f>_xlfn.LET(
  _xlpm.result, _xlfn.XLOOKUP($B294, Result_Database!$A$2:$A$500, Result_Database!J$2:J$500),
  _xlfn.IFNA(_xlpm.result, "")
)</f>
        <v/>
      </c>
      <c r="L294" t="str">
        <f>_xlfn.LET(
  _xlpm.result, _xlfn.XLOOKUP($B294, Result_Database!$A$2:$A$500, Result_Database!K$2:K$500),
  _xlfn.IFNA(_xlpm.result, "")
)</f>
        <v/>
      </c>
      <c r="M294" t="str">
        <f>_xlfn.LET(
  _xlpm.result, _xlfn.XLOOKUP($B294, Result_Database!$A$2:$A$500, Result_Database!L$2:L$500),
  _xlfn.IFNA(_xlpm.result, "")
)</f>
        <v/>
      </c>
      <c r="N294" t="str">
        <f>_xlfn.LET(
  _xlpm.result, _xlfn.XLOOKUP($B294, Result_Database!$A$2:$A$500, Result_Database!M$2:M$500),
  _xlfn.IFNA(_xlpm.result, "")
)</f>
        <v/>
      </c>
      <c r="O294" t="str">
        <f>_xlfn.LET(
  _xlpm.result, _xlfn.XLOOKUP($B294, Result_Database!$A$2:$A$500, Result_Database!N$2:N$500),
  _xlfn.IFNA(_xlpm.result, "")
)</f>
        <v/>
      </c>
      <c r="P294" t="str">
        <f>_xlfn.LET(
  _xlpm.result, _xlfn.XLOOKUP($B294, Result_Database!$A$2:$A$500, Result_Database!O$2:O$500),
  _xlfn.IFNA(_xlpm.result, "")
)</f>
        <v/>
      </c>
      <c r="Q294" t="str">
        <f>_xlfn.LET(
  _xlpm.result, _xlfn.XLOOKUP($B294, Result_Database!$A$2:$A$500, Result_Database!P$2:P$500),
  _xlfn.IFNA(_xlpm.result, "")
)</f>
        <v/>
      </c>
      <c r="R294" t="str">
        <f>_xlfn.LET(
  _xlpm.result, _xlfn.XLOOKUP($B294, Result_Database!$A$2:$A$500, Result_Database!Q$2:Q$500),
  _xlfn.IFNA(_xlpm.result, "")
)</f>
        <v/>
      </c>
      <c r="S294" t="str">
        <f>_xlfn.LET(
  _xlpm.result, _xlfn.XLOOKUP($B294, Result_Database!$A$2:$A$500, Result_Database!R$2:R$500),
  _xlfn.IFNA(_xlpm.result, "")
)</f>
        <v/>
      </c>
      <c r="T294" t="str">
        <f>_xlfn.LET(
  _xlpm.result, _xlfn.XLOOKUP($B294, Result_Database!$A$2:$A$500, Result_Database!S$2:S$500),
  _xlfn.IFNA(_xlpm.result, "")
)</f>
        <v/>
      </c>
      <c r="U294" t="str">
        <f>_xlfn.LET(
  _xlpm.result, _xlfn.XLOOKUP($B294, Result_Database!$A$2:$A$500, Result_Database!T$2:T$500),
  _xlfn.IFNA(_xlpm.result, "")
)</f>
        <v/>
      </c>
      <c r="V294" t="str">
        <f>_xlfn.LET(
  _xlpm.result, _xlfn.XLOOKUP($B294, Result_Database!$A$2:$A$500, Result_Database!U$2:U$500),
  _xlfn.IFNA(_xlpm.result, "")
)</f>
        <v/>
      </c>
      <c r="W294" t="str">
        <f>_xlfn.LET(
  _xlpm.result, _xlfn.XLOOKUP($B294, Result_Database!$A$2:$A$500, Result_Database!V$2:V$500),
  _xlfn.IFNA(_xlpm.result, "")
)</f>
        <v/>
      </c>
      <c r="X294" t="str">
        <f>_xlfn.LET(
  _xlpm.result, _xlfn.XLOOKUP($B294, Result_Database!$A$2:$A$500, Result_Database!W$2:W$500),
  _xlfn.IFNA(_xlpm.result, "")
)</f>
        <v/>
      </c>
      <c r="Y294" t="str">
        <f>_xlfn.LET(
  _xlpm.result, _xlfn.XLOOKUP($B294, Result_Database!$A$2:$A$500, Result_Database!X$2:X$500),
  _xlfn.IFNA(_xlpm.result, "")
)</f>
        <v/>
      </c>
      <c r="Z294" t="str">
        <f>_xlfn.LET(
  _xlpm.result, _xlfn.XLOOKUP($B294, Result_Database!$A$2:$A$500, Result_Database!Y$2:Y$500),
  _xlfn.IFNA(_xlpm.result, "")
)</f>
        <v/>
      </c>
      <c r="AA294" t="str">
        <f>_xlfn.LET(
  _xlpm.result, _xlfn.XLOOKUP($B294, Result_Database!$A$2:$A$500, Result_Database!Z$2:Z$500),
  _xlfn.IFNA(_xlpm.result, "")
)</f>
        <v/>
      </c>
      <c r="AB294" t="str">
        <f>_xlfn.LET(
  _xlpm.result, _xlfn.XLOOKUP($B294, Result_Database!$A$2:$A$500, Result_Database!AA$2:AA$500),
  _xlfn.IFNA(_xlpm.result, "")
)</f>
        <v/>
      </c>
      <c r="AC294" t="str">
        <f>_xlfn.LET(
  _xlpm.result, _xlfn.XLOOKUP($B294, Result_Database!$A$2:$A$500, Result_Database!AB$2:AB$500),
  _xlfn.IFNA(_xlpm.result, "")
)</f>
        <v/>
      </c>
      <c r="AD294" t="str">
        <f>_xlfn.LET(
  _xlpm.result, _xlfn.XLOOKUP($B294, Result_Database!$A$2:$A$500, Result_Database!AC$2:AC$500),
  _xlfn.IFNA(_xlpm.result, "")
)</f>
        <v/>
      </c>
      <c r="AE294" t="str">
        <f>_xlfn.LET(
  _xlpm.result, _xlfn.XLOOKUP($B294, Result_Database!$A$2:$A$500, Result_Database!AD$2:AD$500),
  _xlfn.IFNA(_xlpm.result, "")
)</f>
        <v/>
      </c>
      <c r="AF294" t="str">
        <f>_xlfn.LET(
  _xlpm.result, _xlfn.XLOOKUP($B294, Result_Database!$A$2:$A$500, Result_Database!AE$2:AE$500),
  _xlfn.IFNA(_xlpm.result, "")
)</f>
        <v/>
      </c>
      <c r="AG294" t="str">
        <f>_xlfn.LET(
  _xlpm.result, _xlfn.XLOOKUP($B294, Result_Database!$A$2:$A$500, Result_Database!AF$2:AF$500),
  _xlfn.IFNA(_xlpm.result, "")
)</f>
        <v/>
      </c>
      <c r="AH294" t="str">
        <f>_xlfn.LET(
  _xlpm.result, _xlfn.XLOOKUP($B294, Result_Database!$A$2:$A$500, Result_Database!AG$2:AG$500),
  _xlfn.IFNA(_xlpm.result, "")
)</f>
        <v/>
      </c>
      <c r="AI294" t="str">
        <f>_xlfn.LET(
  _xlpm.result, _xlfn.XLOOKUP($B294, Result_Database!$A$2:$A$500, Result_Database!AH$2:AH$500),
  _xlfn.IFNA(_xlpm.result, "")
)</f>
        <v/>
      </c>
      <c r="AJ294" t="str">
        <f>_xlfn.LET(
  _xlpm.result, _xlfn.XLOOKUP($B294, Result_Database!$A$2:$A$500, Result_Database!AI$2:AI$500),
  _xlfn.IFNA(_xlpm.result, "")
)</f>
        <v/>
      </c>
      <c r="AK294" t="str">
        <f>_xlfn.LET(
  _xlpm.result, _xlfn.XLOOKUP($B294, Result_Database!$A$2:$A$500, Result_Database!AJ$2:AJ$500),
  _xlfn.IFNA(_xlpm.result, "")
)</f>
        <v/>
      </c>
      <c r="AL294" t="str">
        <f>_xlfn.LET(
  _xlpm.result, _xlfn.XLOOKUP($B294, Result_Database!$A$2:$A$500, Result_Database!AK$2:AK$500),
  _xlfn.IFNA(_xlpm.result, "")
)</f>
        <v/>
      </c>
      <c r="AM29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9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9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9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9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9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9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9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9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94" t="str">
        <f>IF(SUM(Table5[[#This Row],[A1]:[C6]])&lt;&gt;0,SUM(Table5[[#This Row],[A1]:[C6]]),"")</f>
        <v/>
      </c>
      <c r="AW294" t="str">
        <f>IF(SUM(Table5[[#This Row],[D7]:[F9]])=0,"",SUM(Table5[[#This Row],[D7]:[F9]]))</f>
        <v/>
      </c>
      <c r="AX29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9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9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9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9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9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94" t="str">
        <f>IF(COUNTIF(Table5[[#This Row],[English Language]:[Electrical/ Electronics]],"WITHHELD")=0,"",COUNTIF(Table5[[#This Row],[English Language]:[Electrical/ Electronics]],"WITHHELD"))</f>
        <v/>
      </c>
      <c r="BE294" t="str">
        <f>IF(SUM(Table5[[#This Row],[NO OF CREDITS]:[BELOW CREDITS]])=0,"",SUM(Table5[[#This Row],[NO OF CREDITS]:[BELOW CREDITS]]))</f>
        <v/>
      </c>
    </row>
    <row r="295" spans="1:57" x14ac:dyDescent="0.3">
      <c r="A295" t="str">
        <f>IF(B295&lt;&gt;"",COUNTA($B$6:B295),"")</f>
        <v/>
      </c>
      <c r="B295" t="str">
        <f>IF(Result_Database!A291="","",Result_Database!A291)</f>
        <v/>
      </c>
      <c r="C295" t="str">
        <f>_xlfn.LET(
_xlpm.result,_xlfn.XLOOKUP($B295,Result_Database!$A$2:$A$500,Result_Database!$B$2:$B$500),
_xlfn.IFNA(_xlpm.result,"")
)</f>
        <v/>
      </c>
      <c r="D295" t="str">
        <f>_xlfn.LET(
  _xlpm.result, _xlfn.XLOOKUP($B295, Result_Database!$A$2:$A$500, Result_Database!C$2:C$500),
  _xlfn.IFNA(_xlpm.result, "")
)</f>
        <v/>
      </c>
      <c r="E295" t="str">
        <f>_xlfn.LET(
  _xlpm.result, _xlfn.XLOOKUP($B295, Result_Database!$A$2:$A$500, Result_Database!D$2:D$500),
  _xlfn.IFNA(_xlpm.result, "")
)</f>
        <v/>
      </c>
      <c r="F295" t="str">
        <f>_xlfn.LET(
  _xlpm.result, _xlfn.XLOOKUP($B295, Result_Database!$A$2:$A$500, Result_Database!E$2:E$500),
  _xlfn.IFNA(_xlpm.result, "")
)</f>
        <v/>
      </c>
      <c r="G295" t="str">
        <f>_xlfn.LET(
  _xlpm.result, _xlfn.XLOOKUP($B295, Result_Database!$A$2:$A$500, Result_Database!F$2:F$500),
  _xlfn.IFNA(_xlpm.result, "")
)</f>
        <v/>
      </c>
      <c r="H295" t="str">
        <f>_xlfn.LET(
  _xlpm.result, _xlfn.XLOOKUP($B295, Result_Database!$A$2:$A$500, Result_Database!G$2:G$500),
  _xlfn.IFNA(_xlpm.result, "")
)</f>
        <v/>
      </c>
      <c r="I295" t="str">
        <f>_xlfn.LET(
  _xlpm.result, _xlfn.XLOOKUP($B295, Result_Database!$A$2:$A$500, Result_Database!H$2:H$500),
  _xlfn.IFNA(_xlpm.result, "")
)</f>
        <v/>
      </c>
      <c r="J295" t="str">
        <f>_xlfn.LET(
  _xlpm.result, _xlfn.XLOOKUP($B295, Result_Database!$A$2:$A$500, Result_Database!I$2:I$500),
  _xlfn.IFNA(_xlpm.result, "")
)</f>
        <v/>
      </c>
      <c r="K295" t="str">
        <f>_xlfn.LET(
  _xlpm.result, _xlfn.XLOOKUP($B295, Result_Database!$A$2:$A$500, Result_Database!J$2:J$500),
  _xlfn.IFNA(_xlpm.result, "")
)</f>
        <v/>
      </c>
      <c r="L295" t="str">
        <f>_xlfn.LET(
  _xlpm.result, _xlfn.XLOOKUP($B295, Result_Database!$A$2:$A$500, Result_Database!K$2:K$500),
  _xlfn.IFNA(_xlpm.result, "")
)</f>
        <v/>
      </c>
      <c r="M295" t="str">
        <f>_xlfn.LET(
  _xlpm.result, _xlfn.XLOOKUP($B295, Result_Database!$A$2:$A$500, Result_Database!L$2:L$500),
  _xlfn.IFNA(_xlpm.result, "")
)</f>
        <v/>
      </c>
      <c r="N295" t="str">
        <f>_xlfn.LET(
  _xlpm.result, _xlfn.XLOOKUP($B295, Result_Database!$A$2:$A$500, Result_Database!M$2:M$500),
  _xlfn.IFNA(_xlpm.result, "")
)</f>
        <v/>
      </c>
      <c r="O295" t="str">
        <f>_xlfn.LET(
  _xlpm.result, _xlfn.XLOOKUP($B295, Result_Database!$A$2:$A$500, Result_Database!N$2:N$500),
  _xlfn.IFNA(_xlpm.result, "")
)</f>
        <v/>
      </c>
      <c r="P295" t="str">
        <f>_xlfn.LET(
  _xlpm.result, _xlfn.XLOOKUP($B295, Result_Database!$A$2:$A$500, Result_Database!O$2:O$500),
  _xlfn.IFNA(_xlpm.result, "")
)</f>
        <v/>
      </c>
      <c r="Q295" t="str">
        <f>_xlfn.LET(
  _xlpm.result, _xlfn.XLOOKUP($B295, Result_Database!$A$2:$A$500, Result_Database!P$2:P$500),
  _xlfn.IFNA(_xlpm.result, "")
)</f>
        <v/>
      </c>
      <c r="R295" t="str">
        <f>_xlfn.LET(
  _xlpm.result, _xlfn.XLOOKUP($B295, Result_Database!$A$2:$A$500, Result_Database!Q$2:Q$500),
  _xlfn.IFNA(_xlpm.result, "")
)</f>
        <v/>
      </c>
      <c r="S295" t="str">
        <f>_xlfn.LET(
  _xlpm.result, _xlfn.XLOOKUP($B295, Result_Database!$A$2:$A$500, Result_Database!R$2:R$500),
  _xlfn.IFNA(_xlpm.result, "")
)</f>
        <v/>
      </c>
      <c r="T295" t="str">
        <f>_xlfn.LET(
  _xlpm.result, _xlfn.XLOOKUP($B295, Result_Database!$A$2:$A$500, Result_Database!S$2:S$500),
  _xlfn.IFNA(_xlpm.result, "")
)</f>
        <v/>
      </c>
      <c r="U295" t="str">
        <f>_xlfn.LET(
  _xlpm.result, _xlfn.XLOOKUP($B295, Result_Database!$A$2:$A$500, Result_Database!T$2:T$500),
  _xlfn.IFNA(_xlpm.result, "")
)</f>
        <v/>
      </c>
      <c r="V295" t="str">
        <f>_xlfn.LET(
  _xlpm.result, _xlfn.XLOOKUP($B295, Result_Database!$A$2:$A$500, Result_Database!U$2:U$500),
  _xlfn.IFNA(_xlpm.result, "")
)</f>
        <v/>
      </c>
      <c r="W295" t="str">
        <f>_xlfn.LET(
  _xlpm.result, _xlfn.XLOOKUP($B295, Result_Database!$A$2:$A$500, Result_Database!V$2:V$500),
  _xlfn.IFNA(_xlpm.result, "")
)</f>
        <v/>
      </c>
      <c r="X295" t="str">
        <f>_xlfn.LET(
  _xlpm.result, _xlfn.XLOOKUP($B295, Result_Database!$A$2:$A$500, Result_Database!W$2:W$500),
  _xlfn.IFNA(_xlpm.result, "")
)</f>
        <v/>
      </c>
      <c r="Y295" t="str">
        <f>_xlfn.LET(
  _xlpm.result, _xlfn.XLOOKUP($B295, Result_Database!$A$2:$A$500, Result_Database!X$2:X$500),
  _xlfn.IFNA(_xlpm.result, "")
)</f>
        <v/>
      </c>
      <c r="Z295" t="str">
        <f>_xlfn.LET(
  _xlpm.result, _xlfn.XLOOKUP($B295, Result_Database!$A$2:$A$500, Result_Database!Y$2:Y$500),
  _xlfn.IFNA(_xlpm.result, "")
)</f>
        <v/>
      </c>
      <c r="AA295" t="str">
        <f>_xlfn.LET(
  _xlpm.result, _xlfn.XLOOKUP($B295, Result_Database!$A$2:$A$500, Result_Database!Z$2:Z$500),
  _xlfn.IFNA(_xlpm.result, "")
)</f>
        <v/>
      </c>
      <c r="AB295" t="str">
        <f>_xlfn.LET(
  _xlpm.result, _xlfn.XLOOKUP($B295, Result_Database!$A$2:$A$500, Result_Database!AA$2:AA$500),
  _xlfn.IFNA(_xlpm.result, "")
)</f>
        <v/>
      </c>
      <c r="AC295" t="str">
        <f>_xlfn.LET(
  _xlpm.result, _xlfn.XLOOKUP($B295, Result_Database!$A$2:$A$500, Result_Database!AB$2:AB$500),
  _xlfn.IFNA(_xlpm.result, "")
)</f>
        <v/>
      </c>
      <c r="AD295" t="str">
        <f>_xlfn.LET(
  _xlpm.result, _xlfn.XLOOKUP($B295, Result_Database!$A$2:$A$500, Result_Database!AC$2:AC$500),
  _xlfn.IFNA(_xlpm.result, "")
)</f>
        <v/>
      </c>
      <c r="AE295" t="str">
        <f>_xlfn.LET(
  _xlpm.result, _xlfn.XLOOKUP($B295, Result_Database!$A$2:$A$500, Result_Database!AD$2:AD$500),
  _xlfn.IFNA(_xlpm.result, "")
)</f>
        <v/>
      </c>
      <c r="AF295" t="str">
        <f>_xlfn.LET(
  _xlpm.result, _xlfn.XLOOKUP($B295, Result_Database!$A$2:$A$500, Result_Database!AE$2:AE$500),
  _xlfn.IFNA(_xlpm.result, "")
)</f>
        <v/>
      </c>
      <c r="AG295" t="str">
        <f>_xlfn.LET(
  _xlpm.result, _xlfn.XLOOKUP($B295, Result_Database!$A$2:$A$500, Result_Database!AF$2:AF$500),
  _xlfn.IFNA(_xlpm.result, "")
)</f>
        <v/>
      </c>
      <c r="AH295" t="str">
        <f>_xlfn.LET(
  _xlpm.result, _xlfn.XLOOKUP($B295, Result_Database!$A$2:$A$500, Result_Database!AG$2:AG$500),
  _xlfn.IFNA(_xlpm.result, "")
)</f>
        <v/>
      </c>
      <c r="AI295" t="str">
        <f>_xlfn.LET(
  _xlpm.result, _xlfn.XLOOKUP($B295, Result_Database!$A$2:$A$500, Result_Database!AH$2:AH$500),
  _xlfn.IFNA(_xlpm.result, "")
)</f>
        <v/>
      </c>
      <c r="AJ295" t="str">
        <f>_xlfn.LET(
  _xlpm.result, _xlfn.XLOOKUP($B295, Result_Database!$A$2:$A$500, Result_Database!AI$2:AI$500),
  _xlfn.IFNA(_xlpm.result, "")
)</f>
        <v/>
      </c>
      <c r="AK295" t="str">
        <f>_xlfn.LET(
  _xlpm.result, _xlfn.XLOOKUP($B295, Result_Database!$A$2:$A$500, Result_Database!AJ$2:AJ$500),
  _xlfn.IFNA(_xlpm.result, "")
)</f>
        <v/>
      </c>
      <c r="AL295" t="str">
        <f>_xlfn.LET(
  _xlpm.result, _xlfn.XLOOKUP($B295, Result_Database!$A$2:$A$500, Result_Database!AK$2:AK$500),
  _xlfn.IFNA(_xlpm.result, "")
)</f>
        <v/>
      </c>
      <c r="AM29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9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9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9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9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9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9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9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9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95" t="str">
        <f>IF(SUM(Table5[[#This Row],[A1]:[C6]])&lt;&gt;0,SUM(Table5[[#This Row],[A1]:[C6]]),"")</f>
        <v/>
      </c>
      <c r="AW295" t="str">
        <f>IF(SUM(Table5[[#This Row],[D7]:[F9]])=0,"",SUM(Table5[[#This Row],[D7]:[F9]]))</f>
        <v/>
      </c>
      <c r="AX29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9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9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9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9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9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95" t="str">
        <f>IF(COUNTIF(Table5[[#This Row],[English Language]:[Electrical/ Electronics]],"WITHHELD")=0,"",COUNTIF(Table5[[#This Row],[English Language]:[Electrical/ Electronics]],"WITHHELD"))</f>
        <v/>
      </c>
      <c r="BE295" t="str">
        <f>IF(SUM(Table5[[#This Row],[NO OF CREDITS]:[BELOW CREDITS]])=0,"",SUM(Table5[[#This Row],[NO OF CREDITS]:[BELOW CREDITS]]))</f>
        <v/>
      </c>
    </row>
    <row r="296" spans="1:57" x14ac:dyDescent="0.3">
      <c r="A296" t="str">
        <f>IF(B296&lt;&gt;"",COUNTA($B$6:B296),"")</f>
        <v/>
      </c>
      <c r="B296" t="str">
        <f>IF(Result_Database!A292="","",Result_Database!A292)</f>
        <v/>
      </c>
      <c r="C296" t="str">
        <f>_xlfn.LET(
_xlpm.result,_xlfn.XLOOKUP($B296,Result_Database!$A$2:$A$500,Result_Database!$B$2:$B$500),
_xlfn.IFNA(_xlpm.result,"")
)</f>
        <v/>
      </c>
      <c r="D296" t="str">
        <f>_xlfn.LET(
  _xlpm.result, _xlfn.XLOOKUP($B296, Result_Database!$A$2:$A$500, Result_Database!C$2:C$500),
  _xlfn.IFNA(_xlpm.result, "")
)</f>
        <v/>
      </c>
      <c r="E296" t="str">
        <f>_xlfn.LET(
  _xlpm.result, _xlfn.XLOOKUP($B296, Result_Database!$A$2:$A$500, Result_Database!D$2:D$500),
  _xlfn.IFNA(_xlpm.result, "")
)</f>
        <v/>
      </c>
      <c r="F296" t="str">
        <f>_xlfn.LET(
  _xlpm.result, _xlfn.XLOOKUP($B296, Result_Database!$A$2:$A$500, Result_Database!E$2:E$500),
  _xlfn.IFNA(_xlpm.result, "")
)</f>
        <v/>
      </c>
      <c r="G296" t="str">
        <f>_xlfn.LET(
  _xlpm.result, _xlfn.XLOOKUP($B296, Result_Database!$A$2:$A$500, Result_Database!F$2:F$500),
  _xlfn.IFNA(_xlpm.result, "")
)</f>
        <v/>
      </c>
      <c r="H296" t="str">
        <f>_xlfn.LET(
  _xlpm.result, _xlfn.XLOOKUP($B296, Result_Database!$A$2:$A$500, Result_Database!G$2:G$500),
  _xlfn.IFNA(_xlpm.result, "")
)</f>
        <v/>
      </c>
      <c r="I296" t="str">
        <f>_xlfn.LET(
  _xlpm.result, _xlfn.XLOOKUP($B296, Result_Database!$A$2:$A$500, Result_Database!H$2:H$500),
  _xlfn.IFNA(_xlpm.result, "")
)</f>
        <v/>
      </c>
      <c r="J296" t="str">
        <f>_xlfn.LET(
  _xlpm.result, _xlfn.XLOOKUP($B296, Result_Database!$A$2:$A$500, Result_Database!I$2:I$500),
  _xlfn.IFNA(_xlpm.result, "")
)</f>
        <v/>
      </c>
      <c r="K296" t="str">
        <f>_xlfn.LET(
  _xlpm.result, _xlfn.XLOOKUP($B296, Result_Database!$A$2:$A$500, Result_Database!J$2:J$500),
  _xlfn.IFNA(_xlpm.result, "")
)</f>
        <v/>
      </c>
      <c r="L296" t="str">
        <f>_xlfn.LET(
  _xlpm.result, _xlfn.XLOOKUP($B296, Result_Database!$A$2:$A$500, Result_Database!K$2:K$500),
  _xlfn.IFNA(_xlpm.result, "")
)</f>
        <v/>
      </c>
      <c r="M296" t="str">
        <f>_xlfn.LET(
  _xlpm.result, _xlfn.XLOOKUP($B296, Result_Database!$A$2:$A$500, Result_Database!L$2:L$500),
  _xlfn.IFNA(_xlpm.result, "")
)</f>
        <v/>
      </c>
      <c r="N296" t="str">
        <f>_xlfn.LET(
  _xlpm.result, _xlfn.XLOOKUP($B296, Result_Database!$A$2:$A$500, Result_Database!M$2:M$500),
  _xlfn.IFNA(_xlpm.result, "")
)</f>
        <v/>
      </c>
      <c r="O296" t="str">
        <f>_xlfn.LET(
  _xlpm.result, _xlfn.XLOOKUP($B296, Result_Database!$A$2:$A$500, Result_Database!N$2:N$500),
  _xlfn.IFNA(_xlpm.result, "")
)</f>
        <v/>
      </c>
      <c r="P296" t="str">
        <f>_xlfn.LET(
  _xlpm.result, _xlfn.XLOOKUP($B296, Result_Database!$A$2:$A$500, Result_Database!O$2:O$500),
  _xlfn.IFNA(_xlpm.result, "")
)</f>
        <v/>
      </c>
      <c r="Q296" t="str">
        <f>_xlfn.LET(
  _xlpm.result, _xlfn.XLOOKUP($B296, Result_Database!$A$2:$A$500, Result_Database!P$2:P$500),
  _xlfn.IFNA(_xlpm.result, "")
)</f>
        <v/>
      </c>
      <c r="R296" t="str">
        <f>_xlfn.LET(
  _xlpm.result, _xlfn.XLOOKUP($B296, Result_Database!$A$2:$A$500, Result_Database!Q$2:Q$500),
  _xlfn.IFNA(_xlpm.result, "")
)</f>
        <v/>
      </c>
      <c r="S296" t="str">
        <f>_xlfn.LET(
  _xlpm.result, _xlfn.XLOOKUP($B296, Result_Database!$A$2:$A$500, Result_Database!R$2:R$500),
  _xlfn.IFNA(_xlpm.result, "")
)</f>
        <v/>
      </c>
      <c r="T296" t="str">
        <f>_xlfn.LET(
  _xlpm.result, _xlfn.XLOOKUP($B296, Result_Database!$A$2:$A$500, Result_Database!S$2:S$500),
  _xlfn.IFNA(_xlpm.result, "")
)</f>
        <v/>
      </c>
      <c r="U296" t="str">
        <f>_xlfn.LET(
  _xlpm.result, _xlfn.XLOOKUP($B296, Result_Database!$A$2:$A$500, Result_Database!T$2:T$500),
  _xlfn.IFNA(_xlpm.result, "")
)</f>
        <v/>
      </c>
      <c r="V296" t="str">
        <f>_xlfn.LET(
  _xlpm.result, _xlfn.XLOOKUP($B296, Result_Database!$A$2:$A$500, Result_Database!U$2:U$500),
  _xlfn.IFNA(_xlpm.result, "")
)</f>
        <v/>
      </c>
      <c r="W296" t="str">
        <f>_xlfn.LET(
  _xlpm.result, _xlfn.XLOOKUP($B296, Result_Database!$A$2:$A$500, Result_Database!V$2:V$500),
  _xlfn.IFNA(_xlpm.result, "")
)</f>
        <v/>
      </c>
      <c r="X296" t="str">
        <f>_xlfn.LET(
  _xlpm.result, _xlfn.XLOOKUP($B296, Result_Database!$A$2:$A$500, Result_Database!W$2:W$500),
  _xlfn.IFNA(_xlpm.result, "")
)</f>
        <v/>
      </c>
      <c r="Y296" t="str">
        <f>_xlfn.LET(
  _xlpm.result, _xlfn.XLOOKUP($B296, Result_Database!$A$2:$A$500, Result_Database!X$2:X$500),
  _xlfn.IFNA(_xlpm.result, "")
)</f>
        <v/>
      </c>
      <c r="Z296" t="str">
        <f>_xlfn.LET(
  _xlpm.result, _xlfn.XLOOKUP($B296, Result_Database!$A$2:$A$500, Result_Database!Y$2:Y$500),
  _xlfn.IFNA(_xlpm.result, "")
)</f>
        <v/>
      </c>
      <c r="AA296" t="str">
        <f>_xlfn.LET(
  _xlpm.result, _xlfn.XLOOKUP($B296, Result_Database!$A$2:$A$500, Result_Database!Z$2:Z$500),
  _xlfn.IFNA(_xlpm.result, "")
)</f>
        <v/>
      </c>
      <c r="AB296" t="str">
        <f>_xlfn.LET(
  _xlpm.result, _xlfn.XLOOKUP($B296, Result_Database!$A$2:$A$500, Result_Database!AA$2:AA$500),
  _xlfn.IFNA(_xlpm.result, "")
)</f>
        <v/>
      </c>
      <c r="AC296" t="str">
        <f>_xlfn.LET(
  _xlpm.result, _xlfn.XLOOKUP($B296, Result_Database!$A$2:$A$500, Result_Database!AB$2:AB$500),
  _xlfn.IFNA(_xlpm.result, "")
)</f>
        <v/>
      </c>
      <c r="AD296" t="str">
        <f>_xlfn.LET(
  _xlpm.result, _xlfn.XLOOKUP($B296, Result_Database!$A$2:$A$500, Result_Database!AC$2:AC$500),
  _xlfn.IFNA(_xlpm.result, "")
)</f>
        <v/>
      </c>
      <c r="AE296" t="str">
        <f>_xlfn.LET(
  _xlpm.result, _xlfn.XLOOKUP($B296, Result_Database!$A$2:$A$500, Result_Database!AD$2:AD$500),
  _xlfn.IFNA(_xlpm.result, "")
)</f>
        <v/>
      </c>
      <c r="AF296" t="str">
        <f>_xlfn.LET(
  _xlpm.result, _xlfn.XLOOKUP($B296, Result_Database!$A$2:$A$500, Result_Database!AE$2:AE$500),
  _xlfn.IFNA(_xlpm.result, "")
)</f>
        <v/>
      </c>
      <c r="AG296" t="str">
        <f>_xlfn.LET(
  _xlpm.result, _xlfn.XLOOKUP($B296, Result_Database!$A$2:$A$500, Result_Database!AF$2:AF$500),
  _xlfn.IFNA(_xlpm.result, "")
)</f>
        <v/>
      </c>
      <c r="AH296" t="str">
        <f>_xlfn.LET(
  _xlpm.result, _xlfn.XLOOKUP($B296, Result_Database!$A$2:$A$500, Result_Database!AG$2:AG$500),
  _xlfn.IFNA(_xlpm.result, "")
)</f>
        <v/>
      </c>
      <c r="AI296" t="str">
        <f>_xlfn.LET(
  _xlpm.result, _xlfn.XLOOKUP($B296, Result_Database!$A$2:$A$500, Result_Database!AH$2:AH$500),
  _xlfn.IFNA(_xlpm.result, "")
)</f>
        <v/>
      </c>
      <c r="AJ296" t="str">
        <f>_xlfn.LET(
  _xlpm.result, _xlfn.XLOOKUP($B296, Result_Database!$A$2:$A$500, Result_Database!AI$2:AI$500),
  _xlfn.IFNA(_xlpm.result, "")
)</f>
        <v/>
      </c>
      <c r="AK296" t="str">
        <f>_xlfn.LET(
  _xlpm.result, _xlfn.XLOOKUP($B296, Result_Database!$A$2:$A$500, Result_Database!AJ$2:AJ$500),
  _xlfn.IFNA(_xlpm.result, "")
)</f>
        <v/>
      </c>
      <c r="AL296" t="str">
        <f>_xlfn.LET(
  _xlpm.result, _xlfn.XLOOKUP($B296, Result_Database!$A$2:$A$500, Result_Database!AK$2:AK$500),
  _xlfn.IFNA(_xlpm.result, "")
)</f>
        <v/>
      </c>
      <c r="AM29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9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9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9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9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9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9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9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9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96" t="str">
        <f>IF(SUM(Table5[[#This Row],[A1]:[C6]])&lt;&gt;0,SUM(Table5[[#This Row],[A1]:[C6]]),"")</f>
        <v/>
      </c>
      <c r="AW296" t="str">
        <f>IF(SUM(Table5[[#This Row],[D7]:[F9]])=0,"",SUM(Table5[[#This Row],[D7]:[F9]]))</f>
        <v/>
      </c>
      <c r="AX29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9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9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9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9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9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96" t="str">
        <f>IF(COUNTIF(Table5[[#This Row],[English Language]:[Electrical/ Electronics]],"WITHHELD")=0,"",COUNTIF(Table5[[#This Row],[English Language]:[Electrical/ Electronics]],"WITHHELD"))</f>
        <v/>
      </c>
      <c r="BE296" t="str">
        <f>IF(SUM(Table5[[#This Row],[NO OF CREDITS]:[BELOW CREDITS]])=0,"",SUM(Table5[[#This Row],[NO OF CREDITS]:[BELOW CREDITS]]))</f>
        <v/>
      </c>
    </row>
    <row r="297" spans="1:57" x14ac:dyDescent="0.3">
      <c r="A297" t="str">
        <f>IF(B297&lt;&gt;"",COUNTA($B$6:B297),"")</f>
        <v/>
      </c>
      <c r="B297" t="str">
        <f>IF(Result_Database!A293="","",Result_Database!A293)</f>
        <v/>
      </c>
      <c r="C297" t="str">
        <f>_xlfn.LET(
_xlpm.result,_xlfn.XLOOKUP($B297,Result_Database!$A$2:$A$500,Result_Database!$B$2:$B$500),
_xlfn.IFNA(_xlpm.result,"")
)</f>
        <v/>
      </c>
      <c r="D297" t="str">
        <f>_xlfn.LET(
  _xlpm.result, _xlfn.XLOOKUP($B297, Result_Database!$A$2:$A$500, Result_Database!C$2:C$500),
  _xlfn.IFNA(_xlpm.result, "")
)</f>
        <v/>
      </c>
      <c r="E297" t="str">
        <f>_xlfn.LET(
  _xlpm.result, _xlfn.XLOOKUP($B297, Result_Database!$A$2:$A$500, Result_Database!D$2:D$500),
  _xlfn.IFNA(_xlpm.result, "")
)</f>
        <v/>
      </c>
      <c r="F297" t="str">
        <f>_xlfn.LET(
  _xlpm.result, _xlfn.XLOOKUP($B297, Result_Database!$A$2:$A$500, Result_Database!E$2:E$500),
  _xlfn.IFNA(_xlpm.result, "")
)</f>
        <v/>
      </c>
      <c r="G297" t="str">
        <f>_xlfn.LET(
  _xlpm.result, _xlfn.XLOOKUP($B297, Result_Database!$A$2:$A$500, Result_Database!F$2:F$500),
  _xlfn.IFNA(_xlpm.result, "")
)</f>
        <v/>
      </c>
      <c r="H297" t="str">
        <f>_xlfn.LET(
  _xlpm.result, _xlfn.XLOOKUP($B297, Result_Database!$A$2:$A$500, Result_Database!G$2:G$500),
  _xlfn.IFNA(_xlpm.result, "")
)</f>
        <v/>
      </c>
      <c r="I297" t="str">
        <f>_xlfn.LET(
  _xlpm.result, _xlfn.XLOOKUP($B297, Result_Database!$A$2:$A$500, Result_Database!H$2:H$500),
  _xlfn.IFNA(_xlpm.result, "")
)</f>
        <v/>
      </c>
      <c r="J297" t="str">
        <f>_xlfn.LET(
  _xlpm.result, _xlfn.XLOOKUP($B297, Result_Database!$A$2:$A$500, Result_Database!I$2:I$500),
  _xlfn.IFNA(_xlpm.result, "")
)</f>
        <v/>
      </c>
      <c r="K297" t="str">
        <f>_xlfn.LET(
  _xlpm.result, _xlfn.XLOOKUP($B297, Result_Database!$A$2:$A$500, Result_Database!J$2:J$500),
  _xlfn.IFNA(_xlpm.result, "")
)</f>
        <v/>
      </c>
      <c r="L297" t="str">
        <f>_xlfn.LET(
  _xlpm.result, _xlfn.XLOOKUP($B297, Result_Database!$A$2:$A$500, Result_Database!K$2:K$500),
  _xlfn.IFNA(_xlpm.result, "")
)</f>
        <v/>
      </c>
      <c r="M297" t="str">
        <f>_xlfn.LET(
  _xlpm.result, _xlfn.XLOOKUP($B297, Result_Database!$A$2:$A$500, Result_Database!L$2:L$500),
  _xlfn.IFNA(_xlpm.result, "")
)</f>
        <v/>
      </c>
      <c r="N297" t="str">
        <f>_xlfn.LET(
  _xlpm.result, _xlfn.XLOOKUP($B297, Result_Database!$A$2:$A$500, Result_Database!M$2:M$500),
  _xlfn.IFNA(_xlpm.result, "")
)</f>
        <v/>
      </c>
      <c r="O297" t="str">
        <f>_xlfn.LET(
  _xlpm.result, _xlfn.XLOOKUP($B297, Result_Database!$A$2:$A$500, Result_Database!N$2:N$500),
  _xlfn.IFNA(_xlpm.result, "")
)</f>
        <v/>
      </c>
      <c r="P297" t="str">
        <f>_xlfn.LET(
  _xlpm.result, _xlfn.XLOOKUP($B297, Result_Database!$A$2:$A$500, Result_Database!O$2:O$500),
  _xlfn.IFNA(_xlpm.result, "")
)</f>
        <v/>
      </c>
      <c r="Q297" t="str">
        <f>_xlfn.LET(
  _xlpm.result, _xlfn.XLOOKUP($B297, Result_Database!$A$2:$A$500, Result_Database!P$2:P$500),
  _xlfn.IFNA(_xlpm.result, "")
)</f>
        <v/>
      </c>
      <c r="R297" t="str">
        <f>_xlfn.LET(
  _xlpm.result, _xlfn.XLOOKUP($B297, Result_Database!$A$2:$A$500, Result_Database!Q$2:Q$500),
  _xlfn.IFNA(_xlpm.result, "")
)</f>
        <v/>
      </c>
      <c r="S297" t="str">
        <f>_xlfn.LET(
  _xlpm.result, _xlfn.XLOOKUP($B297, Result_Database!$A$2:$A$500, Result_Database!R$2:R$500),
  _xlfn.IFNA(_xlpm.result, "")
)</f>
        <v/>
      </c>
      <c r="T297" t="str">
        <f>_xlfn.LET(
  _xlpm.result, _xlfn.XLOOKUP($B297, Result_Database!$A$2:$A$500, Result_Database!S$2:S$500),
  _xlfn.IFNA(_xlpm.result, "")
)</f>
        <v/>
      </c>
      <c r="U297" t="str">
        <f>_xlfn.LET(
  _xlpm.result, _xlfn.XLOOKUP($B297, Result_Database!$A$2:$A$500, Result_Database!T$2:T$500),
  _xlfn.IFNA(_xlpm.result, "")
)</f>
        <v/>
      </c>
      <c r="V297" t="str">
        <f>_xlfn.LET(
  _xlpm.result, _xlfn.XLOOKUP($B297, Result_Database!$A$2:$A$500, Result_Database!U$2:U$500),
  _xlfn.IFNA(_xlpm.result, "")
)</f>
        <v/>
      </c>
      <c r="W297" t="str">
        <f>_xlfn.LET(
  _xlpm.result, _xlfn.XLOOKUP($B297, Result_Database!$A$2:$A$500, Result_Database!V$2:V$500),
  _xlfn.IFNA(_xlpm.result, "")
)</f>
        <v/>
      </c>
      <c r="X297" t="str">
        <f>_xlfn.LET(
  _xlpm.result, _xlfn.XLOOKUP($B297, Result_Database!$A$2:$A$500, Result_Database!W$2:W$500),
  _xlfn.IFNA(_xlpm.result, "")
)</f>
        <v/>
      </c>
      <c r="Y297" t="str">
        <f>_xlfn.LET(
  _xlpm.result, _xlfn.XLOOKUP($B297, Result_Database!$A$2:$A$500, Result_Database!X$2:X$500),
  _xlfn.IFNA(_xlpm.result, "")
)</f>
        <v/>
      </c>
      <c r="Z297" t="str">
        <f>_xlfn.LET(
  _xlpm.result, _xlfn.XLOOKUP($B297, Result_Database!$A$2:$A$500, Result_Database!Y$2:Y$500),
  _xlfn.IFNA(_xlpm.result, "")
)</f>
        <v/>
      </c>
      <c r="AA297" t="str">
        <f>_xlfn.LET(
  _xlpm.result, _xlfn.XLOOKUP($B297, Result_Database!$A$2:$A$500, Result_Database!Z$2:Z$500),
  _xlfn.IFNA(_xlpm.result, "")
)</f>
        <v/>
      </c>
      <c r="AB297" t="str">
        <f>_xlfn.LET(
  _xlpm.result, _xlfn.XLOOKUP($B297, Result_Database!$A$2:$A$500, Result_Database!AA$2:AA$500),
  _xlfn.IFNA(_xlpm.result, "")
)</f>
        <v/>
      </c>
      <c r="AC297" t="str">
        <f>_xlfn.LET(
  _xlpm.result, _xlfn.XLOOKUP($B297, Result_Database!$A$2:$A$500, Result_Database!AB$2:AB$500),
  _xlfn.IFNA(_xlpm.result, "")
)</f>
        <v/>
      </c>
      <c r="AD297" t="str">
        <f>_xlfn.LET(
  _xlpm.result, _xlfn.XLOOKUP($B297, Result_Database!$A$2:$A$500, Result_Database!AC$2:AC$500),
  _xlfn.IFNA(_xlpm.result, "")
)</f>
        <v/>
      </c>
      <c r="AE297" t="str">
        <f>_xlfn.LET(
  _xlpm.result, _xlfn.XLOOKUP($B297, Result_Database!$A$2:$A$500, Result_Database!AD$2:AD$500),
  _xlfn.IFNA(_xlpm.result, "")
)</f>
        <v/>
      </c>
      <c r="AF297" t="str">
        <f>_xlfn.LET(
  _xlpm.result, _xlfn.XLOOKUP($B297, Result_Database!$A$2:$A$500, Result_Database!AE$2:AE$500),
  _xlfn.IFNA(_xlpm.result, "")
)</f>
        <v/>
      </c>
      <c r="AG297" t="str">
        <f>_xlfn.LET(
  _xlpm.result, _xlfn.XLOOKUP($B297, Result_Database!$A$2:$A$500, Result_Database!AF$2:AF$500),
  _xlfn.IFNA(_xlpm.result, "")
)</f>
        <v/>
      </c>
      <c r="AH297" t="str">
        <f>_xlfn.LET(
  _xlpm.result, _xlfn.XLOOKUP($B297, Result_Database!$A$2:$A$500, Result_Database!AG$2:AG$500),
  _xlfn.IFNA(_xlpm.result, "")
)</f>
        <v/>
      </c>
      <c r="AI297" t="str">
        <f>_xlfn.LET(
  _xlpm.result, _xlfn.XLOOKUP($B297, Result_Database!$A$2:$A$500, Result_Database!AH$2:AH$500),
  _xlfn.IFNA(_xlpm.result, "")
)</f>
        <v/>
      </c>
      <c r="AJ297" t="str">
        <f>_xlfn.LET(
  _xlpm.result, _xlfn.XLOOKUP($B297, Result_Database!$A$2:$A$500, Result_Database!AI$2:AI$500),
  _xlfn.IFNA(_xlpm.result, "")
)</f>
        <v/>
      </c>
      <c r="AK297" t="str">
        <f>_xlfn.LET(
  _xlpm.result, _xlfn.XLOOKUP($B297, Result_Database!$A$2:$A$500, Result_Database!AJ$2:AJ$500),
  _xlfn.IFNA(_xlpm.result, "")
)</f>
        <v/>
      </c>
      <c r="AL297" t="str">
        <f>_xlfn.LET(
  _xlpm.result, _xlfn.XLOOKUP($B297, Result_Database!$A$2:$A$500, Result_Database!AK$2:AK$500),
  _xlfn.IFNA(_xlpm.result, "")
)</f>
        <v/>
      </c>
      <c r="AM29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9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9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9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9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9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9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9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9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97" t="str">
        <f>IF(SUM(Table5[[#This Row],[A1]:[C6]])&lt;&gt;0,SUM(Table5[[#This Row],[A1]:[C6]]),"")</f>
        <v/>
      </c>
      <c r="AW297" t="str">
        <f>IF(SUM(Table5[[#This Row],[D7]:[F9]])=0,"",SUM(Table5[[#This Row],[D7]:[F9]]))</f>
        <v/>
      </c>
      <c r="AX29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9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9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9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9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9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97" t="str">
        <f>IF(COUNTIF(Table5[[#This Row],[English Language]:[Electrical/ Electronics]],"WITHHELD")=0,"",COUNTIF(Table5[[#This Row],[English Language]:[Electrical/ Electronics]],"WITHHELD"))</f>
        <v/>
      </c>
      <c r="BE297" t="str">
        <f>IF(SUM(Table5[[#This Row],[NO OF CREDITS]:[BELOW CREDITS]])=0,"",SUM(Table5[[#This Row],[NO OF CREDITS]:[BELOW CREDITS]]))</f>
        <v/>
      </c>
    </row>
    <row r="298" spans="1:57" x14ac:dyDescent="0.3">
      <c r="A298" t="str">
        <f>IF(B298&lt;&gt;"",COUNTA($B$6:B298),"")</f>
        <v/>
      </c>
      <c r="B298" t="str">
        <f>IF(Result_Database!A294="","",Result_Database!A294)</f>
        <v/>
      </c>
      <c r="C298" t="str">
        <f>_xlfn.LET(
_xlpm.result,_xlfn.XLOOKUP($B298,Result_Database!$A$2:$A$500,Result_Database!$B$2:$B$500),
_xlfn.IFNA(_xlpm.result,"")
)</f>
        <v/>
      </c>
      <c r="D298" t="str">
        <f>_xlfn.LET(
  _xlpm.result, _xlfn.XLOOKUP($B298, Result_Database!$A$2:$A$500, Result_Database!C$2:C$500),
  _xlfn.IFNA(_xlpm.result, "")
)</f>
        <v/>
      </c>
      <c r="E298" t="str">
        <f>_xlfn.LET(
  _xlpm.result, _xlfn.XLOOKUP($B298, Result_Database!$A$2:$A$500, Result_Database!D$2:D$500),
  _xlfn.IFNA(_xlpm.result, "")
)</f>
        <v/>
      </c>
      <c r="F298" t="str">
        <f>_xlfn.LET(
  _xlpm.result, _xlfn.XLOOKUP($B298, Result_Database!$A$2:$A$500, Result_Database!E$2:E$500),
  _xlfn.IFNA(_xlpm.result, "")
)</f>
        <v/>
      </c>
      <c r="G298" t="str">
        <f>_xlfn.LET(
  _xlpm.result, _xlfn.XLOOKUP($B298, Result_Database!$A$2:$A$500, Result_Database!F$2:F$500),
  _xlfn.IFNA(_xlpm.result, "")
)</f>
        <v/>
      </c>
      <c r="H298" t="str">
        <f>_xlfn.LET(
  _xlpm.result, _xlfn.XLOOKUP($B298, Result_Database!$A$2:$A$500, Result_Database!G$2:G$500),
  _xlfn.IFNA(_xlpm.result, "")
)</f>
        <v/>
      </c>
      <c r="I298" t="str">
        <f>_xlfn.LET(
  _xlpm.result, _xlfn.XLOOKUP($B298, Result_Database!$A$2:$A$500, Result_Database!H$2:H$500),
  _xlfn.IFNA(_xlpm.result, "")
)</f>
        <v/>
      </c>
      <c r="J298" t="str">
        <f>_xlfn.LET(
  _xlpm.result, _xlfn.XLOOKUP($B298, Result_Database!$A$2:$A$500, Result_Database!I$2:I$500),
  _xlfn.IFNA(_xlpm.result, "")
)</f>
        <v/>
      </c>
      <c r="K298" t="str">
        <f>_xlfn.LET(
  _xlpm.result, _xlfn.XLOOKUP($B298, Result_Database!$A$2:$A$500, Result_Database!J$2:J$500),
  _xlfn.IFNA(_xlpm.result, "")
)</f>
        <v/>
      </c>
      <c r="L298" t="str">
        <f>_xlfn.LET(
  _xlpm.result, _xlfn.XLOOKUP($B298, Result_Database!$A$2:$A$500, Result_Database!K$2:K$500),
  _xlfn.IFNA(_xlpm.result, "")
)</f>
        <v/>
      </c>
      <c r="M298" t="str">
        <f>_xlfn.LET(
  _xlpm.result, _xlfn.XLOOKUP($B298, Result_Database!$A$2:$A$500, Result_Database!L$2:L$500),
  _xlfn.IFNA(_xlpm.result, "")
)</f>
        <v/>
      </c>
      <c r="N298" t="str">
        <f>_xlfn.LET(
  _xlpm.result, _xlfn.XLOOKUP($B298, Result_Database!$A$2:$A$500, Result_Database!M$2:M$500),
  _xlfn.IFNA(_xlpm.result, "")
)</f>
        <v/>
      </c>
      <c r="O298" t="str">
        <f>_xlfn.LET(
  _xlpm.result, _xlfn.XLOOKUP($B298, Result_Database!$A$2:$A$500, Result_Database!N$2:N$500),
  _xlfn.IFNA(_xlpm.result, "")
)</f>
        <v/>
      </c>
      <c r="P298" t="str">
        <f>_xlfn.LET(
  _xlpm.result, _xlfn.XLOOKUP($B298, Result_Database!$A$2:$A$500, Result_Database!O$2:O$500),
  _xlfn.IFNA(_xlpm.result, "")
)</f>
        <v/>
      </c>
      <c r="Q298" t="str">
        <f>_xlfn.LET(
  _xlpm.result, _xlfn.XLOOKUP($B298, Result_Database!$A$2:$A$500, Result_Database!P$2:P$500),
  _xlfn.IFNA(_xlpm.result, "")
)</f>
        <v/>
      </c>
      <c r="R298" t="str">
        <f>_xlfn.LET(
  _xlpm.result, _xlfn.XLOOKUP($B298, Result_Database!$A$2:$A$500, Result_Database!Q$2:Q$500),
  _xlfn.IFNA(_xlpm.result, "")
)</f>
        <v/>
      </c>
      <c r="S298" t="str">
        <f>_xlfn.LET(
  _xlpm.result, _xlfn.XLOOKUP($B298, Result_Database!$A$2:$A$500, Result_Database!R$2:R$500),
  _xlfn.IFNA(_xlpm.result, "")
)</f>
        <v/>
      </c>
      <c r="T298" t="str">
        <f>_xlfn.LET(
  _xlpm.result, _xlfn.XLOOKUP($B298, Result_Database!$A$2:$A$500, Result_Database!S$2:S$500),
  _xlfn.IFNA(_xlpm.result, "")
)</f>
        <v/>
      </c>
      <c r="U298" t="str">
        <f>_xlfn.LET(
  _xlpm.result, _xlfn.XLOOKUP($B298, Result_Database!$A$2:$A$500, Result_Database!T$2:T$500),
  _xlfn.IFNA(_xlpm.result, "")
)</f>
        <v/>
      </c>
      <c r="V298" t="str">
        <f>_xlfn.LET(
  _xlpm.result, _xlfn.XLOOKUP($B298, Result_Database!$A$2:$A$500, Result_Database!U$2:U$500),
  _xlfn.IFNA(_xlpm.result, "")
)</f>
        <v/>
      </c>
      <c r="W298" t="str">
        <f>_xlfn.LET(
  _xlpm.result, _xlfn.XLOOKUP($B298, Result_Database!$A$2:$A$500, Result_Database!V$2:V$500),
  _xlfn.IFNA(_xlpm.result, "")
)</f>
        <v/>
      </c>
      <c r="X298" t="str">
        <f>_xlfn.LET(
  _xlpm.result, _xlfn.XLOOKUP($B298, Result_Database!$A$2:$A$500, Result_Database!W$2:W$500),
  _xlfn.IFNA(_xlpm.result, "")
)</f>
        <v/>
      </c>
      <c r="Y298" t="str">
        <f>_xlfn.LET(
  _xlpm.result, _xlfn.XLOOKUP($B298, Result_Database!$A$2:$A$500, Result_Database!X$2:X$500),
  _xlfn.IFNA(_xlpm.result, "")
)</f>
        <v/>
      </c>
      <c r="Z298" t="str">
        <f>_xlfn.LET(
  _xlpm.result, _xlfn.XLOOKUP($B298, Result_Database!$A$2:$A$500, Result_Database!Y$2:Y$500),
  _xlfn.IFNA(_xlpm.result, "")
)</f>
        <v/>
      </c>
      <c r="AA298" t="str">
        <f>_xlfn.LET(
  _xlpm.result, _xlfn.XLOOKUP($B298, Result_Database!$A$2:$A$500, Result_Database!Z$2:Z$500),
  _xlfn.IFNA(_xlpm.result, "")
)</f>
        <v/>
      </c>
      <c r="AB298" t="str">
        <f>_xlfn.LET(
  _xlpm.result, _xlfn.XLOOKUP($B298, Result_Database!$A$2:$A$500, Result_Database!AA$2:AA$500),
  _xlfn.IFNA(_xlpm.result, "")
)</f>
        <v/>
      </c>
      <c r="AC298" t="str">
        <f>_xlfn.LET(
  _xlpm.result, _xlfn.XLOOKUP($B298, Result_Database!$A$2:$A$500, Result_Database!AB$2:AB$500),
  _xlfn.IFNA(_xlpm.result, "")
)</f>
        <v/>
      </c>
      <c r="AD298" t="str">
        <f>_xlfn.LET(
  _xlpm.result, _xlfn.XLOOKUP($B298, Result_Database!$A$2:$A$500, Result_Database!AC$2:AC$500),
  _xlfn.IFNA(_xlpm.result, "")
)</f>
        <v/>
      </c>
      <c r="AE298" t="str">
        <f>_xlfn.LET(
  _xlpm.result, _xlfn.XLOOKUP($B298, Result_Database!$A$2:$A$500, Result_Database!AD$2:AD$500),
  _xlfn.IFNA(_xlpm.result, "")
)</f>
        <v/>
      </c>
      <c r="AF298" t="str">
        <f>_xlfn.LET(
  _xlpm.result, _xlfn.XLOOKUP($B298, Result_Database!$A$2:$A$500, Result_Database!AE$2:AE$500),
  _xlfn.IFNA(_xlpm.result, "")
)</f>
        <v/>
      </c>
      <c r="AG298" t="str">
        <f>_xlfn.LET(
  _xlpm.result, _xlfn.XLOOKUP($B298, Result_Database!$A$2:$A$500, Result_Database!AF$2:AF$500),
  _xlfn.IFNA(_xlpm.result, "")
)</f>
        <v/>
      </c>
      <c r="AH298" t="str">
        <f>_xlfn.LET(
  _xlpm.result, _xlfn.XLOOKUP($B298, Result_Database!$A$2:$A$500, Result_Database!AG$2:AG$500),
  _xlfn.IFNA(_xlpm.result, "")
)</f>
        <v/>
      </c>
      <c r="AI298" t="str">
        <f>_xlfn.LET(
  _xlpm.result, _xlfn.XLOOKUP($B298, Result_Database!$A$2:$A$500, Result_Database!AH$2:AH$500),
  _xlfn.IFNA(_xlpm.result, "")
)</f>
        <v/>
      </c>
      <c r="AJ298" t="str">
        <f>_xlfn.LET(
  _xlpm.result, _xlfn.XLOOKUP($B298, Result_Database!$A$2:$A$500, Result_Database!AI$2:AI$500),
  _xlfn.IFNA(_xlpm.result, "")
)</f>
        <v/>
      </c>
      <c r="AK298" t="str">
        <f>_xlfn.LET(
  _xlpm.result, _xlfn.XLOOKUP($B298, Result_Database!$A$2:$A$500, Result_Database!AJ$2:AJ$500),
  _xlfn.IFNA(_xlpm.result, "")
)</f>
        <v/>
      </c>
      <c r="AL298" t="str">
        <f>_xlfn.LET(
  _xlpm.result, _xlfn.XLOOKUP($B298, Result_Database!$A$2:$A$500, Result_Database!AK$2:AK$500),
  _xlfn.IFNA(_xlpm.result, "")
)</f>
        <v/>
      </c>
      <c r="AM29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9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9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9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9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9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9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9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9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98" t="str">
        <f>IF(SUM(Table5[[#This Row],[A1]:[C6]])&lt;&gt;0,SUM(Table5[[#This Row],[A1]:[C6]]),"")</f>
        <v/>
      </c>
      <c r="AW298" t="str">
        <f>IF(SUM(Table5[[#This Row],[D7]:[F9]])=0,"",SUM(Table5[[#This Row],[D7]:[F9]]))</f>
        <v/>
      </c>
      <c r="AX29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9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9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9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9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9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98" t="str">
        <f>IF(COUNTIF(Table5[[#This Row],[English Language]:[Electrical/ Electronics]],"WITHHELD")=0,"",COUNTIF(Table5[[#This Row],[English Language]:[Electrical/ Electronics]],"WITHHELD"))</f>
        <v/>
      </c>
      <c r="BE298" t="str">
        <f>IF(SUM(Table5[[#This Row],[NO OF CREDITS]:[BELOW CREDITS]])=0,"",SUM(Table5[[#This Row],[NO OF CREDITS]:[BELOW CREDITS]]))</f>
        <v/>
      </c>
    </row>
    <row r="299" spans="1:57" x14ac:dyDescent="0.3">
      <c r="A299" t="str">
        <f>IF(B299&lt;&gt;"",COUNTA($B$6:B299),"")</f>
        <v/>
      </c>
      <c r="B299" t="str">
        <f>IF(Result_Database!A295="","",Result_Database!A295)</f>
        <v/>
      </c>
      <c r="C299" t="str">
        <f>_xlfn.LET(
_xlpm.result,_xlfn.XLOOKUP($B299,Result_Database!$A$2:$A$500,Result_Database!$B$2:$B$500),
_xlfn.IFNA(_xlpm.result,"")
)</f>
        <v/>
      </c>
      <c r="D299" t="str">
        <f>_xlfn.LET(
  _xlpm.result, _xlfn.XLOOKUP($B299, Result_Database!$A$2:$A$500, Result_Database!C$2:C$500),
  _xlfn.IFNA(_xlpm.result, "")
)</f>
        <v/>
      </c>
      <c r="E299" t="str">
        <f>_xlfn.LET(
  _xlpm.result, _xlfn.XLOOKUP($B299, Result_Database!$A$2:$A$500, Result_Database!D$2:D$500),
  _xlfn.IFNA(_xlpm.result, "")
)</f>
        <v/>
      </c>
      <c r="F299" t="str">
        <f>_xlfn.LET(
  _xlpm.result, _xlfn.XLOOKUP($B299, Result_Database!$A$2:$A$500, Result_Database!E$2:E$500),
  _xlfn.IFNA(_xlpm.result, "")
)</f>
        <v/>
      </c>
      <c r="G299" t="str">
        <f>_xlfn.LET(
  _xlpm.result, _xlfn.XLOOKUP($B299, Result_Database!$A$2:$A$500, Result_Database!F$2:F$500),
  _xlfn.IFNA(_xlpm.result, "")
)</f>
        <v/>
      </c>
      <c r="H299" t="str">
        <f>_xlfn.LET(
  _xlpm.result, _xlfn.XLOOKUP($B299, Result_Database!$A$2:$A$500, Result_Database!G$2:G$500),
  _xlfn.IFNA(_xlpm.result, "")
)</f>
        <v/>
      </c>
      <c r="I299" t="str">
        <f>_xlfn.LET(
  _xlpm.result, _xlfn.XLOOKUP($B299, Result_Database!$A$2:$A$500, Result_Database!H$2:H$500),
  _xlfn.IFNA(_xlpm.result, "")
)</f>
        <v/>
      </c>
      <c r="J299" t="str">
        <f>_xlfn.LET(
  _xlpm.result, _xlfn.XLOOKUP($B299, Result_Database!$A$2:$A$500, Result_Database!I$2:I$500),
  _xlfn.IFNA(_xlpm.result, "")
)</f>
        <v/>
      </c>
      <c r="K299" t="str">
        <f>_xlfn.LET(
  _xlpm.result, _xlfn.XLOOKUP($B299, Result_Database!$A$2:$A$500, Result_Database!J$2:J$500),
  _xlfn.IFNA(_xlpm.result, "")
)</f>
        <v/>
      </c>
      <c r="L299" t="str">
        <f>_xlfn.LET(
  _xlpm.result, _xlfn.XLOOKUP($B299, Result_Database!$A$2:$A$500, Result_Database!K$2:K$500),
  _xlfn.IFNA(_xlpm.result, "")
)</f>
        <v/>
      </c>
      <c r="M299" t="str">
        <f>_xlfn.LET(
  _xlpm.result, _xlfn.XLOOKUP($B299, Result_Database!$A$2:$A$500, Result_Database!L$2:L$500),
  _xlfn.IFNA(_xlpm.result, "")
)</f>
        <v/>
      </c>
      <c r="N299" t="str">
        <f>_xlfn.LET(
  _xlpm.result, _xlfn.XLOOKUP($B299, Result_Database!$A$2:$A$500, Result_Database!M$2:M$500),
  _xlfn.IFNA(_xlpm.result, "")
)</f>
        <v/>
      </c>
      <c r="O299" t="str">
        <f>_xlfn.LET(
  _xlpm.result, _xlfn.XLOOKUP($B299, Result_Database!$A$2:$A$500, Result_Database!N$2:N$500),
  _xlfn.IFNA(_xlpm.result, "")
)</f>
        <v/>
      </c>
      <c r="P299" t="str">
        <f>_xlfn.LET(
  _xlpm.result, _xlfn.XLOOKUP($B299, Result_Database!$A$2:$A$500, Result_Database!O$2:O$500),
  _xlfn.IFNA(_xlpm.result, "")
)</f>
        <v/>
      </c>
      <c r="Q299" t="str">
        <f>_xlfn.LET(
  _xlpm.result, _xlfn.XLOOKUP($B299, Result_Database!$A$2:$A$500, Result_Database!P$2:P$500),
  _xlfn.IFNA(_xlpm.result, "")
)</f>
        <v/>
      </c>
      <c r="R299" t="str">
        <f>_xlfn.LET(
  _xlpm.result, _xlfn.XLOOKUP($B299, Result_Database!$A$2:$A$500, Result_Database!Q$2:Q$500),
  _xlfn.IFNA(_xlpm.result, "")
)</f>
        <v/>
      </c>
      <c r="S299" t="str">
        <f>_xlfn.LET(
  _xlpm.result, _xlfn.XLOOKUP($B299, Result_Database!$A$2:$A$500, Result_Database!R$2:R$500),
  _xlfn.IFNA(_xlpm.result, "")
)</f>
        <v/>
      </c>
      <c r="T299" t="str">
        <f>_xlfn.LET(
  _xlpm.result, _xlfn.XLOOKUP($B299, Result_Database!$A$2:$A$500, Result_Database!S$2:S$500),
  _xlfn.IFNA(_xlpm.result, "")
)</f>
        <v/>
      </c>
      <c r="U299" t="str">
        <f>_xlfn.LET(
  _xlpm.result, _xlfn.XLOOKUP($B299, Result_Database!$A$2:$A$500, Result_Database!T$2:T$500),
  _xlfn.IFNA(_xlpm.result, "")
)</f>
        <v/>
      </c>
      <c r="V299" t="str">
        <f>_xlfn.LET(
  _xlpm.result, _xlfn.XLOOKUP($B299, Result_Database!$A$2:$A$500, Result_Database!U$2:U$500),
  _xlfn.IFNA(_xlpm.result, "")
)</f>
        <v/>
      </c>
      <c r="W299" t="str">
        <f>_xlfn.LET(
  _xlpm.result, _xlfn.XLOOKUP($B299, Result_Database!$A$2:$A$500, Result_Database!V$2:V$500),
  _xlfn.IFNA(_xlpm.result, "")
)</f>
        <v/>
      </c>
      <c r="X299" t="str">
        <f>_xlfn.LET(
  _xlpm.result, _xlfn.XLOOKUP($B299, Result_Database!$A$2:$A$500, Result_Database!W$2:W$500),
  _xlfn.IFNA(_xlpm.result, "")
)</f>
        <v/>
      </c>
      <c r="Y299" t="str">
        <f>_xlfn.LET(
  _xlpm.result, _xlfn.XLOOKUP($B299, Result_Database!$A$2:$A$500, Result_Database!X$2:X$500),
  _xlfn.IFNA(_xlpm.result, "")
)</f>
        <v/>
      </c>
      <c r="Z299" t="str">
        <f>_xlfn.LET(
  _xlpm.result, _xlfn.XLOOKUP($B299, Result_Database!$A$2:$A$500, Result_Database!Y$2:Y$500),
  _xlfn.IFNA(_xlpm.result, "")
)</f>
        <v/>
      </c>
      <c r="AA299" t="str">
        <f>_xlfn.LET(
  _xlpm.result, _xlfn.XLOOKUP($B299, Result_Database!$A$2:$A$500, Result_Database!Z$2:Z$500),
  _xlfn.IFNA(_xlpm.result, "")
)</f>
        <v/>
      </c>
      <c r="AB299" t="str">
        <f>_xlfn.LET(
  _xlpm.result, _xlfn.XLOOKUP($B299, Result_Database!$A$2:$A$500, Result_Database!AA$2:AA$500),
  _xlfn.IFNA(_xlpm.result, "")
)</f>
        <v/>
      </c>
      <c r="AC299" t="str">
        <f>_xlfn.LET(
  _xlpm.result, _xlfn.XLOOKUP($B299, Result_Database!$A$2:$A$500, Result_Database!AB$2:AB$500),
  _xlfn.IFNA(_xlpm.result, "")
)</f>
        <v/>
      </c>
      <c r="AD299" t="str">
        <f>_xlfn.LET(
  _xlpm.result, _xlfn.XLOOKUP($B299, Result_Database!$A$2:$A$500, Result_Database!AC$2:AC$500),
  _xlfn.IFNA(_xlpm.result, "")
)</f>
        <v/>
      </c>
      <c r="AE299" t="str">
        <f>_xlfn.LET(
  _xlpm.result, _xlfn.XLOOKUP($B299, Result_Database!$A$2:$A$500, Result_Database!AD$2:AD$500),
  _xlfn.IFNA(_xlpm.result, "")
)</f>
        <v/>
      </c>
      <c r="AF299" t="str">
        <f>_xlfn.LET(
  _xlpm.result, _xlfn.XLOOKUP($B299, Result_Database!$A$2:$A$500, Result_Database!AE$2:AE$500),
  _xlfn.IFNA(_xlpm.result, "")
)</f>
        <v/>
      </c>
      <c r="AG299" t="str">
        <f>_xlfn.LET(
  _xlpm.result, _xlfn.XLOOKUP($B299, Result_Database!$A$2:$A$500, Result_Database!AF$2:AF$500),
  _xlfn.IFNA(_xlpm.result, "")
)</f>
        <v/>
      </c>
      <c r="AH299" t="str">
        <f>_xlfn.LET(
  _xlpm.result, _xlfn.XLOOKUP($B299, Result_Database!$A$2:$A$500, Result_Database!AG$2:AG$500),
  _xlfn.IFNA(_xlpm.result, "")
)</f>
        <v/>
      </c>
      <c r="AI299" t="str">
        <f>_xlfn.LET(
  _xlpm.result, _xlfn.XLOOKUP($B299, Result_Database!$A$2:$A$500, Result_Database!AH$2:AH$500),
  _xlfn.IFNA(_xlpm.result, "")
)</f>
        <v/>
      </c>
      <c r="AJ299" t="str">
        <f>_xlfn.LET(
  _xlpm.result, _xlfn.XLOOKUP($B299, Result_Database!$A$2:$A$500, Result_Database!AI$2:AI$500),
  _xlfn.IFNA(_xlpm.result, "")
)</f>
        <v/>
      </c>
      <c r="AK299" t="str">
        <f>_xlfn.LET(
  _xlpm.result, _xlfn.XLOOKUP($B299, Result_Database!$A$2:$A$500, Result_Database!AJ$2:AJ$500),
  _xlfn.IFNA(_xlpm.result, "")
)</f>
        <v/>
      </c>
      <c r="AL299" t="str">
        <f>_xlfn.LET(
  _xlpm.result, _xlfn.XLOOKUP($B299, Result_Database!$A$2:$A$500, Result_Database!AK$2:AK$500),
  _xlfn.IFNA(_xlpm.result, "")
)</f>
        <v/>
      </c>
      <c r="AM29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29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29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29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29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29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29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29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29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299" t="str">
        <f>IF(SUM(Table5[[#This Row],[A1]:[C6]])&lt;&gt;0,SUM(Table5[[#This Row],[A1]:[C6]]),"")</f>
        <v/>
      </c>
      <c r="AW299" t="str">
        <f>IF(SUM(Table5[[#This Row],[D7]:[F9]])=0,"",SUM(Table5[[#This Row],[D7]:[F9]]))</f>
        <v/>
      </c>
      <c r="AX29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29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29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29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29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29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299" t="str">
        <f>IF(COUNTIF(Table5[[#This Row],[English Language]:[Electrical/ Electronics]],"WITHHELD")=0,"",COUNTIF(Table5[[#This Row],[English Language]:[Electrical/ Electronics]],"WITHHELD"))</f>
        <v/>
      </c>
      <c r="BE299" t="str">
        <f>IF(SUM(Table5[[#This Row],[NO OF CREDITS]:[BELOW CREDITS]])=0,"",SUM(Table5[[#This Row],[NO OF CREDITS]:[BELOW CREDITS]]))</f>
        <v/>
      </c>
    </row>
    <row r="300" spans="1:57" x14ac:dyDescent="0.3">
      <c r="A300" t="str">
        <f>IF(B300&lt;&gt;"",COUNTA($B$6:B300),"")</f>
        <v/>
      </c>
      <c r="B300" t="str">
        <f>IF(Result_Database!A296="","",Result_Database!A296)</f>
        <v/>
      </c>
      <c r="C300" t="str">
        <f>_xlfn.LET(
_xlpm.result,_xlfn.XLOOKUP($B300,Result_Database!$A$2:$A$500,Result_Database!$B$2:$B$500),
_xlfn.IFNA(_xlpm.result,"")
)</f>
        <v/>
      </c>
      <c r="D300" t="str">
        <f>_xlfn.LET(
  _xlpm.result, _xlfn.XLOOKUP($B300, Result_Database!$A$2:$A$500, Result_Database!C$2:C$500),
  _xlfn.IFNA(_xlpm.result, "")
)</f>
        <v/>
      </c>
      <c r="E300" t="str">
        <f>_xlfn.LET(
  _xlpm.result, _xlfn.XLOOKUP($B300, Result_Database!$A$2:$A$500, Result_Database!D$2:D$500),
  _xlfn.IFNA(_xlpm.result, "")
)</f>
        <v/>
      </c>
      <c r="F300" t="str">
        <f>_xlfn.LET(
  _xlpm.result, _xlfn.XLOOKUP($B300, Result_Database!$A$2:$A$500, Result_Database!E$2:E$500),
  _xlfn.IFNA(_xlpm.result, "")
)</f>
        <v/>
      </c>
      <c r="G300" t="str">
        <f>_xlfn.LET(
  _xlpm.result, _xlfn.XLOOKUP($B300, Result_Database!$A$2:$A$500, Result_Database!F$2:F$500),
  _xlfn.IFNA(_xlpm.result, "")
)</f>
        <v/>
      </c>
      <c r="H300" t="str">
        <f>_xlfn.LET(
  _xlpm.result, _xlfn.XLOOKUP($B300, Result_Database!$A$2:$A$500, Result_Database!G$2:G$500),
  _xlfn.IFNA(_xlpm.result, "")
)</f>
        <v/>
      </c>
      <c r="I300" t="str">
        <f>_xlfn.LET(
  _xlpm.result, _xlfn.XLOOKUP($B300, Result_Database!$A$2:$A$500, Result_Database!H$2:H$500),
  _xlfn.IFNA(_xlpm.result, "")
)</f>
        <v/>
      </c>
      <c r="J300" t="str">
        <f>_xlfn.LET(
  _xlpm.result, _xlfn.XLOOKUP($B300, Result_Database!$A$2:$A$500, Result_Database!I$2:I$500),
  _xlfn.IFNA(_xlpm.result, "")
)</f>
        <v/>
      </c>
      <c r="K300" t="str">
        <f>_xlfn.LET(
  _xlpm.result, _xlfn.XLOOKUP($B300, Result_Database!$A$2:$A$500, Result_Database!J$2:J$500),
  _xlfn.IFNA(_xlpm.result, "")
)</f>
        <v/>
      </c>
      <c r="L300" t="str">
        <f>_xlfn.LET(
  _xlpm.result, _xlfn.XLOOKUP($B300, Result_Database!$A$2:$A$500, Result_Database!K$2:K$500),
  _xlfn.IFNA(_xlpm.result, "")
)</f>
        <v/>
      </c>
      <c r="M300" t="str">
        <f>_xlfn.LET(
  _xlpm.result, _xlfn.XLOOKUP($B300, Result_Database!$A$2:$A$500, Result_Database!L$2:L$500),
  _xlfn.IFNA(_xlpm.result, "")
)</f>
        <v/>
      </c>
      <c r="N300" t="str">
        <f>_xlfn.LET(
  _xlpm.result, _xlfn.XLOOKUP($B300, Result_Database!$A$2:$A$500, Result_Database!M$2:M$500),
  _xlfn.IFNA(_xlpm.result, "")
)</f>
        <v/>
      </c>
      <c r="O300" t="str">
        <f>_xlfn.LET(
  _xlpm.result, _xlfn.XLOOKUP($B300, Result_Database!$A$2:$A$500, Result_Database!N$2:N$500),
  _xlfn.IFNA(_xlpm.result, "")
)</f>
        <v/>
      </c>
      <c r="P300" t="str">
        <f>_xlfn.LET(
  _xlpm.result, _xlfn.XLOOKUP($B300, Result_Database!$A$2:$A$500, Result_Database!O$2:O$500),
  _xlfn.IFNA(_xlpm.result, "")
)</f>
        <v/>
      </c>
      <c r="Q300" t="str">
        <f>_xlfn.LET(
  _xlpm.result, _xlfn.XLOOKUP($B300, Result_Database!$A$2:$A$500, Result_Database!P$2:P$500),
  _xlfn.IFNA(_xlpm.result, "")
)</f>
        <v/>
      </c>
      <c r="R300" t="str">
        <f>_xlfn.LET(
  _xlpm.result, _xlfn.XLOOKUP($B300, Result_Database!$A$2:$A$500, Result_Database!Q$2:Q$500),
  _xlfn.IFNA(_xlpm.result, "")
)</f>
        <v/>
      </c>
      <c r="S300" t="str">
        <f>_xlfn.LET(
  _xlpm.result, _xlfn.XLOOKUP($B300, Result_Database!$A$2:$A$500, Result_Database!R$2:R$500),
  _xlfn.IFNA(_xlpm.result, "")
)</f>
        <v/>
      </c>
      <c r="T300" t="str">
        <f>_xlfn.LET(
  _xlpm.result, _xlfn.XLOOKUP($B300, Result_Database!$A$2:$A$500, Result_Database!S$2:S$500),
  _xlfn.IFNA(_xlpm.result, "")
)</f>
        <v/>
      </c>
      <c r="U300" t="str">
        <f>_xlfn.LET(
  _xlpm.result, _xlfn.XLOOKUP($B300, Result_Database!$A$2:$A$500, Result_Database!T$2:T$500),
  _xlfn.IFNA(_xlpm.result, "")
)</f>
        <v/>
      </c>
      <c r="V300" t="str">
        <f>_xlfn.LET(
  _xlpm.result, _xlfn.XLOOKUP($B300, Result_Database!$A$2:$A$500, Result_Database!U$2:U$500),
  _xlfn.IFNA(_xlpm.result, "")
)</f>
        <v/>
      </c>
      <c r="W300" t="str">
        <f>_xlfn.LET(
  _xlpm.result, _xlfn.XLOOKUP($B300, Result_Database!$A$2:$A$500, Result_Database!V$2:V$500),
  _xlfn.IFNA(_xlpm.result, "")
)</f>
        <v/>
      </c>
      <c r="X300" t="str">
        <f>_xlfn.LET(
  _xlpm.result, _xlfn.XLOOKUP($B300, Result_Database!$A$2:$A$500, Result_Database!W$2:W$500),
  _xlfn.IFNA(_xlpm.result, "")
)</f>
        <v/>
      </c>
      <c r="Y300" t="str">
        <f>_xlfn.LET(
  _xlpm.result, _xlfn.XLOOKUP($B300, Result_Database!$A$2:$A$500, Result_Database!X$2:X$500),
  _xlfn.IFNA(_xlpm.result, "")
)</f>
        <v/>
      </c>
      <c r="Z300" t="str">
        <f>_xlfn.LET(
  _xlpm.result, _xlfn.XLOOKUP($B300, Result_Database!$A$2:$A$500, Result_Database!Y$2:Y$500),
  _xlfn.IFNA(_xlpm.result, "")
)</f>
        <v/>
      </c>
      <c r="AA300" t="str">
        <f>_xlfn.LET(
  _xlpm.result, _xlfn.XLOOKUP($B300, Result_Database!$A$2:$A$500, Result_Database!Z$2:Z$500),
  _xlfn.IFNA(_xlpm.result, "")
)</f>
        <v/>
      </c>
      <c r="AB300" t="str">
        <f>_xlfn.LET(
  _xlpm.result, _xlfn.XLOOKUP($B300, Result_Database!$A$2:$A$500, Result_Database!AA$2:AA$500),
  _xlfn.IFNA(_xlpm.result, "")
)</f>
        <v/>
      </c>
      <c r="AC300" t="str">
        <f>_xlfn.LET(
  _xlpm.result, _xlfn.XLOOKUP($B300, Result_Database!$A$2:$A$500, Result_Database!AB$2:AB$500),
  _xlfn.IFNA(_xlpm.result, "")
)</f>
        <v/>
      </c>
      <c r="AD300" t="str">
        <f>_xlfn.LET(
  _xlpm.result, _xlfn.XLOOKUP($B300, Result_Database!$A$2:$A$500, Result_Database!AC$2:AC$500),
  _xlfn.IFNA(_xlpm.result, "")
)</f>
        <v/>
      </c>
      <c r="AE300" t="str">
        <f>_xlfn.LET(
  _xlpm.result, _xlfn.XLOOKUP($B300, Result_Database!$A$2:$A$500, Result_Database!AD$2:AD$500),
  _xlfn.IFNA(_xlpm.result, "")
)</f>
        <v/>
      </c>
      <c r="AF300" t="str">
        <f>_xlfn.LET(
  _xlpm.result, _xlfn.XLOOKUP($B300, Result_Database!$A$2:$A$500, Result_Database!AE$2:AE$500),
  _xlfn.IFNA(_xlpm.result, "")
)</f>
        <v/>
      </c>
      <c r="AG300" t="str">
        <f>_xlfn.LET(
  _xlpm.result, _xlfn.XLOOKUP($B300, Result_Database!$A$2:$A$500, Result_Database!AF$2:AF$500),
  _xlfn.IFNA(_xlpm.result, "")
)</f>
        <v/>
      </c>
      <c r="AH300" t="str">
        <f>_xlfn.LET(
  _xlpm.result, _xlfn.XLOOKUP($B300, Result_Database!$A$2:$A$500, Result_Database!AG$2:AG$500),
  _xlfn.IFNA(_xlpm.result, "")
)</f>
        <v/>
      </c>
      <c r="AI300" t="str">
        <f>_xlfn.LET(
  _xlpm.result, _xlfn.XLOOKUP($B300, Result_Database!$A$2:$A$500, Result_Database!AH$2:AH$500),
  _xlfn.IFNA(_xlpm.result, "")
)</f>
        <v/>
      </c>
      <c r="AJ300" t="str">
        <f>_xlfn.LET(
  _xlpm.result, _xlfn.XLOOKUP($B300, Result_Database!$A$2:$A$500, Result_Database!AI$2:AI$500),
  _xlfn.IFNA(_xlpm.result, "")
)</f>
        <v/>
      </c>
      <c r="AK300" t="str">
        <f>_xlfn.LET(
  _xlpm.result, _xlfn.XLOOKUP($B300, Result_Database!$A$2:$A$500, Result_Database!AJ$2:AJ$500),
  _xlfn.IFNA(_xlpm.result, "")
)</f>
        <v/>
      </c>
      <c r="AL300" t="str">
        <f>_xlfn.LET(
  _xlpm.result, _xlfn.XLOOKUP($B300, Result_Database!$A$2:$A$500, Result_Database!AK$2:AK$500),
  _xlfn.IFNA(_xlpm.result, "")
)</f>
        <v/>
      </c>
      <c r="AM30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0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0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0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0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0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0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0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0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00" t="str">
        <f>IF(SUM(Table5[[#This Row],[A1]:[C6]])&lt;&gt;0,SUM(Table5[[#This Row],[A1]:[C6]]),"")</f>
        <v/>
      </c>
      <c r="AW300" t="str">
        <f>IF(SUM(Table5[[#This Row],[D7]:[F9]])=0,"",SUM(Table5[[#This Row],[D7]:[F9]]))</f>
        <v/>
      </c>
      <c r="AX30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0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0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0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0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0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00" t="str">
        <f>IF(COUNTIF(Table5[[#This Row],[English Language]:[Electrical/ Electronics]],"WITHHELD")=0,"",COUNTIF(Table5[[#This Row],[English Language]:[Electrical/ Electronics]],"WITHHELD"))</f>
        <v/>
      </c>
      <c r="BE300" t="str">
        <f>IF(SUM(Table5[[#This Row],[NO OF CREDITS]:[BELOW CREDITS]])=0,"",SUM(Table5[[#This Row],[NO OF CREDITS]:[BELOW CREDITS]]))</f>
        <v/>
      </c>
    </row>
    <row r="301" spans="1:57" x14ac:dyDescent="0.3">
      <c r="A301" t="str">
        <f>IF(B301&lt;&gt;"",COUNTA($B$6:B301),"")</f>
        <v/>
      </c>
      <c r="B301" t="str">
        <f>IF(Result_Database!A297="","",Result_Database!A297)</f>
        <v/>
      </c>
      <c r="C301" t="str">
        <f>_xlfn.LET(
_xlpm.result,_xlfn.XLOOKUP($B301,Result_Database!$A$2:$A$500,Result_Database!$B$2:$B$500),
_xlfn.IFNA(_xlpm.result,"")
)</f>
        <v/>
      </c>
      <c r="D301" t="str">
        <f>_xlfn.LET(
  _xlpm.result, _xlfn.XLOOKUP($B301, Result_Database!$A$2:$A$500, Result_Database!C$2:C$500),
  _xlfn.IFNA(_xlpm.result, "")
)</f>
        <v/>
      </c>
      <c r="E301" t="str">
        <f>_xlfn.LET(
  _xlpm.result, _xlfn.XLOOKUP($B301, Result_Database!$A$2:$A$500, Result_Database!D$2:D$500),
  _xlfn.IFNA(_xlpm.result, "")
)</f>
        <v/>
      </c>
      <c r="F301" t="str">
        <f>_xlfn.LET(
  _xlpm.result, _xlfn.XLOOKUP($B301, Result_Database!$A$2:$A$500, Result_Database!E$2:E$500),
  _xlfn.IFNA(_xlpm.result, "")
)</f>
        <v/>
      </c>
      <c r="G301" t="str">
        <f>_xlfn.LET(
  _xlpm.result, _xlfn.XLOOKUP($B301, Result_Database!$A$2:$A$500, Result_Database!F$2:F$500),
  _xlfn.IFNA(_xlpm.result, "")
)</f>
        <v/>
      </c>
      <c r="H301" t="str">
        <f>_xlfn.LET(
  _xlpm.result, _xlfn.XLOOKUP($B301, Result_Database!$A$2:$A$500, Result_Database!G$2:G$500),
  _xlfn.IFNA(_xlpm.result, "")
)</f>
        <v/>
      </c>
      <c r="I301" t="str">
        <f>_xlfn.LET(
  _xlpm.result, _xlfn.XLOOKUP($B301, Result_Database!$A$2:$A$500, Result_Database!H$2:H$500),
  _xlfn.IFNA(_xlpm.result, "")
)</f>
        <v/>
      </c>
      <c r="J301" t="str">
        <f>_xlfn.LET(
  _xlpm.result, _xlfn.XLOOKUP($B301, Result_Database!$A$2:$A$500, Result_Database!I$2:I$500),
  _xlfn.IFNA(_xlpm.result, "")
)</f>
        <v/>
      </c>
      <c r="K301" t="str">
        <f>_xlfn.LET(
  _xlpm.result, _xlfn.XLOOKUP($B301, Result_Database!$A$2:$A$500, Result_Database!J$2:J$500),
  _xlfn.IFNA(_xlpm.result, "")
)</f>
        <v/>
      </c>
      <c r="L301" t="str">
        <f>_xlfn.LET(
  _xlpm.result, _xlfn.XLOOKUP($B301, Result_Database!$A$2:$A$500, Result_Database!K$2:K$500),
  _xlfn.IFNA(_xlpm.result, "")
)</f>
        <v/>
      </c>
      <c r="M301" t="str">
        <f>_xlfn.LET(
  _xlpm.result, _xlfn.XLOOKUP($B301, Result_Database!$A$2:$A$500, Result_Database!L$2:L$500),
  _xlfn.IFNA(_xlpm.result, "")
)</f>
        <v/>
      </c>
      <c r="N301" t="str">
        <f>_xlfn.LET(
  _xlpm.result, _xlfn.XLOOKUP($B301, Result_Database!$A$2:$A$500, Result_Database!M$2:M$500),
  _xlfn.IFNA(_xlpm.result, "")
)</f>
        <v/>
      </c>
      <c r="O301" t="str">
        <f>_xlfn.LET(
  _xlpm.result, _xlfn.XLOOKUP($B301, Result_Database!$A$2:$A$500, Result_Database!N$2:N$500),
  _xlfn.IFNA(_xlpm.result, "")
)</f>
        <v/>
      </c>
      <c r="P301" t="str">
        <f>_xlfn.LET(
  _xlpm.result, _xlfn.XLOOKUP($B301, Result_Database!$A$2:$A$500, Result_Database!O$2:O$500),
  _xlfn.IFNA(_xlpm.result, "")
)</f>
        <v/>
      </c>
      <c r="Q301" t="str">
        <f>_xlfn.LET(
  _xlpm.result, _xlfn.XLOOKUP($B301, Result_Database!$A$2:$A$500, Result_Database!P$2:P$500),
  _xlfn.IFNA(_xlpm.result, "")
)</f>
        <v/>
      </c>
      <c r="R301" t="str">
        <f>_xlfn.LET(
  _xlpm.result, _xlfn.XLOOKUP($B301, Result_Database!$A$2:$A$500, Result_Database!Q$2:Q$500),
  _xlfn.IFNA(_xlpm.result, "")
)</f>
        <v/>
      </c>
      <c r="S301" t="str">
        <f>_xlfn.LET(
  _xlpm.result, _xlfn.XLOOKUP($B301, Result_Database!$A$2:$A$500, Result_Database!R$2:R$500),
  _xlfn.IFNA(_xlpm.result, "")
)</f>
        <v/>
      </c>
      <c r="T301" t="str">
        <f>_xlfn.LET(
  _xlpm.result, _xlfn.XLOOKUP($B301, Result_Database!$A$2:$A$500, Result_Database!S$2:S$500),
  _xlfn.IFNA(_xlpm.result, "")
)</f>
        <v/>
      </c>
      <c r="U301" t="str">
        <f>_xlfn.LET(
  _xlpm.result, _xlfn.XLOOKUP($B301, Result_Database!$A$2:$A$500, Result_Database!T$2:T$500),
  _xlfn.IFNA(_xlpm.result, "")
)</f>
        <v/>
      </c>
      <c r="V301" t="str">
        <f>_xlfn.LET(
  _xlpm.result, _xlfn.XLOOKUP($B301, Result_Database!$A$2:$A$500, Result_Database!U$2:U$500),
  _xlfn.IFNA(_xlpm.result, "")
)</f>
        <v/>
      </c>
      <c r="W301" t="str">
        <f>_xlfn.LET(
  _xlpm.result, _xlfn.XLOOKUP($B301, Result_Database!$A$2:$A$500, Result_Database!V$2:V$500),
  _xlfn.IFNA(_xlpm.result, "")
)</f>
        <v/>
      </c>
      <c r="X301" t="str">
        <f>_xlfn.LET(
  _xlpm.result, _xlfn.XLOOKUP($B301, Result_Database!$A$2:$A$500, Result_Database!W$2:W$500),
  _xlfn.IFNA(_xlpm.result, "")
)</f>
        <v/>
      </c>
      <c r="Y301" t="str">
        <f>_xlfn.LET(
  _xlpm.result, _xlfn.XLOOKUP($B301, Result_Database!$A$2:$A$500, Result_Database!X$2:X$500),
  _xlfn.IFNA(_xlpm.result, "")
)</f>
        <v/>
      </c>
      <c r="Z301" t="str">
        <f>_xlfn.LET(
  _xlpm.result, _xlfn.XLOOKUP($B301, Result_Database!$A$2:$A$500, Result_Database!Y$2:Y$500),
  _xlfn.IFNA(_xlpm.result, "")
)</f>
        <v/>
      </c>
      <c r="AA301" t="str">
        <f>_xlfn.LET(
  _xlpm.result, _xlfn.XLOOKUP($B301, Result_Database!$A$2:$A$500, Result_Database!Z$2:Z$500),
  _xlfn.IFNA(_xlpm.result, "")
)</f>
        <v/>
      </c>
      <c r="AB301" t="str">
        <f>_xlfn.LET(
  _xlpm.result, _xlfn.XLOOKUP($B301, Result_Database!$A$2:$A$500, Result_Database!AA$2:AA$500),
  _xlfn.IFNA(_xlpm.result, "")
)</f>
        <v/>
      </c>
      <c r="AC301" t="str">
        <f>_xlfn.LET(
  _xlpm.result, _xlfn.XLOOKUP($B301, Result_Database!$A$2:$A$500, Result_Database!AB$2:AB$500),
  _xlfn.IFNA(_xlpm.result, "")
)</f>
        <v/>
      </c>
      <c r="AD301" t="str">
        <f>_xlfn.LET(
  _xlpm.result, _xlfn.XLOOKUP($B301, Result_Database!$A$2:$A$500, Result_Database!AC$2:AC$500),
  _xlfn.IFNA(_xlpm.result, "")
)</f>
        <v/>
      </c>
      <c r="AE301" t="str">
        <f>_xlfn.LET(
  _xlpm.result, _xlfn.XLOOKUP($B301, Result_Database!$A$2:$A$500, Result_Database!AD$2:AD$500),
  _xlfn.IFNA(_xlpm.result, "")
)</f>
        <v/>
      </c>
      <c r="AF301" t="str">
        <f>_xlfn.LET(
  _xlpm.result, _xlfn.XLOOKUP($B301, Result_Database!$A$2:$A$500, Result_Database!AE$2:AE$500),
  _xlfn.IFNA(_xlpm.result, "")
)</f>
        <v/>
      </c>
      <c r="AG301" t="str">
        <f>_xlfn.LET(
  _xlpm.result, _xlfn.XLOOKUP($B301, Result_Database!$A$2:$A$500, Result_Database!AF$2:AF$500),
  _xlfn.IFNA(_xlpm.result, "")
)</f>
        <v/>
      </c>
      <c r="AH301" t="str">
        <f>_xlfn.LET(
  _xlpm.result, _xlfn.XLOOKUP($B301, Result_Database!$A$2:$A$500, Result_Database!AG$2:AG$500),
  _xlfn.IFNA(_xlpm.result, "")
)</f>
        <v/>
      </c>
      <c r="AI301" t="str">
        <f>_xlfn.LET(
  _xlpm.result, _xlfn.XLOOKUP($B301, Result_Database!$A$2:$A$500, Result_Database!AH$2:AH$500),
  _xlfn.IFNA(_xlpm.result, "")
)</f>
        <v/>
      </c>
      <c r="AJ301" t="str">
        <f>_xlfn.LET(
  _xlpm.result, _xlfn.XLOOKUP($B301, Result_Database!$A$2:$A$500, Result_Database!AI$2:AI$500),
  _xlfn.IFNA(_xlpm.result, "")
)</f>
        <v/>
      </c>
      <c r="AK301" t="str">
        <f>_xlfn.LET(
  _xlpm.result, _xlfn.XLOOKUP($B301, Result_Database!$A$2:$A$500, Result_Database!AJ$2:AJ$500),
  _xlfn.IFNA(_xlpm.result, "")
)</f>
        <v/>
      </c>
      <c r="AL301" t="str">
        <f>_xlfn.LET(
  _xlpm.result, _xlfn.XLOOKUP($B301, Result_Database!$A$2:$A$500, Result_Database!AK$2:AK$500),
  _xlfn.IFNA(_xlpm.result, "")
)</f>
        <v/>
      </c>
      <c r="AM30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0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0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0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0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0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0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0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0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01" t="str">
        <f>IF(SUM(Table5[[#This Row],[A1]:[C6]])&lt;&gt;0,SUM(Table5[[#This Row],[A1]:[C6]]),"")</f>
        <v/>
      </c>
      <c r="AW301" t="str">
        <f>IF(SUM(Table5[[#This Row],[D7]:[F9]])=0,"",SUM(Table5[[#This Row],[D7]:[F9]]))</f>
        <v/>
      </c>
      <c r="AX30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0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0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0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0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0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01" t="str">
        <f>IF(COUNTIF(Table5[[#This Row],[English Language]:[Electrical/ Electronics]],"WITHHELD")=0,"",COUNTIF(Table5[[#This Row],[English Language]:[Electrical/ Electronics]],"WITHHELD"))</f>
        <v/>
      </c>
      <c r="BE301" t="str">
        <f>IF(SUM(Table5[[#This Row],[NO OF CREDITS]:[BELOW CREDITS]])=0,"",SUM(Table5[[#This Row],[NO OF CREDITS]:[BELOW CREDITS]]))</f>
        <v/>
      </c>
    </row>
    <row r="302" spans="1:57" x14ac:dyDescent="0.3">
      <c r="A302" t="str">
        <f>IF(B302&lt;&gt;"",COUNTA($B$6:B302),"")</f>
        <v/>
      </c>
      <c r="B302" t="str">
        <f>IF(Result_Database!A298="","",Result_Database!A298)</f>
        <v/>
      </c>
      <c r="C302" t="str">
        <f>_xlfn.LET(
_xlpm.result,_xlfn.XLOOKUP($B302,Result_Database!$A$2:$A$500,Result_Database!$B$2:$B$500),
_xlfn.IFNA(_xlpm.result,"")
)</f>
        <v/>
      </c>
      <c r="D302" t="str">
        <f>_xlfn.LET(
  _xlpm.result, _xlfn.XLOOKUP($B302, Result_Database!$A$2:$A$500, Result_Database!C$2:C$500),
  _xlfn.IFNA(_xlpm.result, "")
)</f>
        <v/>
      </c>
      <c r="E302" t="str">
        <f>_xlfn.LET(
  _xlpm.result, _xlfn.XLOOKUP($B302, Result_Database!$A$2:$A$500, Result_Database!D$2:D$500),
  _xlfn.IFNA(_xlpm.result, "")
)</f>
        <v/>
      </c>
      <c r="F302" t="str">
        <f>_xlfn.LET(
  _xlpm.result, _xlfn.XLOOKUP($B302, Result_Database!$A$2:$A$500, Result_Database!E$2:E$500),
  _xlfn.IFNA(_xlpm.result, "")
)</f>
        <v/>
      </c>
      <c r="G302" t="str">
        <f>_xlfn.LET(
  _xlpm.result, _xlfn.XLOOKUP($B302, Result_Database!$A$2:$A$500, Result_Database!F$2:F$500),
  _xlfn.IFNA(_xlpm.result, "")
)</f>
        <v/>
      </c>
      <c r="H302" t="str">
        <f>_xlfn.LET(
  _xlpm.result, _xlfn.XLOOKUP($B302, Result_Database!$A$2:$A$500, Result_Database!G$2:G$500),
  _xlfn.IFNA(_xlpm.result, "")
)</f>
        <v/>
      </c>
      <c r="I302" t="str">
        <f>_xlfn.LET(
  _xlpm.result, _xlfn.XLOOKUP($B302, Result_Database!$A$2:$A$500, Result_Database!H$2:H$500),
  _xlfn.IFNA(_xlpm.result, "")
)</f>
        <v/>
      </c>
      <c r="J302" t="str">
        <f>_xlfn.LET(
  _xlpm.result, _xlfn.XLOOKUP($B302, Result_Database!$A$2:$A$500, Result_Database!I$2:I$500),
  _xlfn.IFNA(_xlpm.result, "")
)</f>
        <v/>
      </c>
      <c r="K302" t="str">
        <f>_xlfn.LET(
  _xlpm.result, _xlfn.XLOOKUP($B302, Result_Database!$A$2:$A$500, Result_Database!J$2:J$500),
  _xlfn.IFNA(_xlpm.result, "")
)</f>
        <v/>
      </c>
      <c r="L302" t="str">
        <f>_xlfn.LET(
  _xlpm.result, _xlfn.XLOOKUP($B302, Result_Database!$A$2:$A$500, Result_Database!K$2:K$500),
  _xlfn.IFNA(_xlpm.result, "")
)</f>
        <v/>
      </c>
      <c r="M302" t="str">
        <f>_xlfn.LET(
  _xlpm.result, _xlfn.XLOOKUP($B302, Result_Database!$A$2:$A$500, Result_Database!L$2:L$500),
  _xlfn.IFNA(_xlpm.result, "")
)</f>
        <v/>
      </c>
      <c r="N302" t="str">
        <f>_xlfn.LET(
  _xlpm.result, _xlfn.XLOOKUP($B302, Result_Database!$A$2:$A$500, Result_Database!M$2:M$500),
  _xlfn.IFNA(_xlpm.result, "")
)</f>
        <v/>
      </c>
      <c r="O302" t="str">
        <f>_xlfn.LET(
  _xlpm.result, _xlfn.XLOOKUP($B302, Result_Database!$A$2:$A$500, Result_Database!N$2:N$500),
  _xlfn.IFNA(_xlpm.result, "")
)</f>
        <v/>
      </c>
      <c r="P302" t="str">
        <f>_xlfn.LET(
  _xlpm.result, _xlfn.XLOOKUP($B302, Result_Database!$A$2:$A$500, Result_Database!O$2:O$500),
  _xlfn.IFNA(_xlpm.result, "")
)</f>
        <v/>
      </c>
      <c r="Q302" t="str">
        <f>_xlfn.LET(
  _xlpm.result, _xlfn.XLOOKUP($B302, Result_Database!$A$2:$A$500, Result_Database!P$2:P$500),
  _xlfn.IFNA(_xlpm.result, "")
)</f>
        <v/>
      </c>
      <c r="R302" t="str">
        <f>_xlfn.LET(
  _xlpm.result, _xlfn.XLOOKUP($B302, Result_Database!$A$2:$A$500, Result_Database!Q$2:Q$500),
  _xlfn.IFNA(_xlpm.result, "")
)</f>
        <v/>
      </c>
      <c r="S302" t="str">
        <f>_xlfn.LET(
  _xlpm.result, _xlfn.XLOOKUP($B302, Result_Database!$A$2:$A$500, Result_Database!R$2:R$500),
  _xlfn.IFNA(_xlpm.result, "")
)</f>
        <v/>
      </c>
      <c r="T302" t="str">
        <f>_xlfn.LET(
  _xlpm.result, _xlfn.XLOOKUP($B302, Result_Database!$A$2:$A$500, Result_Database!S$2:S$500),
  _xlfn.IFNA(_xlpm.result, "")
)</f>
        <v/>
      </c>
      <c r="U302" t="str">
        <f>_xlfn.LET(
  _xlpm.result, _xlfn.XLOOKUP($B302, Result_Database!$A$2:$A$500, Result_Database!T$2:T$500),
  _xlfn.IFNA(_xlpm.result, "")
)</f>
        <v/>
      </c>
      <c r="V302" t="str">
        <f>_xlfn.LET(
  _xlpm.result, _xlfn.XLOOKUP($B302, Result_Database!$A$2:$A$500, Result_Database!U$2:U$500),
  _xlfn.IFNA(_xlpm.result, "")
)</f>
        <v/>
      </c>
      <c r="W302" t="str">
        <f>_xlfn.LET(
  _xlpm.result, _xlfn.XLOOKUP($B302, Result_Database!$A$2:$A$500, Result_Database!V$2:V$500),
  _xlfn.IFNA(_xlpm.result, "")
)</f>
        <v/>
      </c>
      <c r="X302" t="str">
        <f>_xlfn.LET(
  _xlpm.result, _xlfn.XLOOKUP($B302, Result_Database!$A$2:$A$500, Result_Database!W$2:W$500),
  _xlfn.IFNA(_xlpm.result, "")
)</f>
        <v/>
      </c>
      <c r="Y302" t="str">
        <f>_xlfn.LET(
  _xlpm.result, _xlfn.XLOOKUP($B302, Result_Database!$A$2:$A$500, Result_Database!X$2:X$500),
  _xlfn.IFNA(_xlpm.result, "")
)</f>
        <v/>
      </c>
      <c r="Z302" t="str">
        <f>_xlfn.LET(
  _xlpm.result, _xlfn.XLOOKUP($B302, Result_Database!$A$2:$A$500, Result_Database!Y$2:Y$500),
  _xlfn.IFNA(_xlpm.result, "")
)</f>
        <v/>
      </c>
      <c r="AA302" t="str">
        <f>_xlfn.LET(
  _xlpm.result, _xlfn.XLOOKUP($B302, Result_Database!$A$2:$A$500, Result_Database!Z$2:Z$500),
  _xlfn.IFNA(_xlpm.result, "")
)</f>
        <v/>
      </c>
      <c r="AB302" t="str">
        <f>_xlfn.LET(
  _xlpm.result, _xlfn.XLOOKUP($B302, Result_Database!$A$2:$A$500, Result_Database!AA$2:AA$500),
  _xlfn.IFNA(_xlpm.result, "")
)</f>
        <v/>
      </c>
      <c r="AC302" t="str">
        <f>_xlfn.LET(
  _xlpm.result, _xlfn.XLOOKUP($B302, Result_Database!$A$2:$A$500, Result_Database!AB$2:AB$500),
  _xlfn.IFNA(_xlpm.result, "")
)</f>
        <v/>
      </c>
      <c r="AD302" t="str">
        <f>_xlfn.LET(
  _xlpm.result, _xlfn.XLOOKUP($B302, Result_Database!$A$2:$A$500, Result_Database!AC$2:AC$500),
  _xlfn.IFNA(_xlpm.result, "")
)</f>
        <v/>
      </c>
      <c r="AE302" t="str">
        <f>_xlfn.LET(
  _xlpm.result, _xlfn.XLOOKUP($B302, Result_Database!$A$2:$A$500, Result_Database!AD$2:AD$500),
  _xlfn.IFNA(_xlpm.result, "")
)</f>
        <v/>
      </c>
      <c r="AF302" t="str">
        <f>_xlfn.LET(
  _xlpm.result, _xlfn.XLOOKUP($B302, Result_Database!$A$2:$A$500, Result_Database!AE$2:AE$500),
  _xlfn.IFNA(_xlpm.result, "")
)</f>
        <v/>
      </c>
      <c r="AG302" t="str">
        <f>_xlfn.LET(
  _xlpm.result, _xlfn.XLOOKUP($B302, Result_Database!$A$2:$A$500, Result_Database!AF$2:AF$500),
  _xlfn.IFNA(_xlpm.result, "")
)</f>
        <v/>
      </c>
      <c r="AH302" t="str">
        <f>_xlfn.LET(
  _xlpm.result, _xlfn.XLOOKUP($B302, Result_Database!$A$2:$A$500, Result_Database!AG$2:AG$500),
  _xlfn.IFNA(_xlpm.result, "")
)</f>
        <v/>
      </c>
      <c r="AI302" t="str">
        <f>_xlfn.LET(
  _xlpm.result, _xlfn.XLOOKUP($B302, Result_Database!$A$2:$A$500, Result_Database!AH$2:AH$500),
  _xlfn.IFNA(_xlpm.result, "")
)</f>
        <v/>
      </c>
      <c r="AJ302" t="str">
        <f>_xlfn.LET(
  _xlpm.result, _xlfn.XLOOKUP($B302, Result_Database!$A$2:$A$500, Result_Database!AI$2:AI$500),
  _xlfn.IFNA(_xlpm.result, "")
)</f>
        <v/>
      </c>
      <c r="AK302" t="str">
        <f>_xlfn.LET(
  _xlpm.result, _xlfn.XLOOKUP($B302, Result_Database!$A$2:$A$500, Result_Database!AJ$2:AJ$500),
  _xlfn.IFNA(_xlpm.result, "")
)</f>
        <v/>
      </c>
      <c r="AL302" t="str">
        <f>_xlfn.LET(
  _xlpm.result, _xlfn.XLOOKUP($B302, Result_Database!$A$2:$A$500, Result_Database!AK$2:AK$500),
  _xlfn.IFNA(_xlpm.result, "")
)</f>
        <v/>
      </c>
      <c r="AM30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0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0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0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0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0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0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0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0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02" t="str">
        <f>IF(SUM(Table5[[#This Row],[A1]:[C6]])&lt;&gt;0,SUM(Table5[[#This Row],[A1]:[C6]]),"")</f>
        <v/>
      </c>
      <c r="AW302" t="str">
        <f>IF(SUM(Table5[[#This Row],[D7]:[F9]])=0,"",SUM(Table5[[#This Row],[D7]:[F9]]))</f>
        <v/>
      </c>
      <c r="AX30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0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0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0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0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0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02" t="str">
        <f>IF(COUNTIF(Table5[[#This Row],[English Language]:[Electrical/ Electronics]],"WITHHELD")=0,"",COUNTIF(Table5[[#This Row],[English Language]:[Electrical/ Electronics]],"WITHHELD"))</f>
        <v/>
      </c>
      <c r="BE302" t="str">
        <f>IF(SUM(Table5[[#This Row],[NO OF CREDITS]:[BELOW CREDITS]])=0,"",SUM(Table5[[#This Row],[NO OF CREDITS]:[BELOW CREDITS]]))</f>
        <v/>
      </c>
    </row>
    <row r="303" spans="1:57" x14ac:dyDescent="0.3">
      <c r="A303" t="str">
        <f>IF(B303&lt;&gt;"",COUNTA($B$6:B303),"")</f>
        <v/>
      </c>
      <c r="B303" t="str">
        <f>IF(Result_Database!A299="","",Result_Database!A299)</f>
        <v/>
      </c>
      <c r="C303" t="str">
        <f>_xlfn.LET(
_xlpm.result,_xlfn.XLOOKUP($B303,Result_Database!$A$2:$A$500,Result_Database!$B$2:$B$500),
_xlfn.IFNA(_xlpm.result,"")
)</f>
        <v/>
      </c>
      <c r="D303" t="str">
        <f>_xlfn.LET(
  _xlpm.result, _xlfn.XLOOKUP($B303, Result_Database!$A$2:$A$500, Result_Database!C$2:C$500),
  _xlfn.IFNA(_xlpm.result, "")
)</f>
        <v/>
      </c>
      <c r="E303" t="str">
        <f>_xlfn.LET(
  _xlpm.result, _xlfn.XLOOKUP($B303, Result_Database!$A$2:$A$500, Result_Database!D$2:D$500),
  _xlfn.IFNA(_xlpm.result, "")
)</f>
        <v/>
      </c>
      <c r="F303" t="str">
        <f>_xlfn.LET(
  _xlpm.result, _xlfn.XLOOKUP($B303, Result_Database!$A$2:$A$500, Result_Database!E$2:E$500),
  _xlfn.IFNA(_xlpm.result, "")
)</f>
        <v/>
      </c>
      <c r="G303" t="str">
        <f>_xlfn.LET(
  _xlpm.result, _xlfn.XLOOKUP($B303, Result_Database!$A$2:$A$500, Result_Database!F$2:F$500),
  _xlfn.IFNA(_xlpm.result, "")
)</f>
        <v/>
      </c>
      <c r="H303" t="str">
        <f>_xlfn.LET(
  _xlpm.result, _xlfn.XLOOKUP($B303, Result_Database!$A$2:$A$500, Result_Database!G$2:G$500),
  _xlfn.IFNA(_xlpm.result, "")
)</f>
        <v/>
      </c>
      <c r="I303" t="str">
        <f>_xlfn.LET(
  _xlpm.result, _xlfn.XLOOKUP($B303, Result_Database!$A$2:$A$500, Result_Database!H$2:H$500),
  _xlfn.IFNA(_xlpm.result, "")
)</f>
        <v/>
      </c>
      <c r="J303" t="str">
        <f>_xlfn.LET(
  _xlpm.result, _xlfn.XLOOKUP($B303, Result_Database!$A$2:$A$500, Result_Database!I$2:I$500),
  _xlfn.IFNA(_xlpm.result, "")
)</f>
        <v/>
      </c>
      <c r="K303" t="str">
        <f>_xlfn.LET(
  _xlpm.result, _xlfn.XLOOKUP($B303, Result_Database!$A$2:$A$500, Result_Database!J$2:J$500),
  _xlfn.IFNA(_xlpm.result, "")
)</f>
        <v/>
      </c>
      <c r="L303" t="str">
        <f>_xlfn.LET(
  _xlpm.result, _xlfn.XLOOKUP($B303, Result_Database!$A$2:$A$500, Result_Database!K$2:K$500),
  _xlfn.IFNA(_xlpm.result, "")
)</f>
        <v/>
      </c>
      <c r="M303" t="str">
        <f>_xlfn.LET(
  _xlpm.result, _xlfn.XLOOKUP($B303, Result_Database!$A$2:$A$500, Result_Database!L$2:L$500),
  _xlfn.IFNA(_xlpm.result, "")
)</f>
        <v/>
      </c>
      <c r="N303" t="str">
        <f>_xlfn.LET(
  _xlpm.result, _xlfn.XLOOKUP($B303, Result_Database!$A$2:$A$500, Result_Database!M$2:M$500),
  _xlfn.IFNA(_xlpm.result, "")
)</f>
        <v/>
      </c>
      <c r="O303" t="str">
        <f>_xlfn.LET(
  _xlpm.result, _xlfn.XLOOKUP($B303, Result_Database!$A$2:$A$500, Result_Database!N$2:N$500),
  _xlfn.IFNA(_xlpm.result, "")
)</f>
        <v/>
      </c>
      <c r="P303" t="str">
        <f>_xlfn.LET(
  _xlpm.result, _xlfn.XLOOKUP($B303, Result_Database!$A$2:$A$500, Result_Database!O$2:O$500),
  _xlfn.IFNA(_xlpm.result, "")
)</f>
        <v/>
      </c>
      <c r="Q303" t="str">
        <f>_xlfn.LET(
  _xlpm.result, _xlfn.XLOOKUP($B303, Result_Database!$A$2:$A$500, Result_Database!P$2:P$500),
  _xlfn.IFNA(_xlpm.result, "")
)</f>
        <v/>
      </c>
      <c r="R303" t="str">
        <f>_xlfn.LET(
  _xlpm.result, _xlfn.XLOOKUP($B303, Result_Database!$A$2:$A$500, Result_Database!Q$2:Q$500),
  _xlfn.IFNA(_xlpm.result, "")
)</f>
        <v/>
      </c>
      <c r="S303" t="str">
        <f>_xlfn.LET(
  _xlpm.result, _xlfn.XLOOKUP($B303, Result_Database!$A$2:$A$500, Result_Database!R$2:R$500),
  _xlfn.IFNA(_xlpm.result, "")
)</f>
        <v/>
      </c>
      <c r="T303" t="str">
        <f>_xlfn.LET(
  _xlpm.result, _xlfn.XLOOKUP($B303, Result_Database!$A$2:$A$500, Result_Database!S$2:S$500),
  _xlfn.IFNA(_xlpm.result, "")
)</f>
        <v/>
      </c>
      <c r="U303" t="str">
        <f>_xlfn.LET(
  _xlpm.result, _xlfn.XLOOKUP($B303, Result_Database!$A$2:$A$500, Result_Database!T$2:T$500),
  _xlfn.IFNA(_xlpm.result, "")
)</f>
        <v/>
      </c>
      <c r="V303" t="str">
        <f>_xlfn.LET(
  _xlpm.result, _xlfn.XLOOKUP($B303, Result_Database!$A$2:$A$500, Result_Database!U$2:U$500),
  _xlfn.IFNA(_xlpm.result, "")
)</f>
        <v/>
      </c>
      <c r="W303" t="str">
        <f>_xlfn.LET(
  _xlpm.result, _xlfn.XLOOKUP($B303, Result_Database!$A$2:$A$500, Result_Database!V$2:V$500),
  _xlfn.IFNA(_xlpm.result, "")
)</f>
        <v/>
      </c>
      <c r="X303" t="str">
        <f>_xlfn.LET(
  _xlpm.result, _xlfn.XLOOKUP($B303, Result_Database!$A$2:$A$500, Result_Database!W$2:W$500),
  _xlfn.IFNA(_xlpm.result, "")
)</f>
        <v/>
      </c>
      <c r="Y303" t="str">
        <f>_xlfn.LET(
  _xlpm.result, _xlfn.XLOOKUP($B303, Result_Database!$A$2:$A$500, Result_Database!X$2:X$500),
  _xlfn.IFNA(_xlpm.result, "")
)</f>
        <v/>
      </c>
      <c r="Z303" t="str">
        <f>_xlfn.LET(
  _xlpm.result, _xlfn.XLOOKUP($B303, Result_Database!$A$2:$A$500, Result_Database!Y$2:Y$500),
  _xlfn.IFNA(_xlpm.result, "")
)</f>
        <v/>
      </c>
      <c r="AA303" t="str">
        <f>_xlfn.LET(
  _xlpm.result, _xlfn.XLOOKUP($B303, Result_Database!$A$2:$A$500, Result_Database!Z$2:Z$500),
  _xlfn.IFNA(_xlpm.result, "")
)</f>
        <v/>
      </c>
      <c r="AB303" t="str">
        <f>_xlfn.LET(
  _xlpm.result, _xlfn.XLOOKUP($B303, Result_Database!$A$2:$A$500, Result_Database!AA$2:AA$500),
  _xlfn.IFNA(_xlpm.result, "")
)</f>
        <v/>
      </c>
      <c r="AC303" t="str">
        <f>_xlfn.LET(
  _xlpm.result, _xlfn.XLOOKUP($B303, Result_Database!$A$2:$A$500, Result_Database!AB$2:AB$500),
  _xlfn.IFNA(_xlpm.result, "")
)</f>
        <v/>
      </c>
      <c r="AD303" t="str">
        <f>_xlfn.LET(
  _xlpm.result, _xlfn.XLOOKUP($B303, Result_Database!$A$2:$A$500, Result_Database!AC$2:AC$500),
  _xlfn.IFNA(_xlpm.result, "")
)</f>
        <v/>
      </c>
      <c r="AE303" t="str">
        <f>_xlfn.LET(
  _xlpm.result, _xlfn.XLOOKUP($B303, Result_Database!$A$2:$A$500, Result_Database!AD$2:AD$500),
  _xlfn.IFNA(_xlpm.result, "")
)</f>
        <v/>
      </c>
      <c r="AF303" t="str">
        <f>_xlfn.LET(
  _xlpm.result, _xlfn.XLOOKUP($B303, Result_Database!$A$2:$A$500, Result_Database!AE$2:AE$500),
  _xlfn.IFNA(_xlpm.result, "")
)</f>
        <v/>
      </c>
      <c r="AG303" t="str">
        <f>_xlfn.LET(
  _xlpm.result, _xlfn.XLOOKUP($B303, Result_Database!$A$2:$A$500, Result_Database!AF$2:AF$500),
  _xlfn.IFNA(_xlpm.result, "")
)</f>
        <v/>
      </c>
      <c r="AH303" t="str">
        <f>_xlfn.LET(
  _xlpm.result, _xlfn.XLOOKUP($B303, Result_Database!$A$2:$A$500, Result_Database!AG$2:AG$500),
  _xlfn.IFNA(_xlpm.result, "")
)</f>
        <v/>
      </c>
      <c r="AI303" t="str">
        <f>_xlfn.LET(
  _xlpm.result, _xlfn.XLOOKUP($B303, Result_Database!$A$2:$A$500, Result_Database!AH$2:AH$500),
  _xlfn.IFNA(_xlpm.result, "")
)</f>
        <v/>
      </c>
      <c r="AJ303" t="str">
        <f>_xlfn.LET(
  _xlpm.result, _xlfn.XLOOKUP($B303, Result_Database!$A$2:$A$500, Result_Database!AI$2:AI$500),
  _xlfn.IFNA(_xlpm.result, "")
)</f>
        <v/>
      </c>
      <c r="AK303" t="str">
        <f>_xlfn.LET(
  _xlpm.result, _xlfn.XLOOKUP($B303, Result_Database!$A$2:$A$500, Result_Database!AJ$2:AJ$500),
  _xlfn.IFNA(_xlpm.result, "")
)</f>
        <v/>
      </c>
      <c r="AL303" t="str">
        <f>_xlfn.LET(
  _xlpm.result, _xlfn.XLOOKUP($B303, Result_Database!$A$2:$A$500, Result_Database!AK$2:AK$500),
  _xlfn.IFNA(_xlpm.result, "")
)</f>
        <v/>
      </c>
      <c r="AM30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0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0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0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0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0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0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0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0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03" t="str">
        <f>IF(SUM(Table5[[#This Row],[A1]:[C6]])&lt;&gt;0,SUM(Table5[[#This Row],[A1]:[C6]]),"")</f>
        <v/>
      </c>
      <c r="AW303" t="str">
        <f>IF(SUM(Table5[[#This Row],[D7]:[F9]])=0,"",SUM(Table5[[#This Row],[D7]:[F9]]))</f>
        <v/>
      </c>
      <c r="AX30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0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0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0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0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0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03" t="str">
        <f>IF(COUNTIF(Table5[[#This Row],[English Language]:[Electrical/ Electronics]],"WITHHELD")=0,"",COUNTIF(Table5[[#This Row],[English Language]:[Electrical/ Electronics]],"WITHHELD"))</f>
        <v/>
      </c>
      <c r="BE303" t="str">
        <f>IF(SUM(Table5[[#This Row],[NO OF CREDITS]:[BELOW CREDITS]])=0,"",SUM(Table5[[#This Row],[NO OF CREDITS]:[BELOW CREDITS]]))</f>
        <v/>
      </c>
    </row>
    <row r="304" spans="1:57" x14ac:dyDescent="0.3">
      <c r="A304" t="str">
        <f>IF(B304&lt;&gt;"",COUNTA($B$6:B304),"")</f>
        <v/>
      </c>
      <c r="B304" t="str">
        <f>IF(Result_Database!A300="","",Result_Database!A300)</f>
        <v/>
      </c>
      <c r="C304" t="str">
        <f>_xlfn.LET(
_xlpm.result,_xlfn.XLOOKUP($B304,Result_Database!$A$2:$A$500,Result_Database!$B$2:$B$500),
_xlfn.IFNA(_xlpm.result,"")
)</f>
        <v/>
      </c>
      <c r="D304" t="str">
        <f>_xlfn.LET(
  _xlpm.result, _xlfn.XLOOKUP($B304, Result_Database!$A$2:$A$500, Result_Database!C$2:C$500),
  _xlfn.IFNA(_xlpm.result, "")
)</f>
        <v/>
      </c>
      <c r="E304" t="str">
        <f>_xlfn.LET(
  _xlpm.result, _xlfn.XLOOKUP($B304, Result_Database!$A$2:$A$500, Result_Database!D$2:D$500),
  _xlfn.IFNA(_xlpm.result, "")
)</f>
        <v/>
      </c>
      <c r="F304" t="str">
        <f>_xlfn.LET(
  _xlpm.result, _xlfn.XLOOKUP($B304, Result_Database!$A$2:$A$500, Result_Database!E$2:E$500),
  _xlfn.IFNA(_xlpm.result, "")
)</f>
        <v/>
      </c>
      <c r="G304" t="str">
        <f>_xlfn.LET(
  _xlpm.result, _xlfn.XLOOKUP($B304, Result_Database!$A$2:$A$500, Result_Database!F$2:F$500),
  _xlfn.IFNA(_xlpm.result, "")
)</f>
        <v/>
      </c>
      <c r="H304" t="str">
        <f>_xlfn.LET(
  _xlpm.result, _xlfn.XLOOKUP($B304, Result_Database!$A$2:$A$500, Result_Database!G$2:G$500),
  _xlfn.IFNA(_xlpm.result, "")
)</f>
        <v/>
      </c>
      <c r="I304" t="str">
        <f>_xlfn.LET(
  _xlpm.result, _xlfn.XLOOKUP($B304, Result_Database!$A$2:$A$500, Result_Database!H$2:H$500),
  _xlfn.IFNA(_xlpm.result, "")
)</f>
        <v/>
      </c>
      <c r="J304" t="str">
        <f>_xlfn.LET(
  _xlpm.result, _xlfn.XLOOKUP($B304, Result_Database!$A$2:$A$500, Result_Database!I$2:I$500),
  _xlfn.IFNA(_xlpm.result, "")
)</f>
        <v/>
      </c>
      <c r="K304" t="str">
        <f>_xlfn.LET(
  _xlpm.result, _xlfn.XLOOKUP($B304, Result_Database!$A$2:$A$500, Result_Database!J$2:J$500),
  _xlfn.IFNA(_xlpm.result, "")
)</f>
        <v/>
      </c>
      <c r="L304" t="str">
        <f>_xlfn.LET(
  _xlpm.result, _xlfn.XLOOKUP($B304, Result_Database!$A$2:$A$500, Result_Database!K$2:K$500),
  _xlfn.IFNA(_xlpm.result, "")
)</f>
        <v/>
      </c>
      <c r="M304" t="str">
        <f>_xlfn.LET(
  _xlpm.result, _xlfn.XLOOKUP($B304, Result_Database!$A$2:$A$500, Result_Database!L$2:L$500),
  _xlfn.IFNA(_xlpm.result, "")
)</f>
        <v/>
      </c>
      <c r="N304" t="str">
        <f>_xlfn.LET(
  _xlpm.result, _xlfn.XLOOKUP($B304, Result_Database!$A$2:$A$500, Result_Database!M$2:M$500),
  _xlfn.IFNA(_xlpm.result, "")
)</f>
        <v/>
      </c>
      <c r="O304" t="str">
        <f>_xlfn.LET(
  _xlpm.result, _xlfn.XLOOKUP($B304, Result_Database!$A$2:$A$500, Result_Database!N$2:N$500),
  _xlfn.IFNA(_xlpm.result, "")
)</f>
        <v/>
      </c>
      <c r="P304" t="str">
        <f>_xlfn.LET(
  _xlpm.result, _xlfn.XLOOKUP($B304, Result_Database!$A$2:$A$500, Result_Database!O$2:O$500),
  _xlfn.IFNA(_xlpm.result, "")
)</f>
        <v/>
      </c>
      <c r="Q304" t="str">
        <f>_xlfn.LET(
  _xlpm.result, _xlfn.XLOOKUP($B304, Result_Database!$A$2:$A$500, Result_Database!P$2:P$500),
  _xlfn.IFNA(_xlpm.result, "")
)</f>
        <v/>
      </c>
      <c r="R304" t="str">
        <f>_xlfn.LET(
  _xlpm.result, _xlfn.XLOOKUP($B304, Result_Database!$A$2:$A$500, Result_Database!Q$2:Q$500),
  _xlfn.IFNA(_xlpm.result, "")
)</f>
        <v/>
      </c>
      <c r="S304" t="str">
        <f>_xlfn.LET(
  _xlpm.result, _xlfn.XLOOKUP($B304, Result_Database!$A$2:$A$500, Result_Database!R$2:R$500),
  _xlfn.IFNA(_xlpm.result, "")
)</f>
        <v/>
      </c>
      <c r="T304" t="str">
        <f>_xlfn.LET(
  _xlpm.result, _xlfn.XLOOKUP($B304, Result_Database!$A$2:$A$500, Result_Database!S$2:S$500),
  _xlfn.IFNA(_xlpm.result, "")
)</f>
        <v/>
      </c>
      <c r="U304" t="str">
        <f>_xlfn.LET(
  _xlpm.result, _xlfn.XLOOKUP($B304, Result_Database!$A$2:$A$500, Result_Database!T$2:T$500),
  _xlfn.IFNA(_xlpm.result, "")
)</f>
        <v/>
      </c>
      <c r="V304" t="str">
        <f>_xlfn.LET(
  _xlpm.result, _xlfn.XLOOKUP($B304, Result_Database!$A$2:$A$500, Result_Database!U$2:U$500),
  _xlfn.IFNA(_xlpm.result, "")
)</f>
        <v/>
      </c>
      <c r="W304" t="str">
        <f>_xlfn.LET(
  _xlpm.result, _xlfn.XLOOKUP($B304, Result_Database!$A$2:$A$500, Result_Database!V$2:V$500),
  _xlfn.IFNA(_xlpm.result, "")
)</f>
        <v/>
      </c>
      <c r="X304" t="str">
        <f>_xlfn.LET(
  _xlpm.result, _xlfn.XLOOKUP($B304, Result_Database!$A$2:$A$500, Result_Database!W$2:W$500),
  _xlfn.IFNA(_xlpm.result, "")
)</f>
        <v/>
      </c>
      <c r="Y304" t="str">
        <f>_xlfn.LET(
  _xlpm.result, _xlfn.XLOOKUP($B304, Result_Database!$A$2:$A$500, Result_Database!X$2:X$500),
  _xlfn.IFNA(_xlpm.result, "")
)</f>
        <v/>
      </c>
      <c r="Z304" t="str">
        <f>_xlfn.LET(
  _xlpm.result, _xlfn.XLOOKUP($B304, Result_Database!$A$2:$A$500, Result_Database!Y$2:Y$500),
  _xlfn.IFNA(_xlpm.result, "")
)</f>
        <v/>
      </c>
      <c r="AA304" t="str">
        <f>_xlfn.LET(
  _xlpm.result, _xlfn.XLOOKUP($B304, Result_Database!$A$2:$A$500, Result_Database!Z$2:Z$500),
  _xlfn.IFNA(_xlpm.result, "")
)</f>
        <v/>
      </c>
      <c r="AB304" t="str">
        <f>_xlfn.LET(
  _xlpm.result, _xlfn.XLOOKUP($B304, Result_Database!$A$2:$A$500, Result_Database!AA$2:AA$500),
  _xlfn.IFNA(_xlpm.result, "")
)</f>
        <v/>
      </c>
      <c r="AC304" t="str">
        <f>_xlfn.LET(
  _xlpm.result, _xlfn.XLOOKUP($B304, Result_Database!$A$2:$A$500, Result_Database!AB$2:AB$500),
  _xlfn.IFNA(_xlpm.result, "")
)</f>
        <v/>
      </c>
      <c r="AD304" t="str">
        <f>_xlfn.LET(
  _xlpm.result, _xlfn.XLOOKUP($B304, Result_Database!$A$2:$A$500, Result_Database!AC$2:AC$500),
  _xlfn.IFNA(_xlpm.result, "")
)</f>
        <v/>
      </c>
      <c r="AE304" t="str">
        <f>_xlfn.LET(
  _xlpm.result, _xlfn.XLOOKUP($B304, Result_Database!$A$2:$A$500, Result_Database!AD$2:AD$500),
  _xlfn.IFNA(_xlpm.result, "")
)</f>
        <v/>
      </c>
      <c r="AF304" t="str">
        <f>_xlfn.LET(
  _xlpm.result, _xlfn.XLOOKUP($B304, Result_Database!$A$2:$A$500, Result_Database!AE$2:AE$500),
  _xlfn.IFNA(_xlpm.result, "")
)</f>
        <v/>
      </c>
      <c r="AG304" t="str">
        <f>_xlfn.LET(
  _xlpm.result, _xlfn.XLOOKUP($B304, Result_Database!$A$2:$A$500, Result_Database!AF$2:AF$500),
  _xlfn.IFNA(_xlpm.result, "")
)</f>
        <v/>
      </c>
      <c r="AH304" t="str">
        <f>_xlfn.LET(
  _xlpm.result, _xlfn.XLOOKUP($B304, Result_Database!$A$2:$A$500, Result_Database!AG$2:AG$500),
  _xlfn.IFNA(_xlpm.result, "")
)</f>
        <v/>
      </c>
      <c r="AI304" t="str">
        <f>_xlfn.LET(
  _xlpm.result, _xlfn.XLOOKUP($B304, Result_Database!$A$2:$A$500, Result_Database!AH$2:AH$500),
  _xlfn.IFNA(_xlpm.result, "")
)</f>
        <v/>
      </c>
      <c r="AJ304" t="str">
        <f>_xlfn.LET(
  _xlpm.result, _xlfn.XLOOKUP($B304, Result_Database!$A$2:$A$500, Result_Database!AI$2:AI$500),
  _xlfn.IFNA(_xlpm.result, "")
)</f>
        <v/>
      </c>
      <c r="AK304" t="str">
        <f>_xlfn.LET(
  _xlpm.result, _xlfn.XLOOKUP($B304, Result_Database!$A$2:$A$500, Result_Database!AJ$2:AJ$500),
  _xlfn.IFNA(_xlpm.result, "")
)</f>
        <v/>
      </c>
      <c r="AL304" t="str">
        <f>_xlfn.LET(
  _xlpm.result, _xlfn.XLOOKUP($B304, Result_Database!$A$2:$A$500, Result_Database!AK$2:AK$500),
  _xlfn.IFNA(_xlpm.result, "")
)</f>
        <v/>
      </c>
      <c r="AM30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0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0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0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0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0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0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0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0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04" t="str">
        <f>IF(SUM(Table5[[#This Row],[A1]:[C6]])&lt;&gt;0,SUM(Table5[[#This Row],[A1]:[C6]]),"")</f>
        <v/>
      </c>
      <c r="AW304" t="str">
        <f>IF(SUM(Table5[[#This Row],[D7]:[F9]])=0,"",SUM(Table5[[#This Row],[D7]:[F9]]))</f>
        <v/>
      </c>
      <c r="AX30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0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0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0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0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0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04" t="str">
        <f>IF(COUNTIF(Table5[[#This Row],[English Language]:[Electrical/ Electronics]],"WITHHELD")=0,"",COUNTIF(Table5[[#This Row],[English Language]:[Electrical/ Electronics]],"WITHHELD"))</f>
        <v/>
      </c>
      <c r="BE304" t="str">
        <f>IF(SUM(Table5[[#This Row],[NO OF CREDITS]:[BELOW CREDITS]])=0,"",SUM(Table5[[#This Row],[NO OF CREDITS]:[BELOW CREDITS]]))</f>
        <v/>
      </c>
    </row>
    <row r="305" spans="1:57" x14ac:dyDescent="0.3">
      <c r="A305" t="str">
        <f>IF(B305&lt;&gt;"",COUNTA($B$6:B305),"")</f>
        <v/>
      </c>
      <c r="B305" t="str">
        <f>IF(Result_Database!A301="","",Result_Database!A301)</f>
        <v/>
      </c>
      <c r="C305" t="str">
        <f>_xlfn.LET(
_xlpm.result,_xlfn.XLOOKUP($B305,Result_Database!$A$2:$A$500,Result_Database!$B$2:$B$500),
_xlfn.IFNA(_xlpm.result,"")
)</f>
        <v/>
      </c>
      <c r="D305" t="str">
        <f>_xlfn.LET(
  _xlpm.result, _xlfn.XLOOKUP($B305, Result_Database!$A$2:$A$500, Result_Database!C$2:C$500),
  _xlfn.IFNA(_xlpm.result, "")
)</f>
        <v/>
      </c>
      <c r="E305" t="str">
        <f>_xlfn.LET(
  _xlpm.result, _xlfn.XLOOKUP($B305, Result_Database!$A$2:$A$500, Result_Database!D$2:D$500),
  _xlfn.IFNA(_xlpm.result, "")
)</f>
        <v/>
      </c>
      <c r="F305" t="str">
        <f>_xlfn.LET(
  _xlpm.result, _xlfn.XLOOKUP($B305, Result_Database!$A$2:$A$500, Result_Database!E$2:E$500),
  _xlfn.IFNA(_xlpm.result, "")
)</f>
        <v/>
      </c>
      <c r="G305" t="str">
        <f>_xlfn.LET(
  _xlpm.result, _xlfn.XLOOKUP($B305, Result_Database!$A$2:$A$500, Result_Database!F$2:F$500),
  _xlfn.IFNA(_xlpm.result, "")
)</f>
        <v/>
      </c>
      <c r="H305" t="str">
        <f>_xlfn.LET(
  _xlpm.result, _xlfn.XLOOKUP($B305, Result_Database!$A$2:$A$500, Result_Database!G$2:G$500),
  _xlfn.IFNA(_xlpm.result, "")
)</f>
        <v/>
      </c>
      <c r="I305" t="str">
        <f>_xlfn.LET(
  _xlpm.result, _xlfn.XLOOKUP($B305, Result_Database!$A$2:$A$500, Result_Database!H$2:H$500),
  _xlfn.IFNA(_xlpm.result, "")
)</f>
        <v/>
      </c>
      <c r="J305" t="str">
        <f>_xlfn.LET(
  _xlpm.result, _xlfn.XLOOKUP($B305, Result_Database!$A$2:$A$500, Result_Database!I$2:I$500),
  _xlfn.IFNA(_xlpm.result, "")
)</f>
        <v/>
      </c>
      <c r="K305" t="str">
        <f>_xlfn.LET(
  _xlpm.result, _xlfn.XLOOKUP($B305, Result_Database!$A$2:$A$500, Result_Database!J$2:J$500),
  _xlfn.IFNA(_xlpm.result, "")
)</f>
        <v/>
      </c>
      <c r="L305" t="str">
        <f>_xlfn.LET(
  _xlpm.result, _xlfn.XLOOKUP($B305, Result_Database!$A$2:$A$500, Result_Database!K$2:K$500),
  _xlfn.IFNA(_xlpm.result, "")
)</f>
        <v/>
      </c>
      <c r="M305" t="str">
        <f>_xlfn.LET(
  _xlpm.result, _xlfn.XLOOKUP($B305, Result_Database!$A$2:$A$500, Result_Database!L$2:L$500),
  _xlfn.IFNA(_xlpm.result, "")
)</f>
        <v/>
      </c>
      <c r="N305" t="str">
        <f>_xlfn.LET(
  _xlpm.result, _xlfn.XLOOKUP($B305, Result_Database!$A$2:$A$500, Result_Database!M$2:M$500),
  _xlfn.IFNA(_xlpm.result, "")
)</f>
        <v/>
      </c>
      <c r="O305" t="str">
        <f>_xlfn.LET(
  _xlpm.result, _xlfn.XLOOKUP($B305, Result_Database!$A$2:$A$500, Result_Database!N$2:N$500),
  _xlfn.IFNA(_xlpm.result, "")
)</f>
        <v/>
      </c>
      <c r="P305" t="str">
        <f>_xlfn.LET(
  _xlpm.result, _xlfn.XLOOKUP($B305, Result_Database!$A$2:$A$500, Result_Database!O$2:O$500),
  _xlfn.IFNA(_xlpm.result, "")
)</f>
        <v/>
      </c>
      <c r="Q305" t="str">
        <f>_xlfn.LET(
  _xlpm.result, _xlfn.XLOOKUP($B305, Result_Database!$A$2:$A$500, Result_Database!P$2:P$500),
  _xlfn.IFNA(_xlpm.result, "")
)</f>
        <v/>
      </c>
      <c r="R305" t="str">
        <f>_xlfn.LET(
  _xlpm.result, _xlfn.XLOOKUP($B305, Result_Database!$A$2:$A$500, Result_Database!Q$2:Q$500),
  _xlfn.IFNA(_xlpm.result, "")
)</f>
        <v/>
      </c>
      <c r="S305" t="str">
        <f>_xlfn.LET(
  _xlpm.result, _xlfn.XLOOKUP($B305, Result_Database!$A$2:$A$500, Result_Database!R$2:R$500),
  _xlfn.IFNA(_xlpm.result, "")
)</f>
        <v/>
      </c>
      <c r="T305" t="str">
        <f>_xlfn.LET(
  _xlpm.result, _xlfn.XLOOKUP($B305, Result_Database!$A$2:$A$500, Result_Database!S$2:S$500),
  _xlfn.IFNA(_xlpm.result, "")
)</f>
        <v/>
      </c>
      <c r="U305" t="str">
        <f>_xlfn.LET(
  _xlpm.result, _xlfn.XLOOKUP($B305, Result_Database!$A$2:$A$500, Result_Database!T$2:T$500),
  _xlfn.IFNA(_xlpm.result, "")
)</f>
        <v/>
      </c>
      <c r="V305" t="str">
        <f>_xlfn.LET(
  _xlpm.result, _xlfn.XLOOKUP($B305, Result_Database!$A$2:$A$500, Result_Database!U$2:U$500),
  _xlfn.IFNA(_xlpm.result, "")
)</f>
        <v/>
      </c>
      <c r="W305" t="str">
        <f>_xlfn.LET(
  _xlpm.result, _xlfn.XLOOKUP($B305, Result_Database!$A$2:$A$500, Result_Database!V$2:V$500),
  _xlfn.IFNA(_xlpm.result, "")
)</f>
        <v/>
      </c>
      <c r="X305" t="str">
        <f>_xlfn.LET(
  _xlpm.result, _xlfn.XLOOKUP($B305, Result_Database!$A$2:$A$500, Result_Database!W$2:W$500),
  _xlfn.IFNA(_xlpm.result, "")
)</f>
        <v/>
      </c>
      <c r="Y305" t="str">
        <f>_xlfn.LET(
  _xlpm.result, _xlfn.XLOOKUP($B305, Result_Database!$A$2:$A$500, Result_Database!X$2:X$500),
  _xlfn.IFNA(_xlpm.result, "")
)</f>
        <v/>
      </c>
      <c r="Z305" t="str">
        <f>_xlfn.LET(
  _xlpm.result, _xlfn.XLOOKUP($B305, Result_Database!$A$2:$A$500, Result_Database!Y$2:Y$500),
  _xlfn.IFNA(_xlpm.result, "")
)</f>
        <v/>
      </c>
      <c r="AA305" t="str">
        <f>_xlfn.LET(
  _xlpm.result, _xlfn.XLOOKUP($B305, Result_Database!$A$2:$A$500, Result_Database!Z$2:Z$500),
  _xlfn.IFNA(_xlpm.result, "")
)</f>
        <v/>
      </c>
      <c r="AB305" t="str">
        <f>_xlfn.LET(
  _xlpm.result, _xlfn.XLOOKUP($B305, Result_Database!$A$2:$A$500, Result_Database!AA$2:AA$500),
  _xlfn.IFNA(_xlpm.result, "")
)</f>
        <v/>
      </c>
      <c r="AC305" t="str">
        <f>_xlfn.LET(
  _xlpm.result, _xlfn.XLOOKUP($B305, Result_Database!$A$2:$A$500, Result_Database!AB$2:AB$500),
  _xlfn.IFNA(_xlpm.result, "")
)</f>
        <v/>
      </c>
      <c r="AD305" t="str">
        <f>_xlfn.LET(
  _xlpm.result, _xlfn.XLOOKUP($B305, Result_Database!$A$2:$A$500, Result_Database!AC$2:AC$500),
  _xlfn.IFNA(_xlpm.result, "")
)</f>
        <v/>
      </c>
      <c r="AE305" t="str">
        <f>_xlfn.LET(
  _xlpm.result, _xlfn.XLOOKUP($B305, Result_Database!$A$2:$A$500, Result_Database!AD$2:AD$500),
  _xlfn.IFNA(_xlpm.result, "")
)</f>
        <v/>
      </c>
      <c r="AF305" t="str">
        <f>_xlfn.LET(
  _xlpm.result, _xlfn.XLOOKUP($B305, Result_Database!$A$2:$A$500, Result_Database!AE$2:AE$500),
  _xlfn.IFNA(_xlpm.result, "")
)</f>
        <v/>
      </c>
      <c r="AG305" t="str">
        <f>_xlfn.LET(
  _xlpm.result, _xlfn.XLOOKUP($B305, Result_Database!$A$2:$A$500, Result_Database!AF$2:AF$500),
  _xlfn.IFNA(_xlpm.result, "")
)</f>
        <v/>
      </c>
      <c r="AH305" t="str">
        <f>_xlfn.LET(
  _xlpm.result, _xlfn.XLOOKUP($B305, Result_Database!$A$2:$A$500, Result_Database!AG$2:AG$500),
  _xlfn.IFNA(_xlpm.result, "")
)</f>
        <v/>
      </c>
      <c r="AI305" t="str">
        <f>_xlfn.LET(
  _xlpm.result, _xlfn.XLOOKUP($B305, Result_Database!$A$2:$A$500, Result_Database!AH$2:AH$500),
  _xlfn.IFNA(_xlpm.result, "")
)</f>
        <v/>
      </c>
      <c r="AJ305" t="str">
        <f>_xlfn.LET(
  _xlpm.result, _xlfn.XLOOKUP($B305, Result_Database!$A$2:$A$500, Result_Database!AI$2:AI$500),
  _xlfn.IFNA(_xlpm.result, "")
)</f>
        <v/>
      </c>
      <c r="AK305" t="str">
        <f>_xlfn.LET(
  _xlpm.result, _xlfn.XLOOKUP($B305, Result_Database!$A$2:$A$500, Result_Database!AJ$2:AJ$500),
  _xlfn.IFNA(_xlpm.result, "")
)</f>
        <v/>
      </c>
      <c r="AL305" t="str">
        <f>_xlfn.LET(
  _xlpm.result, _xlfn.XLOOKUP($B305, Result_Database!$A$2:$A$500, Result_Database!AK$2:AK$500),
  _xlfn.IFNA(_xlpm.result, "")
)</f>
        <v/>
      </c>
      <c r="AM30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0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0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0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0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0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0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0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0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05" t="str">
        <f>IF(SUM(Table5[[#This Row],[A1]:[C6]])&lt;&gt;0,SUM(Table5[[#This Row],[A1]:[C6]]),"")</f>
        <v/>
      </c>
      <c r="AW305" t="str">
        <f>IF(SUM(Table5[[#This Row],[D7]:[F9]])=0,"",SUM(Table5[[#This Row],[D7]:[F9]]))</f>
        <v/>
      </c>
      <c r="AX30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0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0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0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0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0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05" t="str">
        <f>IF(COUNTIF(Table5[[#This Row],[English Language]:[Electrical/ Electronics]],"WITHHELD")=0,"",COUNTIF(Table5[[#This Row],[English Language]:[Electrical/ Electronics]],"WITHHELD"))</f>
        <v/>
      </c>
      <c r="BE305" t="str">
        <f>IF(SUM(Table5[[#This Row],[NO OF CREDITS]:[BELOW CREDITS]])=0,"",SUM(Table5[[#This Row],[NO OF CREDITS]:[BELOW CREDITS]]))</f>
        <v/>
      </c>
    </row>
    <row r="306" spans="1:57" x14ac:dyDescent="0.3">
      <c r="A306" t="str">
        <f>IF(B306&lt;&gt;"",COUNTA($B$6:B306),"")</f>
        <v/>
      </c>
      <c r="B306" t="str">
        <f>IF(Result_Database!A302="","",Result_Database!A302)</f>
        <v/>
      </c>
      <c r="C306" t="str">
        <f>_xlfn.LET(
_xlpm.result,_xlfn.XLOOKUP($B306,Result_Database!$A$2:$A$500,Result_Database!$B$2:$B$500),
_xlfn.IFNA(_xlpm.result,"")
)</f>
        <v/>
      </c>
      <c r="D306" t="str">
        <f>_xlfn.LET(
  _xlpm.result, _xlfn.XLOOKUP($B306, Result_Database!$A$2:$A$500, Result_Database!C$2:C$500),
  _xlfn.IFNA(_xlpm.result, "")
)</f>
        <v/>
      </c>
      <c r="E306" t="str">
        <f>_xlfn.LET(
  _xlpm.result, _xlfn.XLOOKUP($B306, Result_Database!$A$2:$A$500, Result_Database!D$2:D$500),
  _xlfn.IFNA(_xlpm.result, "")
)</f>
        <v/>
      </c>
      <c r="F306" t="str">
        <f>_xlfn.LET(
  _xlpm.result, _xlfn.XLOOKUP($B306, Result_Database!$A$2:$A$500, Result_Database!E$2:E$500),
  _xlfn.IFNA(_xlpm.result, "")
)</f>
        <v/>
      </c>
      <c r="G306" t="str">
        <f>_xlfn.LET(
  _xlpm.result, _xlfn.XLOOKUP($B306, Result_Database!$A$2:$A$500, Result_Database!F$2:F$500),
  _xlfn.IFNA(_xlpm.result, "")
)</f>
        <v/>
      </c>
      <c r="H306" t="str">
        <f>_xlfn.LET(
  _xlpm.result, _xlfn.XLOOKUP($B306, Result_Database!$A$2:$A$500, Result_Database!G$2:G$500),
  _xlfn.IFNA(_xlpm.result, "")
)</f>
        <v/>
      </c>
      <c r="I306" t="str">
        <f>_xlfn.LET(
  _xlpm.result, _xlfn.XLOOKUP($B306, Result_Database!$A$2:$A$500, Result_Database!H$2:H$500),
  _xlfn.IFNA(_xlpm.result, "")
)</f>
        <v/>
      </c>
      <c r="J306" t="str">
        <f>_xlfn.LET(
  _xlpm.result, _xlfn.XLOOKUP($B306, Result_Database!$A$2:$A$500, Result_Database!I$2:I$500),
  _xlfn.IFNA(_xlpm.result, "")
)</f>
        <v/>
      </c>
      <c r="K306" t="str">
        <f>_xlfn.LET(
  _xlpm.result, _xlfn.XLOOKUP($B306, Result_Database!$A$2:$A$500, Result_Database!J$2:J$500),
  _xlfn.IFNA(_xlpm.result, "")
)</f>
        <v/>
      </c>
      <c r="L306" t="str">
        <f>_xlfn.LET(
  _xlpm.result, _xlfn.XLOOKUP($B306, Result_Database!$A$2:$A$500, Result_Database!K$2:K$500),
  _xlfn.IFNA(_xlpm.result, "")
)</f>
        <v/>
      </c>
      <c r="M306" t="str">
        <f>_xlfn.LET(
  _xlpm.result, _xlfn.XLOOKUP($B306, Result_Database!$A$2:$A$500, Result_Database!L$2:L$500),
  _xlfn.IFNA(_xlpm.result, "")
)</f>
        <v/>
      </c>
      <c r="N306" t="str">
        <f>_xlfn.LET(
  _xlpm.result, _xlfn.XLOOKUP($B306, Result_Database!$A$2:$A$500, Result_Database!M$2:M$500),
  _xlfn.IFNA(_xlpm.result, "")
)</f>
        <v/>
      </c>
      <c r="O306" t="str">
        <f>_xlfn.LET(
  _xlpm.result, _xlfn.XLOOKUP($B306, Result_Database!$A$2:$A$500, Result_Database!N$2:N$500),
  _xlfn.IFNA(_xlpm.result, "")
)</f>
        <v/>
      </c>
      <c r="P306" t="str">
        <f>_xlfn.LET(
  _xlpm.result, _xlfn.XLOOKUP($B306, Result_Database!$A$2:$A$500, Result_Database!O$2:O$500),
  _xlfn.IFNA(_xlpm.result, "")
)</f>
        <v/>
      </c>
      <c r="Q306" t="str">
        <f>_xlfn.LET(
  _xlpm.result, _xlfn.XLOOKUP($B306, Result_Database!$A$2:$A$500, Result_Database!P$2:P$500),
  _xlfn.IFNA(_xlpm.result, "")
)</f>
        <v/>
      </c>
      <c r="R306" t="str">
        <f>_xlfn.LET(
  _xlpm.result, _xlfn.XLOOKUP($B306, Result_Database!$A$2:$A$500, Result_Database!Q$2:Q$500),
  _xlfn.IFNA(_xlpm.result, "")
)</f>
        <v/>
      </c>
      <c r="S306" t="str">
        <f>_xlfn.LET(
  _xlpm.result, _xlfn.XLOOKUP($B306, Result_Database!$A$2:$A$500, Result_Database!R$2:R$500),
  _xlfn.IFNA(_xlpm.result, "")
)</f>
        <v/>
      </c>
      <c r="T306" t="str">
        <f>_xlfn.LET(
  _xlpm.result, _xlfn.XLOOKUP($B306, Result_Database!$A$2:$A$500, Result_Database!S$2:S$500),
  _xlfn.IFNA(_xlpm.result, "")
)</f>
        <v/>
      </c>
      <c r="U306" t="str">
        <f>_xlfn.LET(
  _xlpm.result, _xlfn.XLOOKUP($B306, Result_Database!$A$2:$A$500, Result_Database!T$2:T$500),
  _xlfn.IFNA(_xlpm.result, "")
)</f>
        <v/>
      </c>
      <c r="V306" t="str">
        <f>_xlfn.LET(
  _xlpm.result, _xlfn.XLOOKUP($B306, Result_Database!$A$2:$A$500, Result_Database!U$2:U$500),
  _xlfn.IFNA(_xlpm.result, "")
)</f>
        <v/>
      </c>
      <c r="W306" t="str">
        <f>_xlfn.LET(
  _xlpm.result, _xlfn.XLOOKUP($B306, Result_Database!$A$2:$A$500, Result_Database!V$2:V$500),
  _xlfn.IFNA(_xlpm.result, "")
)</f>
        <v/>
      </c>
      <c r="X306" t="str">
        <f>_xlfn.LET(
  _xlpm.result, _xlfn.XLOOKUP($B306, Result_Database!$A$2:$A$500, Result_Database!W$2:W$500),
  _xlfn.IFNA(_xlpm.result, "")
)</f>
        <v/>
      </c>
      <c r="Y306" t="str">
        <f>_xlfn.LET(
  _xlpm.result, _xlfn.XLOOKUP($B306, Result_Database!$A$2:$A$500, Result_Database!X$2:X$500),
  _xlfn.IFNA(_xlpm.result, "")
)</f>
        <v/>
      </c>
      <c r="Z306" t="str">
        <f>_xlfn.LET(
  _xlpm.result, _xlfn.XLOOKUP($B306, Result_Database!$A$2:$A$500, Result_Database!Y$2:Y$500),
  _xlfn.IFNA(_xlpm.result, "")
)</f>
        <v/>
      </c>
      <c r="AA306" t="str">
        <f>_xlfn.LET(
  _xlpm.result, _xlfn.XLOOKUP($B306, Result_Database!$A$2:$A$500, Result_Database!Z$2:Z$500),
  _xlfn.IFNA(_xlpm.result, "")
)</f>
        <v/>
      </c>
      <c r="AB306" t="str">
        <f>_xlfn.LET(
  _xlpm.result, _xlfn.XLOOKUP($B306, Result_Database!$A$2:$A$500, Result_Database!AA$2:AA$500),
  _xlfn.IFNA(_xlpm.result, "")
)</f>
        <v/>
      </c>
      <c r="AC306" t="str">
        <f>_xlfn.LET(
  _xlpm.result, _xlfn.XLOOKUP($B306, Result_Database!$A$2:$A$500, Result_Database!AB$2:AB$500),
  _xlfn.IFNA(_xlpm.result, "")
)</f>
        <v/>
      </c>
      <c r="AD306" t="str">
        <f>_xlfn.LET(
  _xlpm.result, _xlfn.XLOOKUP($B306, Result_Database!$A$2:$A$500, Result_Database!AC$2:AC$500),
  _xlfn.IFNA(_xlpm.result, "")
)</f>
        <v/>
      </c>
      <c r="AE306" t="str">
        <f>_xlfn.LET(
  _xlpm.result, _xlfn.XLOOKUP($B306, Result_Database!$A$2:$A$500, Result_Database!AD$2:AD$500),
  _xlfn.IFNA(_xlpm.result, "")
)</f>
        <v/>
      </c>
      <c r="AF306" t="str">
        <f>_xlfn.LET(
  _xlpm.result, _xlfn.XLOOKUP($B306, Result_Database!$A$2:$A$500, Result_Database!AE$2:AE$500),
  _xlfn.IFNA(_xlpm.result, "")
)</f>
        <v/>
      </c>
      <c r="AG306" t="str">
        <f>_xlfn.LET(
  _xlpm.result, _xlfn.XLOOKUP($B306, Result_Database!$A$2:$A$500, Result_Database!AF$2:AF$500),
  _xlfn.IFNA(_xlpm.result, "")
)</f>
        <v/>
      </c>
      <c r="AH306" t="str">
        <f>_xlfn.LET(
  _xlpm.result, _xlfn.XLOOKUP($B306, Result_Database!$A$2:$A$500, Result_Database!AG$2:AG$500),
  _xlfn.IFNA(_xlpm.result, "")
)</f>
        <v/>
      </c>
      <c r="AI306" t="str">
        <f>_xlfn.LET(
  _xlpm.result, _xlfn.XLOOKUP($B306, Result_Database!$A$2:$A$500, Result_Database!AH$2:AH$500),
  _xlfn.IFNA(_xlpm.result, "")
)</f>
        <v/>
      </c>
      <c r="AJ306" t="str">
        <f>_xlfn.LET(
  _xlpm.result, _xlfn.XLOOKUP($B306, Result_Database!$A$2:$A$500, Result_Database!AI$2:AI$500),
  _xlfn.IFNA(_xlpm.result, "")
)</f>
        <v/>
      </c>
      <c r="AK306" t="str">
        <f>_xlfn.LET(
  _xlpm.result, _xlfn.XLOOKUP($B306, Result_Database!$A$2:$A$500, Result_Database!AJ$2:AJ$500),
  _xlfn.IFNA(_xlpm.result, "")
)</f>
        <v/>
      </c>
      <c r="AL306" t="str">
        <f>_xlfn.LET(
  _xlpm.result, _xlfn.XLOOKUP($B306, Result_Database!$A$2:$A$500, Result_Database!AK$2:AK$500),
  _xlfn.IFNA(_xlpm.result, "")
)</f>
        <v/>
      </c>
      <c r="AM30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0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0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0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0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0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0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0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0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06" t="str">
        <f>IF(SUM(Table5[[#This Row],[A1]:[C6]])&lt;&gt;0,SUM(Table5[[#This Row],[A1]:[C6]]),"")</f>
        <v/>
      </c>
      <c r="AW306" t="str">
        <f>IF(SUM(Table5[[#This Row],[D7]:[F9]])=0,"",SUM(Table5[[#This Row],[D7]:[F9]]))</f>
        <v/>
      </c>
      <c r="AX30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0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0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0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0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0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06" t="str">
        <f>IF(COUNTIF(Table5[[#This Row],[English Language]:[Electrical/ Electronics]],"WITHHELD")=0,"",COUNTIF(Table5[[#This Row],[English Language]:[Electrical/ Electronics]],"WITHHELD"))</f>
        <v/>
      </c>
      <c r="BE306" t="str">
        <f>IF(SUM(Table5[[#This Row],[NO OF CREDITS]:[BELOW CREDITS]])=0,"",SUM(Table5[[#This Row],[NO OF CREDITS]:[BELOW CREDITS]]))</f>
        <v/>
      </c>
    </row>
    <row r="307" spans="1:57" x14ac:dyDescent="0.3">
      <c r="A307" t="str">
        <f>IF(B307&lt;&gt;"",COUNTA($B$6:B307),"")</f>
        <v/>
      </c>
      <c r="B307" t="str">
        <f>IF(Result_Database!A303="","",Result_Database!A303)</f>
        <v/>
      </c>
      <c r="C307" t="str">
        <f>_xlfn.LET(
_xlpm.result,_xlfn.XLOOKUP($B307,Result_Database!$A$2:$A$500,Result_Database!$B$2:$B$500),
_xlfn.IFNA(_xlpm.result,"")
)</f>
        <v/>
      </c>
      <c r="D307" t="str">
        <f>_xlfn.LET(
  _xlpm.result, _xlfn.XLOOKUP($B307, Result_Database!$A$2:$A$500, Result_Database!C$2:C$500),
  _xlfn.IFNA(_xlpm.result, "")
)</f>
        <v/>
      </c>
      <c r="E307" t="str">
        <f>_xlfn.LET(
  _xlpm.result, _xlfn.XLOOKUP($B307, Result_Database!$A$2:$A$500, Result_Database!D$2:D$500),
  _xlfn.IFNA(_xlpm.result, "")
)</f>
        <v/>
      </c>
      <c r="F307" t="str">
        <f>_xlfn.LET(
  _xlpm.result, _xlfn.XLOOKUP($B307, Result_Database!$A$2:$A$500, Result_Database!E$2:E$500),
  _xlfn.IFNA(_xlpm.result, "")
)</f>
        <v/>
      </c>
      <c r="G307" t="str">
        <f>_xlfn.LET(
  _xlpm.result, _xlfn.XLOOKUP($B307, Result_Database!$A$2:$A$500, Result_Database!F$2:F$500),
  _xlfn.IFNA(_xlpm.result, "")
)</f>
        <v/>
      </c>
      <c r="H307" t="str">
        <f>_xlfn.LET(
  _xlpm.result, _xlfn.XLOOKUP($B307, Result_Database!$A$2:$A$500, Result_Database!G$2:G$500),
  _xlfn.IFNA(_xlpm.result, "")
)</f>
        <v/>
      </c>
      <c r="I307" t="str">
        <f>_xlfn.LET(
  _xlpm.result, _xlfn.XLOOKUP($B307, Result_Database!$A$2:$A$500, Result_Database!H$2:H$500),
  _xlfn.IFNA(_xlpm.result, "")
)</f>
        <v/>
      </c>
      <c r="J307" t="str">
        <f>_xlfn.LET(
  _xlpm.result, _xlfn.XLOOKUP($B307, Result_Database!$A$2:$A$500, Result_Database!I$2:I$500),
  _xlfn.IFNA(_xlpm.result, "")
)</f>
        <v/>
      </c>
      <c r="K307" t="str">
        <f>_xlfn.LET(
  _xlpm.result, _xlfn.XLOOKUP($B307, Result_Database!$A$2:$A$500, Result_Database!J$2:J$500),
  _xlfn.IFNA(_xlpm.result, "")
)</f>
        <v/>
      </c>
      <c r="L307" t="str">
        <f>_xlfn.LET(
  _xlpm.result, _xlfn.XLOOKUP($B307, Result_Database!$A$2:$A$500, Result_Database!K$2:K$500),
  _xlfn.IFNA(_xlpm.result, "")
)</f>
        <v/>
      </c>
      <c r="M307" t="str">
        <f>_xlfn.LET(
  _xlpm.result, _xlfn.XLOOKUP($B307, Result_Database!$A$2:$A$500, Result_Database!L$2:L$500),
  _xlfn.IFNA(_xlpm.result, "")
)</f>
        <v/>
      </c>
      <c r="N307" t="str">
        <f>_xlfn.LET(
  _xlpm.result, _xlfn.XLOOKUP($B307, Result_Database!$A$2:$A$500, Result_Database!M$2:M$500),
  _xlfn.IFNA(_xlpm.result, "")
)</f>
        <v/>
      </c>
      <c r="O307" t="str">
        <f>_xlfn.LET(
  _xlpm.result, _xlfn.XLOOKUP($B307, Result_Database!$A$2:$A$500, Result_Database!N$2:N$500),
  _xlfn.IFNA(_xlpm.result, "")
)</f>
        <v/>
      </c>
      <c r="P307" t="str">
        <f>_xlfn.LET(
  _xlpm.result, _xlfn.XLOOKUP($B307, Result_Database!$A$2:$A$500, Result_Database!O$2:O$500),
  _xlfn.IFNA(_xlpm.result, "")
)</f>
        <v/>
      </c>
      <c r="Q307" t="str">
        <f>_xlfn.LET(
  _xlpm.result, _xlfn.XLOOKUP($B307, Result_Database!$A$2:$A$500, Result_Database!P$2:P$500),
  _xlfn.IFNA(_xlpm.result, "")
)</f>
        <v/>
      </c>
      <c r="R307" t="str">
        <f>_xlfn.LET(
  _xlpm.result, _xlfn.XLOOKUP($B307, Result_Database!$A$2:$A$500, Result_Database!Q$2:Q$500),
  _xlfn.IFNA(_xlpm.result, "")
)</f>
        <v/>
      </c>
      <c r="S307" t="str">
        <f>_xlfn.LET(
  _xlpm.result, _xlfn.XLOOKUP($B307, Result_Database!$A$2:$A$500, Result_Database!R$2:R$500),
  _xlfn.IFNA(_xlpm.result, "")
)</f>
        <v/>
      </c>
      <c r="T307" t="str">
        <f>_xlfn.LET(
  _xlpm.result, _xlfn.XLOOKUP($B307, Result_Database!$A$2:$A$500, Result_Database!S$2:S$500),
  _xlfn.IFNA(_xlpm.result, "")
)</f>
        <v/>
      </c>
      <c r="U307" t="str">
        <f>_xlfn.LET(
  _xlpm.result, _xlfn.XLOOKUP($B307, Result_Database!$A$2:$A$500, Result_Database!T$2:T$500),
  _xlfn.IFNA(_xlpm.result, "")
)</f>
        <v/>
      </c>
      <c r="V307" t="str">
        <f>_xlfn.LET(
  _xlpm.result, _xlfn.XLOOKUP($B307, Result_Database!$A$2:$A$500, Result_Database!U$2:U$500),
  _xlfn.IFNA(_xlpm.result, "")
)</f>
        <v/>
      </c>
      <c r="W307" t="str">
        <f>_xlfn.LET(
  _xlpm.result, _xlfn.XLOOKUP($B307, Result_Database!$A$2:$A$500, Result_Database!V$2:V$500),
  _xlfn.IFNA(_xlpm.result, "")
)</f>
        <v/>
      </c>
      <c r="X307" t="str">
        <f>_xlfn.LET(
  _xlpm.result, _xlfn.XLOOKUP($B307, Result_Database!$A$2:$A$500, Result_Database!W$2:W$500),
  _xlfn.IFNA(_xlpm.result, "")
)</f>
        <v/>
      </c>
      <c r="Y307" t="str">
        <f>_xlfn.LET(
  _xlpm.result, _xlfn.XLOOKUP($B307, Result_Database!$A$2:$A$500, Result_Database!X$2:X$500),
  _xlfn.IFNA(_xlpm.result, "")
)</f>
        <v/>
      </c>
      <c r="Z307" t="str">
        <f>_xlfn.LET(
  _xlpm.result, _xlfn.XLOOKUP($B307, Result_Database!$A$2:$A$500, Result_Database!Y$2:Y$500),
  _xlfn.IFNA(_xlpm.result, "")
)</f>
        <v/>
      </c>
      <c r="AA307" t="str">
        <f>_xlfn.LET(
  _xlpm.result, _xlfn.XLOOKUP($B307, Result_Database!$A$2:$A$500, Result_Database!Z$2:Z$500),
  _xlfn.IFNA(_xlpm.result, "")
)</f>
        <v/>
      </c>
      <c r="AB307" t="str">
        <f>_xlfn.LET(
  _xlpm.result, _xlfn.XLOOKUP($B307, Result_Database!$A$2:$A$500, Result_Database!AA$2:AA$500),
  _xlfn.IFNA(_xlpm.result, "")
)</f>
        <v/>
      </c>
      <c r="AC307" t="str">
        <f>_xlfn.LET(
  _xlpm.result, _xlfn.XLOOKUP($B307, Result_Database!$A$2:$A$500, Result_Database!AB$2:AB$500),
  _xlfn.IFNA(_xlpm.result, "")
)</f>
        <v/>
      </c>
      <c r="AD307" t="str">
        <f>_xlfn.LET(
  _xlpm.result, _xlfn.XLOOKUP($B307, Result_Database!$A$2:$A$500, Result_Database!AC$2:AC$500),
  _xlfn.IFNA(_xlpm.result, "")
)</f>
        <v/>
      </c>
      <c r="AE307" t="str">
        <f>_xlfn.LET(
  _xlpm.result, _xlfn.XLOOKUP($B307, Result_Database!$A$2:$A$500, Result_Database!AD$2:AD$500),
  _xlfn.IFNA(_xlpm.result, "")
)</f>
        <v/>
      </c>
      <c r="AF307" t="str">
        <f>_xlfn.LET(
  _xlpm.result, _xlfn.XLOOKUP($B307, Result_Database!$A$2:$A$500, Result_Database!AE$2:AE$500),
  _xlfn.IFNA(_xlpm.result, "")
)</f>
        <v/>
      </c>
      <c r="AG307" t="str">
        <f>_xlfn.LET(
  _xlpm.result, _xlfn.XLOOKUP($B307, Result_Database!$A$2:$A$500, Result_Database!AF$2:AF$500),
  _xlfn.IFNA(_xlpm.result, "")
)</f>
        <v/>
      </c>
      <c r="AH307" t="str">
        <f>_xlfn.LET(
  _xlpm.result, _xlfn.XLOOKUP($B307, Result_Database!$A$2:$A$500, Result_Database!AG$2:AG$500),
  _xlfn.IFNA(_xlpm.result, "")
)</f>
        <v/>
      </c>
      <c r="AI307" t="str">
        <f>_xlfn.LET(
  _xlpm.result, _xlfn.XLOOKUP($B307, Result_Database!$A$2:$A$500, Result_Database!AH$2:AH$500),
  _xlfn.IFNA(_xlpm.result, "")
)</f>
        <v/>
      </c>
      <c r="AJ307" t="str">
        <f>_xlfn.LET(
  _xlpm.result, _xlfn.XLOOKUP($B307, Result_Database!$A$2:$A$500, Result_Database!AI$2:AI$500),
  _xlfn.IFNA(_xlpm.result, "")
)</f>
        <v/>
      </c>
      <c r="AK307" t="str">
        <f>_xlfn.LET(
  _xlpm.result, _xlfn.XLOOKUP($B307, Result_Database!$A$2:$A$500, Result_Database!AJ$2:AJ$500),
  _xlfn.IFNA(_xlpm.result, "")
)</f>
        <v/>
      </c>
      <c r="AL307" t="str">
        <f>_xlfn.LET(
  _xlpm.result, _xlfn.XLOOKUP($B307, Result_Database!$A$2:$A$500, Result_Database!AK$2:AK$500),
  _xlfn.IFNA(_xlpm.result, "")
)</f>
        <v/>
      </c>
      <c r="AM30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0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0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0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0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0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0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0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0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07" t="str">
        <f>IF(SUM(Table5[[#This Row],[A1]:[C6]])&lt;&gt;0,SUM(Table5[[#This Row],[A1]:[C6]]),"")</f>
        <v/>
      </c>
      <c r="AW307" t="str">
        <f>IF(SUM(Table5[[#This Row],[D7]:[F9]])=0,"",SUM(Table5[[#This Row],[D7]:[F9]]))</f>
        <v/>
      </c>
      <c r="AX30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0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0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0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0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0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07" t="str">
        <f>IF(COUNTIF(Table5[[#This Row],[English Language]:[Electrical/ Electronics]],"WITHHELD")=0,"",COUNTIF(Table5[[#This Row],[English Language]:[Electrical/ Electronics]],"WITHHELD"))</f>
        <v/>
      </c>
      <c r="BE307" t="str">
        <f>IF(SUM(Table5[[#This Row],[NO OF CREDITS]:[BELOW CREDITS]])=0,"",SUM(Table5[[#This Row],[NO OF CREDITS]:[BELOW CREDITS]]))</f>
        <v/>
      </c>
    </row>
    <row r="308" spans="1:57" x14ac:dyDescent="0.3">
      <c r="A308" t="str">
        <f>IF(B308&lt;&gt;"",COUNTA($B$6:B308),"")</f>
        <v/>
      </c>
      <c r="B308" t="str">
        <f>IF(Result_Database!A304="","",Result_Database!A304)</f>
        <v/>
      </c>
      <c r="C308" t="str">
        <f>_xlfn.LET(
_xlpm.result,_xlfn.XLOOKUP($B308,Result_Database!$A$2:$A$500,Result_Database!$B$2:$B$500),
_xlfn.IFNA(_xlpm.result,"")
)</f>
        <v/>
      </c>
      <c r="D308" t="str">
        <f>_xlfn.LET(
  _xlpm.result, _xlfn.XLOOKUP($B308, Result_Database!$A$2:$A$500, Result_Database!C$2:C$500),
  _xlfn.IFNA(_xlpm.result, "")
)</f>
        <v/>
      </c>
      <c r="E308" t="str">
        <f>_xlfn.LET(
  _xlpm.result, _xlfn.XLOOKUP($B308, Result_Database!$A$2:$A$500, Result_Database!D$2:D$500),
  _xlfn.IFNA(_xlpm.result, "")
)</f>
        <v/>
      </c>
      <c r="F308" t="str">
        <f>_xlfn.LET(
  _xlpm.result, _xlfn.XLOOKUP($B308, Result_Database!$A$2:$A$500, Result_Database!E$2:E$500),
  _xlfn.IFNA(_xlpm.result, "")
)</f>
        <v/>
      </c>
      <c r="G308" t="str">
        <f>_xlfn.LET(
  _xlpm.result, _xlfn.XLOOKUP($B308, Result_Database!$A$2:$A$500, Result_Database!F$2:F$500),
  _xlfn.IFNA(_xlpm.result, "")
)</f>
        <v/>
      </c>
      <c r="H308" t="str">
        <f>_xlfn.LET(
  _xlpm.result, _xlfn.XLOOKUP($B308, Result_Database!$A$2:$A$500, Result_Database!G$2:G$500),
  _xlfn.IFNA(_xlpm.result, "")
)</f>
        <v/>
      </c>
      <c r="I308" t="str">
        <f>_xlfn.LET(
  _xlpm.result, _xlfn.XLOOKUP($B308, Result_Database!$A$2:$A$500, Result_Database!H$2:H$500),
  _xlfn.IFNA(_xlpm.result, "")
)</f>
        <v/>
      </c>
      <c r="J308" t="str">
        <f>_xlfn.LET(
  _xlpm.result, _xlfn.XLOOKUP($B308, Result_Database!$A$2:$A$500, Result_Database!I$2:I$500),
  _xlfn.IFNA(_xlpm.result, "")
)</f>
        <v/>
      </c>
      <c r="K308" t="str">
        <f>_xlfn.LET(
  _xlpm.result, _xlfn.XLOOKUP($B308, Result_Database!$A$2:$A$500, Result_Database!J$2:J$500),
  _xlfn.IFNA(_xlpm.result, "")
)</f>
        <v/>
      </c>
      <c r="L308" t="str">
        <f>_xlfn.LET(
  _xlpm.result, _xlfn.XLOOKUP($B308, Result_Database!$A$2:$A$500, Result_Database!K$2:K$500),
  _xlfn.IFNA(_xlpm.result, "")
)</f>
        <v/>
      </c>
      <c r="M308" t="str">
        <f>_xlfn.LET(
  _xlpm.result, _xlfn.XLOOKUP($B308, Result_Database!$A$2:$A$500, Result_Database!L$2:L$500),
  _xlfn.IFNA(_xlpm.result, "")
)</f>
        <v/>
      </c>
      <c r="N308" t="str">
        <f>_xlfn.LET(
  _xlpm.result, _xlfn.XLOOKUP($B308, Result_Database!$A$2:$A$500, Result_Database!M$2:M$500),
  _xlfn.IFNA(_xlpm.result, "")
)</f>
        <v/>
      </c>
      <c r="O308" t="str">
        <f>_xlfn.LET(
  _xlpm.result, _xlfn.XLOOKUP($B308, Result_Database!$A$2:$A$500, Result_Database!N$2:N$500),
  _xlfn.IFNA(_xlpm.result, "")
)</f>
        <v/>
      </c>
      <c r="P308" t="str">
        <f>_xlfn.LET(
  _xlpm.result, _xlfn.XLOOKUP($B308, Result_Database!$A$2:$A$500, Result_Database!O$2:O$500),
  _xlfn.IFNA(_xlpm.result, "")
)</f>
        <v/>
      </c>
      <c r="Q308" t="str">
        <f>_xlfn.LET(
  _xlpm.result, _xlfn.XLOOKUP($B308, Result_Database!$A$2:$A$500, Result_Database!P$2:P$500),
  _xlfn.IFNA(_xlpm.result, "")
)</f>
        <v/>
      </c>
      <c r="R308" t="str">
        <f>_xlfn.LET(
  _xlpm.result, _xlfn.XLOOKUP($B308, Result_Database!$A$2:$A$500, Result_Database!Q$2:Q$500),
  _xlfn.IFNA(_xlpm.result, "")
)</f>
        <v/>
      </c>
      <c r="S308" t="str">
        <f>_xlfn.LET(
  _xlpm.result, _xlfn.XLOOKUP($B308, Result_Database!$A$2:$A$500, Result_Database!R$2:R$500),
  _xlfn.IFNA(_xlpm.result, "")
)</f>
        <v/>
      </c>
      <c r="T308" t="str">
        <f>_xlfn.LET(
  _xlpm.result, _xlfn.XLOOKUP($B308, Result_Database!$A$2:$A$500, Result_Database!S$2:S$500),
  _xlfn.IFNA(_xlpm.result, "")
)</f>
        <v/>
      </c>
      <c r="U308" t="str">
        <f>_xlfn.LET(
  _xlpm.result, _xlfn.XLOOKUP($B308, Result_Database!$A$2:$A$500, Result_Database!T$2:T$500),
  _xlfn.IFNA(_xlpm.result, "")
)</f>
        <v/>
      </c>
      <c r="V308" t="str">
        <f>_xlfn.LET(
  _xlpm.result, _xlfn.XLOOKUP($B308, Result_Database!$A$2:$A$500, Result_Database!U$2:U$500),
  _xlfn.IFNA(_xlpm.result, "")
)</f>
        <v/>
      </c>
      <c r="W308" t="str">
        <f>_xlfn.LET(
  _xlpm.result, _xlfn.XLOOKUP($B308, Result_Database!$A$2:$A$500, Result_Database!V$2:V$500),
  _xlfn.IFNA(_xlpm.result, "")
)</f>
        <v/>
      </c>
      <c r="X308" t="str">
        <f>_xlfn.LET(
  _xlpm.result, _xlfn.XLOOKUP($B308, Result_Database!$A$2:$A$500, Result_Database!W$2:W$500),
  _xlfn.IFNA(_xlpm.result, "")
)</f>
        <v/>
      </c>
      <c r="Y308" t="str">
        <f>_xlfn.LET(
  _xlpm.result, _xlfn.XLOOKUP($B308, Result_Database!$A$2:$A$500, Result_Database!X$2:X$500),
  _xlfn.IFNA(_xlpm.result, "")
)</f>
        <v/>
      </c>
      <c r="Z308" t="str">
        <f>_xlfn.LET(
  _xlpm.result, _xlfn.XLOOKUP($B308, Result_Database!$A$2:$A$500, Result_Database!Y$2:Y$500),
  _xlfn.IFNA(_xlpm.result, "")
)</f>
        <v/>
      </c>
      <c r="AA308" t="str">
        <f>_xlfn.LET(
  _xlpm.result, _xlfn.XLOOKUP($B308, Result_Database!$A$2:$A$500, Result_Database!Z$2:Z$500),
  _xlfn.IFNA(_xlpm.result, "")
)</f>
        <v/>
      </c>
      <c r="AB308" t="str">
        <f>_xlfn.LET(
  _xlpm.result, _xlfn.XLOOKUP($B308, Result_Database!$A$2:$A$500, Result_Database!AA$2:AA$500),
  _xlfn.IFNA(_xlpm.result, "")
)</f>
        <v/>
      </c>
      <c r="AC308" t="str">
        <f>_xlfn.LET(
  _xlpm.result, _xlfn.XLOOKUP($B308, Result_Database!$A$2:$A$500, Result_Database!AB$2:AB$500),
  _xlfn.IFNA(_xlpm.result, "")
)</f>
        <v/>
      </c>
      <c r="AD308" t="str">
        <f>_xlfn.LET(
  _xlpm.result, _xlfn.XLOOKUP($B308, Result_Database!$A$2:$A$500, Result_Database!AC$2:AC$500),
  _xlfn.IFNA(_xlpm.result, "")
)</f>
        <v/>
      </c>
      <c r="AE308" t="str">
        <f>_xlfn.LET(
  _xlpm.result, _xlfn.XLOOKUP($B308, Result_Database!$A$2:$A$500, Result_Database!AD$2:AD$500),
  _xlfn.IFNA(_xlpm.result, "")
)</f>
        <v/>
      </c>
      <c r="AF308" t="str">
        <f>_xlfn.LET(
  _xlpm.result, _xlfn.XLOOKUP($B308, Result_Database!$A$2:$A$500, Result_Database!AE$2:AE$500),
  _xlfn.IFNA(_xlpm.result, "")
)</f>
        <v/>
      </c>
      <c r="AG308" t="str">
        <f>_xlfn.LET(
  _xlpm.result, _xlfn.XLOOKUP($B308, Result_Database!$A$2:$A$500, Result_Database!AF$2:AF$500),
  _xlfn.IFNA(_xlpm.result, "")
)</f>
        <v/>
      </c>
      <c r="AH308" t="str">
        <f>_xlfn.LET(
  _xlpm.result, _xlfn.XLOOKUP($B308, Result_Database!$A$2:$A$500, Result_Database!AG$2:AG$500),
  _xlfn.IFNA(_xlpm.result, "")
)</f>
        <v/>
      </c>
      <c r="AI308" t="str">
        <f>_xlfn.LET(
  _xlpm.result, _xlfn.XLOOKUP($B308, Result_Database!$A$2:$A$500, Result_Database!AH$2:AH$500),
  _xlfn.IFNA(_xlpm.result, "")
)</f>
        <v/>
      </c>
      <c r="AJ308" t="str">
        <f>_xlfn.LET(
  _xlpm.result, _xlfn.XLOOKUP($B308, Result_Database!$A$2:$A$500, Result_Database!AI$2:AI$500),
  _xlfn.IFNA(_xlpm.result, "")
)</f>
        <v/>
      </c>
      <c r="AK308" t="str">
        <f>_xlfn.LET(
  _xlpm.result, _xlfn.XLOOKUP($B308, Result_Database!$A$2:$A$500, Result_Database!AJ$2:AJ$500),
  _xlfn.IFNA(_xlpm.result, "")
)</f>
        <v/>
      </c>
      <c r="AL308" t="str">
        <f>_xlfn.LET(
  _xlpm.result, _xlfn.XLOOKUP($B308, Result_Database!$A$2:$A$500, Result_Database!AK$2:AK$500),
  _xlfn.IFNA(_xlpm.result, "")
)</f>
        <v/>
      </c>
      <c r="AM30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0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0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0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0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0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0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0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0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08" t="str">
        <f>IF(SUM(Table5[[#This Row],[A1]:[C6]])&lt;&gt;0,SUM(Table5[[#This Row],[A1]:[C6]]),"")</f>
        <v/>
      </c>
      <c r="AW308" t="str">
        <f>IF(SUM(Table5[[#This Row],[D7]:[F9]])=0,"",SUM(Table5[[#This Row],[D7]:[F9]]))</f>
        <v/>
      </c>
      <c r="AX30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0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0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0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0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0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08" t="str">
        <f>IF(COUNTIF(Table5[[#This Row],[English Language]:[Electrical/ Electronics]],"WITHHELD")=0,"",COUNTIF(Table5[[#This Row],[English Language]:[Electrical/ Electronics]],"WITHHELD"))</f>
        <v/>
      </c>
      <c r="BE308" t="str">
        <f>IF(SUM(Table5[[#This Row],[NO OF CREDITS]:[BELOW CREDITS]])=0,"",SUM(Table5[[#This Row],[NO OF CREDITS]:[BELOW CREDITS]]))</f>
        <v/>
      </c>
    </row>
    <row r="309" spans="1:57" x14ac:dyDescent="0.3">
      <c r="A309" t="str">
        <f>IF(B309&lt;&gt;"",COUNTA($B$6:B309),"")</f>
        <v/>
      </c>
      <c r="B309" t="str">
        <f>IF(Result_Database!A305="","",Result_Database!A305)</f>
        <v/>
      </c>
      <c r="C309" t="str">
        <f>_xlfn.LET(
_xlpm.result,_xlfn.XLOOKUP($B309,Result_Database!$A$2:$A$500,Result_Database!$B$2:$B$500),
_xlfn.IFNA(_xlpm.result,"")
)</f>
        <v/>
      </c>
      <c r="D309" t="str">
        <f>_xlfn.LET(
  _xlpm.result, _xlfn.XLOOKUP($B309, Result_Database!$A$2:$A$500, Result_Database!C$2:C$500),
  _xlfn.IFNA(_xlpm.result, "")
)</f>
        <v/>
      </c>
      <c r="E309" t="str">
        <f>_xlfn.LET(
  _xlpm.result, _xlfn.XLOOKUP($B309, Result_Database!$A$2:$A$500, Result_Database!D$2:D$500),
  _xlfn.IFNA(_xlpm.result, "")
)</f>
        <v/>
      </c>
      <c r="F309" t="str">
        <f>_xlfn.LET(
  _xlpm.result, _xlfn.XLOOKUP($B309, Result_Database!$A$2:$A$500, Result_Database!E$2:E$500),
  _xlfn.IFNA(_xlpm.result, "")
)</f>
        <v/>
      </c>
      <c r="G309" t="str">
        <f>_xlfn.LET(
  _xlpm.result, _xlfn.XLOOKUP($B309, Result_Database!$A$2:$A$500, Result_Database!F$2:F$500),
  _xlfn.IFNA(_xlpm.result, "")
)</f>
        <v/>
      </c>
      <c r="H309" t="str">
        <f>_xlfn.LET(
  _xlpm.result, _xlfn.XLOOKUP($B309, Result_Database!$A$2:$A$500, Result_Database!G$2:G$500),
  _xlfn.IFNA(_xlpm.result, "")
)</f>
        <v/>
      </c>
      <c r="I309" t="str">
        <f>_xlfn.LET(
  _xlpm.result, _xlfn.XLOOKUP($B309, Result_Database!$A$2:$A$500, Result_Database!H$2:H$500),
  _xlfn.IFNA(_xlpm.result, "")
)</f>
        <v/>
      </c>
      <c r="J309" t="str">
        <f>_xlfn.LET(
  _xlpm.result, _xlfn.XLOOKUP($B309, Result_Database!$A$2:$A$500, Result_Database!I$2:I$500),
  _xlfn.IFNA(_xlpm.result, "")
)</f>
        <v/>
      </c>
      <c r="K309" t="str">
        <f>_xlfn.LET(
  _xlpm.result, _xlfn.XLOOKUP($B309, Result_Database!$A$2:$A$500, Result_Database!J$2:J$500),
  _xlfn.IFNA(_xlpm.result, "")
)</f>
        <v/>
      </c>
      <c r="L309" t="str">
        <f>_xlfn.LET(
  _xlpm.result, _xlfn.XLOOKUP($B309, Result_Database!$A$2:$A$500, Result_Database!K$2:K$500),
  _xlfn.IFNA(_xlpm.result, "")
)</f>
        <v/>
      </c>
      <c r="M309" t="str">
        <f>_xlfn.LET(
  _xlpm.result, _xlfn.XLOOKUP($B309, Result_Database!$A$2:$A$500, Result_Database!L$2:L$500),
  _xlfn.IFNA(_xlpm.result, "")
)</f>
        <v/>
      </c>
      <c r="N309" t="str">
        <f>_xlfn.LET(
  _xlpm.result, _xlfn.XLOOKUP($B309, Result_Database!$A$2:$A$500, Result_Database!M$2:M$500),
  _xlfn.IFNA(_xlpm.result, "")
)</f>
        <v/>
      </c>
      <c r="O309" t="str">
        <f>_xlfn.LET(
  _xlpm.result, _xlfn.XLOOKUP($B309, Result_Database!$A$2:$A$500, Result_Database!N$2:N$500),
  _xlfn.IFNA(_xlpm.result, "")
)</f>
        <v/>
      </c>
      <c r="P309" t="str">
        <f>_xlfn.LET(
  _xlpm.result, _xlfn.XLOOKUP($B309, Result_Database!$A$2:$A$500, Result_Database!O$2:O$500),
  _xlfn.IFNA(_xlpm.result, "")
)</f>
        <v/>
      </c>
      <c r="Q309" t="str">
        <f>_xlfn.LET(
  _xlpm.result, _xlfn.XLOOKUP($B309, Result_Database!$A$2:$A$500, Result_Database!P$2:P$500),
  _xlfn.IFNA(_xlpm.result, "")
)</f>
        <v/>
      </c>
      <c r="R309" t="str">
        <f>_xlfn.LET(
  _xlpm.result, _xlfn.XLOOKUP($B309, Result_Database!$A$2:$A$500, Result_Database!Q$2:Q$500),
  _xlfn.IFNA(_xlpm.result, "")
)</f>
        <v/>
      </c>
      <c r="S309" t="str">
        <f>_xlfn.LET(
  _xlpm.result, _xlfn.XLOOKUP($B309, Result_Database!$A$2:$A$500, Result_Database!R$2:R$500),
  _xlfn.IFNA(_xlpm.result, "")
)</f>
        <v/>
      </c>
      <c r="T309" t="str">
        <f>_xlfn.LET(
  _xlpm.result, _xlfn.XLOOKUP($B309, Result_Database!$A$2:$A$500, Result_Database!S$2:S$500),
  _xlfn.IFNA(_xlpm.result, "")
)</f>
        <v/>
      </c>
      <c r="U309" t="str">
        <f>_xlfn.LET(
  _xlpm.result, _xlfn.XLOOKUP($B309, Result_Database!$A$2:$A$500, Result_Database!T$2:T$500),
  _xlfn.IFNA(_xlpm.result, "")
)</f>
        <v/>
      </c>
      <c r="V309" t="str">
        <f>_xlfn.LET(
  _xlpm.result, _xlfn.XLOOKUP($B309, Result_Database!$A$2:$A$500, Result_Database!U$2:U$500),
  _xlfn.IFNA(_xlpm.result, "")
)</f>
        <v/>
      </c>
      <c r="W309" t="str">
        <f>_xlfn.LET(
  _xlpm.result, _xlfn.XLOOKUP($B309, Result_Database!$A$2:$A$500, Result_Database!V$2:V$500),
  _xlfn.IFNA(_xlpm.result, "")
)</f>
        <v/>
      </c>
      <c r="X309" t="str">
        <f>_xlfn.LET(
  _xlpm.result, _xlfn.XLOOKUP($B309, Result_Database!$A$2:$A$500, Result_Database!W$2:W$500),
  _xlfn.IFNA(_xlpm.result, "")
)</f>
        <v/>
      </c>
      <c r="Y309" t="str">
        <f>_xlfn.LET(
  _xlpm.result, _xlfn.XLOOKUP($B309, Result_Database!$A$2:$A$500, Result_Database!X$2:X$500),
  _xlfn.IFNA(_xlpm.result, "")
)</f>
        <v/>
      </c>
      <c r="Z309" t="str">
        <f>_xlfn.LET(
  _xlpm.result, _xlfn.XLOOKUP($B309, Result_Database!$A$2:$A$500, Result_Database!Y$2:Y$500),
  _xlfn.IFNA(_xlpm.result, "")
)</f>
        <v/>
      </c>
      <c r="AA309" t="str">
        <f>_xlfn.LET(
  _xlpm.result, _xlfn.XLOOKUP($B309, Result_Database!$A$2:$A$500, Result_Database!Z$2:Z$500),
  _xlfn.IFNA(_xlpm.result, "")
)</f>
        <v/>
      </c>
      <c r="AB309" t="str">
        <f>_xlfn.LET(
  _xlpm.result, _xlfn.XLOOKUP($B309, Result_Database!$A$2:$A$500, Result_Database!AA$2:AA$500),
  _xlfn.IFNA(_xlpm.result, "")
)</f>
        <v/>
      </c>
      <c r="AC309" t="str">
        <f>_xlfn.LET(
  _xlpm.result, _xlfn.XLOOKUP($B309, Result_Database!$A$2:$A$500, Result_Database!AB$2:AB$500),
  _xlfn.IFNA(_xlpm.result, "")
)</f>
        <v/>
      </c>
      <c r="AD309" t="str">
        <f>_xlfn.LET(
  _xlpm.result, _xlfn.XLOOKUP($B309, Result_Database!$A$2:$A$500, Result_Database!AC$2:AC$500),
  _xlfn.IFNA(_xlpm.result, "")
)</f>
        <v/>
      </c>
      <c r="AE309" t="str">
        <f>_xlfn.LET(
  _xlpm.result, _xlfn.XLOOKUP($B309, Result_Database!$A$2:$A$500, Result_Database!AD$2:AD$500),
  _xlfn.IFNA(_xlpm.result, "")
)</f>
        <v/>
      </c>
      <c r="AF309" t="str">
        <f>_xlfn.LET(
  _xlpm.result, _xlfn.XLOOKUP($B309, Result_Database!$A$2:$A$500, Result_Database!AE$2:AE$500),
  _xlfn.IFNA(_xlpm.result, "")
)</f>
        <v/>
      </c>
      <c r="AG309" t="str">
        <f>_xlfn.LET(
  _xlpm.result, _xlfn.XLOOKUP($B309, Result_Database!$A$2:$A$500, Result_Database!AF$2:AF$500),
  _xlfn.IFNA(_xlpm.result, "")
)</f>
        <v/>
      </c>
      <c r="AH309" t="str">
        <f>_xlfn.LET(
  _xlpm.result, _xlfn.XLOOKUP($B309, Result_Database!$A$2:$A$500, Result_Database!AG$2:AG$500),
  _xlfn.IFNA(_xlpm.result, "")
)</f>
        <v/>
      </c>
      <c r="AI309" t="str">
        <f>_xlfn.LET(
  _xlpm.result, _xlfn.XLOOKUP($B309, Result_Database!$A$2:$A$500, Result_Database!AH$2:AH$500),
  _xlfn.IFNA(_xlpm.result, "")
)</f>
        <v/>
      </c>
      <c r="AJ309" t="str">
        <f>_xlfn.LET(
  _xlpm.result, _xlfn.XLOOKUP($B309, Result_Database!$A$2:$A$500, Result_Database!AI$2:AI$500),
  _xlfn.IFNA(_xlpm.result, "")
)</f>
        <v/>
      </c>
      <c r="AK309" t="str">
        <f>_xlfn.LET(
  _xlpm.result, _xlfn.XLOOKUP($B309, Result_Database!$A$2:$A$500, Result_Database!AJ$2:AJ$500),
  _xlfn.IFNA(_xlpm.result, "")
)</f>
        <v/>
      </c>
      <c r="AL309" t="str">
        <f>_xlfn.LET(
  _xlpm.result, _xlfn.XLOOKUP($B309, Result_Database!$A$2:$A$500, Result_Database!AK$2:AK$500),
  _xlfn.IFNA(_xlpm.result, "")
)</f>
        <v/>
      </c>
      <c r="AM30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0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0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0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0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0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0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0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0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09" t="str">
        <f>IF(SUM(Table5[[#This Row],[A1]:[C6]])&lt;&gt;0,SUM(Table5[[#This Row],[A1]:[C6]]),"")</f>
        <v/>
      </c>
      <c r="AW309" t="str">
        <f>IF(SUM(Table5[[#This Row],[D7]:[F9]])=0,"",SUM(Table5[[#This Row],[D7]:[F9]]))</f>
        <v/>
      </c>
      <c r="AX30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0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0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0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0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0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09" t="str">
        <f>IF(COUNTIF(Table5[[#This Row],[English Language]:[Electrical/ Electronics]],"WITHHELD")=0,"",COUNTIF(Table5[[#This Row],[English Language]:[Electrical/ Electronics]],"WITHHELD"))</f>
        <v/>
      </c>
      <c r="BE309" t="str">
        <f>IF(SUM(Table5[[#This Row],[NO OF CREDITS]:[BELOW CREDITS]])=0,"",SUM(Table5[[#This Row],[NO OF CREDITS]:[BELOW CREDITS]]))</f>
        <v/>
      </c>
    </row>
    <row r="310" spans="1:57" x14ac:dyDescent="0.3">
      <c r="A310" t="str">
        <f>IF(B310&lt;&gt;"",COUNTA($B$6:B310),"")</f>
        <v/>
      </c>
      <c r="B310" t="str">
        <f>IF(Result_Database!A306="","",Result_Database!A306)</f>
        <v/>
      </c>
      <c r="C310" t="str">
        <f>_xlfn.LET(
_xlpm.result,_xlfn.XLOOKUP($B310,Result_Database!$A$2:$A$500,Result_Database!$B$2:$B$500),
_xlfn.IFNA(_xlpm.result,"")
)</f>
        <v/>
      </c>
      <c r="D310" t="str">
        <f>_xlfn.LET(
  _xlpm.result, _xlfn.XLOOKUP($B310, Result_Database!$A$2:$A$500, Result_Database!C$2:C$500),
  _xlfn.IFNA(_xlpm.result, "")
)</f>
        <v/>
      </c>
      <c r="E310" t="str">
        <f>_xlfn.LET(
  _xlpm.result, _xlfn.XLOOKUP($B310, Result_Database!$A$2:$A$500, Result_Database!D$2:D$500),
  _xlfn.IFNA(_xlpm.result, "")
)</f>
        <v/>
      </c>
      <c r="F310" t="str">
        <f>_xlfn.LET(
  _xlpm.result, _xlfn.XLOOKUP($B310, Result_Database!$A$2:$A$500, Result_Database!E$2:E$500),
  _xlfn.IFNA(_xlpm.result, "")
)</f>
        <v/>
      </c>
      <c r="G310" t="str">
        <f>_xlfn.LET(
  _xlpm.result, _xlfn.XLOOKUP($B310, Result_Database!$A$2:$A$500, Result_Database!F$2:F$500),
  _xlfn.IFNA(_xlpm.result, "")
)</f>
        <v/>
      </c>
      <c r="H310" t="str">
        <f>_xlfn.LET(
  _xlpm.result, _xlfn.XLOOKUP($B310, Result_Database!$A$2:$A$500, Result_Database!G$2:G$500),
  _xlfn.IFNA(_xlpm.result, "")
)</f>
        <v/>
      </c>
      <c r="I310" t="str">
        <f>_xlfn.LET(
  _xlpm.result, _xlfn.XLOOKUP($B310, Result_Database!$A$2:$A$500, Result_Database!H$2:H$500),
  _xlfn.IFNA(_xlpm.result, "")
)</f>
        <v/>
      </c>
      <c r="J310" t="str">
        <f>_xlfn.LET(
  _xlpm.result, _xlfn.XLOOKUP($B310, Result_Database!$A$2:$A$500, Result_Database!I$2:I$500),
  _xlfn.IFNA(_xlpm.result, "")
)</f>
        <v/>
      </c>
      <c r="K310" t="str">
        <f>_xlfn.LET(
  _xlpm.result, _xlfn.XLOOKUP($B310, Result_Database!$A$2:$A$500, Result_Database!J$2:J$500),
  _xlfn.IFNA(_xlpm.result, "")
)</f>
        <v/>
      </c>
      <c r="L310" t="str">
        <f>_xlfn.LET(
  _xlpm.result, _xlfn.XLOOKUP($B310, Result_Database!$A$2:$A$500, Result_Database!K$2:K$500),
  _xlfn.IFNA(_xlpm.result, "")
)</f>
        <v/>
      </c>
      <c r="M310" t="str">
        <f>_xlfn.LET(
  _xlpm.result, _xlfn.XLOOKUP($B310, Result_Database!$A$2:$A$500, Result_Database!L$2:L$500),
  _xlfn.IFNA(_xlpm.result, "")
)</f>
        <v/>
      </c>
      <c r="N310" t="str">
        <f>_xlfn.LET(
  _xlpm.result, _xlfn.XLOOKUP($B310, Result_Database!$A$2:$A$500, Result_Database!M$2:M$500),
  _xlfn.IFNA(_xlpm.result, "")
)</f>
        <v/>
      </c>
      <c r="O310" t="str">
        <f>_xlfn.LET(
  _xlpm.result, _xlfn.XLOOKUP($B310, Result_Database!$A$2:$A$500, Result_Database!N$2:N$500),
  _xlfn.IFNA(_xlpm.result, "")
)</f>
        <v/>
      </c>
      <c r="P310" t="str">
        <f>_xlfn.LET(
  _xlpm.result, _xlfn.XLOOKUP($B310, Result_Database!$A$2:$A$500, Result_Database!O$2:O$500),
  _xlfn.IFNA(_xlpm.result, "")
)</f>
        <v/>
      </c>
      <c r="Q310" t="str">
        <f>_xlfn.LET(
  _xlpm.result, _xlfn.XLOOKUP($B310, Result_Database!$A$2:$A$500, Result_Database!P$2:P$500),
  _xlfn.IFNA(_xlpm.result, "")
)</f>
        <v/>
      </c>
      <c r="R310" t="str">
        <f>_xlfn.LET(
  _xlpm.result, _xlfn.XLOOKUP($B310, Result_Database!$A$2:$A$500, Result_Database!Q$2:Q$500),
  _xlfn.IFNA(_xlpm.result, "")
)</f>
        <v/>
      </c>
      <c r="S310" t="str">
        <f>_xlfn.LET(
  _xlpm.result, _xlfn.XLOOKUP($B310, Result_Database!$A$2:$A$500, Result_Database!R$2:R$500),
  _xlfn.IFNA(_xlpm.result, "")
)</f>
        <v/>
      </c>
      <c r="T310" t="str">
        <f>_xlfn.LET(
  _xlpm.result, _xlfn.XLOOKUP($B310, Result_Database!$A$2:$A$500, Result_Database!S$2:S$500),
  _xlfn.IFNA(_xlpm.result, "")
)</f>
        <v/>
      </c>
      <c r="U310" t="str">
        <f>_xlfn.LET(
  _xlpm.result, _xlfn.XLOOKUP($B310, Result_Database!$A$2:$A$500, Result_Database!T$2:T$500),
  _xlfn.IFNA(_xlpm.result, "")
)</f>
        <v/>
      </c>
      <c r="V310" t="str">
        <f>_xlfn.LET(
  _xlpm.result, _xlfn.XLOOKUP($B310, Result_Database!$A$2:$A$500, Result_Database!U$2:U$500),
  _xlfn.IFNA(_xlpm.result, "")
)</f>
        <v/>
      </c>
      <c r="W310" t="str">
        <f>_xlfn.LET(
  _xlpm.result, _xlfn.XLOOKUP($B310, Result_Database!$A$2:$A$500, Result_Database!V$2:V$500),
  _xlfn.IFNA(_xlpm.result, "")
)</f>
        <v/>
      </c>
      <c r="X310" t="str">
        <f>_xlfn.LET(
  _xlpm.result, _xlfn.XLOOKUP($B310, Result_Database!$A$2:$A$500, Result_Database!W$2:W$500),
  _xlfn.IFNA(_xlpm.result, "")
)</f>
        <v/>
      </c>
      <c r="Y310" t="str">
        <f>_xlfn.LET(
  _xlpm.result, _xlfn.XLOOKUP($B310, Result_Database!$A$2:$A$500, Result_Database!X$2:X$500),
  _xlfn.IFNA(_xlpm.result, "")
)</f>
        <v/>
      </c>
      <c r="Z310" t="str">
        <f>_xlfn.LET(
  _xlpm.result, _xlfn.XLOOKUP($B310, Result_Database!$A$2:$A$500, Result_Database!Y$2:Y$500),
  _xlfn.IFNA(_xlpm.result, "")
)</f>
        <v/>
      </c>
      <c r="AA310" t="str">
        <f>_xlfn.LET(
  _xlpm.result, _xlfn.XLOOKUP($B310, Result_Database!$A$2:$A$500, Result_Database!Z$2:Z$500),
  _xlfn.IFNA(_xlpm.result, "")
)</f>
        <v/>
      </c>
      <c r="AB310" t="str">
        <f>_xlfn.LET(
  _xlpm.result, _xlfn.XLOOKUP($B310, Result_Database!$A$2:$A$500, Result_Database!AA$2:AA$500),
  _xlfn.IFNA(_xlpm.result, "")
)</f>
        <v/>
      </c>
      <c r="AC310" t="str">
        <f>_xlfn.LET(
  _xlpm.result, _xlfn.XLOOKUP($B310, Result_Database!$A$2:$A$500, Result_Database!AB$2:AB$500),
  _xlfn.IFNA(_xlpm.result, "")
)</f>
        <v/>
      </c>
      <c r="AD310" t="str">
        <f>_xlfn.LET(
  _xlpm.result, _xlfn.XLOOKUP($B310, Result_Database!$A$2:$A$500, Result_Database!AC$2:AC$500),
  _xlfn.IFNA(_xlpm.result, "")
)</f>
        <v/>
      </c>
      <c r="AE310" t="str">
        <f>_xlfn.LET(
  _xlpm.result, _xlfn.XLOOKUP($B310, Result_Database!$A$2:$A$500, Result_Database!AD$2:AD$500),
  _xlfn.IFNA(_xlpm.result, "")
)</f>
        <v/>
      </c>
      <c r="AF310" t="str">
        <f>_xlfn.LET(
  _xlpm.result, _xlfn.XLOOKUP($B310, Result_Database!$A$2:$A$500, Result_Database!AE$2:AE$500),
  _xlfn.IFNA(_xlpm.result, "")
)</f>
        <v/>
      </c>
      <c r="AG310" t="str">
        <f>_xlfn.LET(
  _xlpm.result, _xlfn.XLOOKUP($B310, Result_Database!$A$2:$A$500, Result_Database!AF$2:AF$500),
  _xlfn.IFNA(_xlpm.result, "")
)</f>
        <v/>
      </c>
      <c r="AH310" t="str">
        <f>_xlfn.LET(
  _xlpm.result, _xlfn.XLOOKUP($B310, Result_Database!$A$2:$A$500, Result_Database!AG$2:AG$500),
  _xlfn.IFNA(_xlpm.result, "")
)</f>
        <v/>
      </c>
      <c r="AI310" t="str">
        <f>_xlfn.LET(
  _xlpm.result, _xlfn.XLOOKUP($B310, Result_Database!$A$2:$A$500, Result_Database!AH$2:AH$500),
  _xlfn.IFNA(_xlpm.result, "")
)</f>
        <v/>
      </c>
      <c r="AJ310" t="str">
        <f>_xlfn.LET(
  _xlpm.result, _xlfn.XLOOKUP($B310, Result_Database!$A$2:$A$500, Result_Database!AI$2:AI$500),
  _xlfn.IFNA(_xlpm.result, "")
)</f>
        <v/>
      </c>
      <c r="AK310" t="str">
        <f>_xlfn.LET(
  _xlpm.result, _xlfn.XLOOKUP($B310, Result_Database!$A$2:$A$500, Result_Database!AJ$2:AJ$500),
  _xlfn.IFNA(_xlpm.result, "")
)</f>
        <v/>
      </c>
      <c r="AL310" t="str">
        <f>_xlfn.LET(
  _xlpm.result, _xlfn.XLOOKUP($B310, Result_Database!$A$2:$A$500, Result_Database!AK$2:AK$500),
  _xlfn.IFNA(_xlpm.result, "")
)</f>
        <v/>
      </c>
      <c r="AM31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1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1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1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1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1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1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1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1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10" t="str">
        <f>IF(SUM(Table5[[#This Row],[A1]:[C6]])&lt;&gt;0,SUM(Table5[[#This Row],[A1]:[C6]]),"")</f>
        <v/>
      </c>
      <c r="AW310" t="str">
        <f>IF(SUM(Table5[[#This Row],[D7]:[F9]])=0,"",SUM(Table5[[#This Row],[D7]:[F9]]))</f>
        <v/>
      </c>
      <c r="AX31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1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1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1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1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1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10" t="str">
        <f>IF(COUNTIF(Table5[[#This Row],[English Language]:[Electrical/ Electronics]],"WITHHELD")=0,"",COUNTIF(Table5[[#This Row],[English Language]:[Electrical/ Electronics]],"WITHHELD"))</f>
        <v/>
      </c>
      <c r="BE310" t="str">
        <f>IF(SUM(Table5[[#This Row],[NO OF CREDITS]:[BELOW CREDITS]])=0,"",SUM(Table5[[#This Row],[NO OF CREDITS]:[BELOW CREDITS]]))</f>
        <v/>
      </c>
    </row>
    <row r="311" spans="1:57" x14ac:dyDescent="0.3">
      <c r="A311" t="str">
        <f>IF(B311&lt;&gt;"",COUNTA($B$6:B311),"")</f>
        <v/>
      </c>
      <c r="B311" t="str">
        <f>IF(Result_Database!A307="","",Result_Database!A307)</f>
        <v/>
      </c>
      <c r="C311" t="str">
        <f>_xlfn.LET(
_xlpm.result,_xlfn.XLOOKUP($B311,Result_Database!$A$2:$A$500,Result_Database!$B$2:$B$500),
_xlfn.IFNA(_xlpm.result,"")
)</f>
        <v/>
      </c>
      <c r="D311" t="str">
        <f>_xlfn.LET(
  _xlpm.result, _xlfn.XLOOKUP($B311, Result_Database!$A$2:$A$500, Result_Database!C$2:C$500),
  _xlfn.IFNA(_xlpm.result, "")
)</f>
        <v/>
      </c>
      <c r="E311" t="str">
        <f>_xlfn.LET(
  _xlpm.result, _xlfn.XLOOKUP($B311, Result_Database!$A$2:$A$500, Result_Database!D$2:D$500),
  _xlfn.IFNA(_xlpm.result, "")
)</f>
        <v/>
      </c>
      <c r="F311" t="str">
        <f>_xlfn.LET(
  _xlpm.result, _xlfn.XLOOKUP($B311, Result_Database!$A$2:$A$500, Result_Database!E$2:E$500),
  _xlfn.IFNA(_xlpm.result, "")
)</f>
        <v/>
      </c>
      <c r="G311" t="str">
        <f>_xlfn.LET(
  _xlpm.result, _xlfn.XLOOKUP($B311, Result_Database!$A$2:$A$500, Result_Database!F$2:F$500),
  _xlfn.IFNA(_xlpm.result, "")
)</f>
        <v/>
      </c>
      <c r="H311" t="str">
        <f>_xlfn.LET(
  _xlpm.result, _xlfn.XLOOKUP($B311, Result_Database!$A$2:$A$500, Result_Database!G$2:G$500),
  _xlfn.IFNA(_xlpm.result, "")
)</f>
        <v/>
      </c>
      <c r="I311" t="str">
        <f>_xlfn.LET(
  _xlpm.result, _xlfn.XLOOKUP($B311, Result_Database!$A$2:$A$500, Result_Database!H$2:H$500),
  _xlfn.IFNA(_xlpm.result, "")
)</f>
        <v/>
      </c>
      <c r="J311" t="str">
        <f>_xlfn.LET(
  _xlpm.result, _xlfn.XLOOKUP($B311, Result_Database!$A$2:$A$500, Result_Database!I$2:I$500),
  _xlfn.IFNA(_xlpm.result, "")
)</f>
        <v/>
      </c>
      <c r="K311" t="str">
        <f>_xlfn.LET(
  _xlpm.result, _xlfn.XLOOKUP($B311, Result_Database!$A$2:$A$500, Result_Database!J$2:J$500),
  _xlfn.IFNA(_xlpm.result, "")
)</f>
        <v/>
      </c>
      <c r="L311" t="str">
        <f>_xlfn.LET(
  _xlpm.result, _xlfn.XLOOKUP($B311, Result_Database!$A$2:$A$500, Result_Database!K$2:K$500),
  _xlfn.IFNA(_xlpm.result, "")
)</f>
        <v/>
      </c>
      <c r="M311" t="str">
        <f>_xlfn.LET(
  _xlpm.result, _xlfn.XLOOKUP($B311, Result_Database!$A$2:$A$500, Result_Database!L$2:L$500),
  _xlfn.IFNA(_xlpm.result, "")
)</f>
        <v/>
      </c>
      <c r="N311" t="str">
        <f>_xlfn.LET(
  _xlpm.result, _xlfn.XLOOKUP($B311, Result_Database!$A$2:$A$500, Result_Database!M$2:M$500),
  _xlfn.IFNA(_xlpm.result, "")
)</f>
        <v/>
      </c>
      <c r="O311" t="str">
        <f>_xlfn.LET(
  _xlpm.result, _xlfn.XLOOKUP($B311, Result_Database!$A$2:$A$500, Result_Database!N$2:N$500),
  _xlfn.IFNA(_xlpm.result, "")
)</f>
        <v/>
      </c>
      <c r="P311" t="str">
        <f>_xlfn.LET(
  _xlpm.result, _xlfn.XLOOKUP($B311, Result_Database!$A$2:$A$500, Result_Database!O$2:O$500),
  _xlfn.IFNA(_xlpm.result, "")
)</f>
        <v/>
      </c>
      <c r="Q311" t="str">
        <f>_xlfn.LET(
  _xlpm.result, _xlfn.XLOOKUP($B311, Result_Database!$A$2:$A$500, Result_Database!P$2:P$500),
  _xlfn.IFNA(_xlpm.result, "")
)</f>
        <v/>
      </c>
      <c r="R311" t="str">
        <f>_xlfn.LET(
  _xlpm.result, _xlfn.XLOOKUP($B311, Result_Database!$A$2:$A$500, Result_Database!Q$2:Q$500),
  _xlfn.IFNA(_xlpm.result, "")
)</f>
        <v/>
      </c>
      <c r="S311" t="str">
        <f>_xlfn.LET(
  _xlpm.result, _xlfn.XLOOKUP($B311, Result_Database!$A$2:$A$500, Result_Database!R$2:R$500),
  _xlfn.IFNA(_xlpm.result, "")
)</f>
        <v/>
      </c>
      <c r="T311" t="str">
        <f>_xlfn.LET(
  _xlpm.result, _xlfn.XLOOKUP($B311, Result_Database!$A$2:$A$500, Result_Database!S$2:S$500),
  _xlfn.IFNA(_xlpm.result, "")
)</f>
        <v/>
      </c>
      <c r="U311" t="str">
        <f>_xlfn.LET(
  _xlpm.result, _xlfn.XLOOKUP($B311, Result_Database!$A$2:$A$500, Result_Database!T$2:T$500),
  _xlfn.IFNA(_xlpm.result, "")
)</f>
        <v/>
      </c>
      <c r="V311" t="str">
        <f>_xlfn.LET(
  _xlpm.result, _xlfn.XLOOKUP($B311, Result_Database!$A$2:$A$500, Result_Database!U$2:U$500),
  _xlfn.IFNA(_xlpm.result, "")
)</f>
        <v/>
      </c>
      <c r="W311" t="str">
        <f>_xlfn.LET(
  _xlpm.result, _xlfn.XLOOKUP($B311, Result_Database!$A$2:$A$500, Result_Database!V$2:V$500),
  _xlfn.IFNA(_xlpm.result, "")
)</f>
        <v/>
      </c>
      <c r="X311" t="str">
        <f>_xlfn.LET(
  _xlpm.result, _xlfn.XLOOKUP($B311, Result_Database!$A$2:$A$500, Result_Database!W$2:W$500),
  _xlfn.IFNA(_xlpm.result, "")
)</f>
        <v/>
      </c>
      <c r="Y311" t="str">
        <f>_xlfn.LET(
  _xlpm.result, _xlfn.XLOOKUP($B311, Result_Database!$A$2:$A$500, Result_Database!X$2:X$500),
  _xlfn.IFNA(_xlpm.result, "")
)</f>
        <v/>
      </c>
      <c r="Z311" t="str">
        <f>_xlfn.LET(
  _xlpm.result, _xlfn.XLOOKUP($B311, Result_Database!$A$2:$A$500, Result_Database!Y$2:Y$500),
  _xlfn.IFNA(_xlpm.result, "")
)</f>
        <v/>
      </c>
      <c r="AA311" t="str">
        <f>_xlfn.LET(
  _xlpm.result, _xlfn.XLOOKUP($B311, Result_Database!$A$2:$A$500, Result_Database!Z$2:Z$500),
  _xlfn.IFNA(_xlpm.result, "")
)</f>
        <v/>
      </c>
      <c r="AB311" t="str">
        <f>_xlfn.LET(
  _xlpm.result, _xlfn.XLOOKUP($B311, Result_Database!$A$2:$A$500, Result_Database!AA$2:AA$500),
  _xlfn.IFNA(_xlpm.result, "")
)</f>
        <v/>
      </c>
      <c r="AC311" t="str">
        <f>_xlfn.LET(
  _xlpm.result, _xlfn.XLOOKUP($B311, Result_Database!$A$2:$A$500, Result_Database!AB$2:AB$500),
  _xlfn.IFNA(_xlpm.result, "")
)</f>
        <v/>
      </c>
      <c r="AD311" t="str">
        <f>_xlfn.LET(
  _xlpm.result, _xlfn.XLOOKUP($B311, Result_Database!$A$2:$A$500, Result_Database!AC$2:AC$500),
  _xlfn.IFNA(_xlpm.result, "")
)</f>
        <v/>
      </c>
      <c r="AE311" t="str">
        <f>_xlfn.LET(
  _xlpm.result, _xlfn.XLOOKUP($B311, Result_Database!$A$2:$A$500, Result_Database!AD$2:AD$500),
  _xlfn.IFNA(_xlpm.result, "")
)</f>
        <v/>
      </c>
      <c r="AF311" t="str">
        <f>_xlfn.LET(
  _xlpm.result, _xlfn.XLOOKUP($B311, Result_Database!$A$2:$A$500, Result_Database!AE$2:AE$500),
  _xlfn.IFNA(_xlpm.result, "")
)</f>
        <v/>
      </c>
      <c r="AG311" t="str">
        <f>_xlfn.LET(
  _xlpm.result, _xlfn.XLOOKUP($B311, Result_Database!$A$2:$A$500, Result_Database!AF$2:AF$500),
  _xlfn.IFNA(_xlpm.result, "")
)</f>
        <v/>
      </c>
      <c r="AH311" t="str">
        <f>_xlfn.LET(
  _xlpm.result, _xlfn.XLOOKUP($B311, Result_Database!$A$2:$A$500, Result_Database!AG$2:AG$500),
  _xlfn.IFNA(_xlpm.result, "")
)</f>
        <v/>
      </c>
      <c r="AI311" t="str">
        <f>_xlfn.LET(
  _xlpm.result, _xlfn.XLOOKUP($B311, Result_Database!$A$2:$A$500, Result_Database!AH$2:AH$500),
  _xlfn.IFNA(_xlpm.result, "")
)</f>
        <v/>
      </c>
      <c r="AJ311" t="str">
        <f>_xlfn.LET(
  _xlpm.result, _xlfn.XLOOKUP($B311, Result_Database!$A$2:$A$500, Result_Database!AI$2:AI$500),
  _xlfn.IFNA(_xlpm.result, "")
)</f>
        <v/>
      </c>
      <c r="AK311" t="str">
        <f>_xlfn.LET(
  _xlpm.result, _xlfn.XLOOKUP($B311, Result_Database!$A$2:$A$500, Result_Database!AJ$2:AJ$500),
  _xlfn.IFNA(_xlpm.result, "")
)</f>
        <v/>
      </c>
      <c r="AL311" t="str">
        <f>_xlfn.LET(
  _xlpm.result, _xlfn.XLOOKUP($B311, Result_Database!$A$2:$A$500, Result_Database!AK$2:AK$500),
  _xlfn.IFNA(_xlpm.result, "")
)</f>
        <v/>
      </c>
      <c r="AM31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1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1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1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1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1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1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1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1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11" t="str">
        <f>IF(SUM(Table5[[#This Row],[A1]:[C6]])&lt;&gt;0,SUM(Table5[[#This Row],[A1]:[C6]]),"")</f>
        <v/>
      </c>
      <c r="AW311" t="str">
        <f>IF(SUM(Table5[[#This Row],[D7]:[F9]])=0,"",SUM(Table5[[#This Row],[D7]:[F9]]))</f>
        <v/>
      </c>
      <c r="AX31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1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1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1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1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1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11" t="str">
        <f>IF(COUNTIF(Table5[[#This Row],[English Language]:[Electrical/ Electronics]],"WITHHELD")=0,"",COUNTIF(Table5[[#This Row],[English Language]:[Electrical/ Electronics]],"WITHHELD"))</f>
        <v/>
      </c>
      <c r="BE311" t="str">
        <f>IF(SUM(Table5[[#This Row],[NO OF CREDITS]:[BELOW CREDITS]])=0,"",SUM(Table5[[#This Row],[NO OF CREDITS]:[BELOW CREDITS]]))</f>
        <v/>
      </c>
    </row>
    <row r="312" spans="1:57" x14ac:dyDescent="0.3">
      <c r="A312" t="str">
        <f>IF(B312&lt;&gt;"",COUNTA($B$6:B312),"")</f>
        <v/>
      </c>
      <c r="B312" t="str">
        <f>IF(Result_Database!A308="","",Result_Database!A308)</f>
        <v/>
      </c>
      <c r="C312" t="str">
        <f>_xlfn.LET(
_xlpm.result,_xlfn.XLOOKUP($B312,Result_Database!$A$2:$A$500,Result_Database!$B$2:$B$500),
_xlfn.IFNA(_xlpm.result,"")
)</f>
        <v/>
      </c>
      <c r="D312" t="str">
        <f>_xlfn.LET(
  _xlpm.result, _xlfn.XLOOKUP($B312, Result_Database!$A$2:$A$500, Result_Database!C$2:C$500),
  _xlfn.IFNA(_xlpm.result, "")
)</f>
        <v/>
      </c>
      <c r="E312" t="str">
        <f>_xlfn.LET(
  _xlpm.result, _xlfn.XLOOKUP($B312, Result_Database!$A$2:$A$500, Result_Database!D$2:D$500),
  _xlfn.IFNA(_xlpm.result, "")
)</f>
        <v/>
      </c>
      <c r="F312" t="str">
        <f>_xlfn.LET(
  _xlpm.result, _xlfn.XLOOKUP($B312, Result_Database!$A$2:$A$500, Result_Database!E$2:E$500),
  _xlfn.IFNA(_xlpm.result, "")
)</f>
        <v/>
      </c>
      <c r="G312" t="str">
        <f>_xlfn.LET(
  _xlpm.result, _xlfn.XLOOKUP($B312, Result_Database!$A$2:$A$500, Result_Database!F$2:F$500),
  _xlfn.IFNA(_xlpm.result, "")
)</f>
        <v/>
      </c>
      <c r="H312" t="str">
        <f>_xlfn.LET(
  _xlpm.result, _xlfn.XLOOKUP($B312, Result_Database!$A$2:$A$500, Result_Database!G$2:G$500),
  _xlfn.IFNA(_xlpm.result, "")
)</f>
        <v/>
      </c>
      <c r="I312" t="str">
        <f>_xlfn.LET(
  _xlpm.result, _xlfn.XLOOKUP($B312, Result_Database!$A$2:$A$500, Result_Database!H$2:H$500),
  _xlfn.IFNA(_xlpm.result, "")
)</f>
        <v/>
      </c>
      <c r="J312" t="str">
        <f>_xlfn.LET(
  _xlpm.result, _xlfn.XLOOKUP($B312, Result_Database!$A$2:$A$500, Result_Database!I$2:I$500),
  _xlfn.IFNA(_xlpm.result, "")
)</f>
        <v/>
      </c>
      <c r="K312" t="str">
        <f>_xlfn.LET(
  _xlpm.result, _xlfn.XLOOKUP($B312, Result_Database!$A$2:$A$500, Result_Database!J$2:J$500),
  _xlfn.IFNA(_xlpm.result, "")
)</f>
        <v/>
      </c>
      <c r="L312" t="str">
        <f>_xlfn.LET(
  _xlpm.result, _xlfn.XLOOKUP($B312, Result_Database!$A$2:$A$500, Result_Database!K$2:K$500),
  _xlfn.IFNA(_xlpm.result, "")
)</f>
        <v/>
      </c>
      <c r="M312" t="str">
        <f>_xlfn.LET(
  _xlpm.result, _xlfn.XLOOKUP($B312, Result_Database!$A$2:$A$500, Result_Database!L$2:L$500),
  _xlfn.IFNA(_xlpm.result, "")
)</f>
        <v/>
      </c>
      <c r="N312" t="str">
        <f>_xlfn.LET(
  _xlpm.result, _xlfn.XLOOKUP($B312, Result_Database!$A$2:$A$500, Result_Database!M$2:M$500),
  _xlfn.IFNA(_xlpm.result, "")
)</f>
        <v/>
      </c>
      <c r="O312" t="str">
        <f>_xlfn.LET(
  _xlpm.result, _xlfn.XLOOKUP($B312, Result_Database!$A$2:$A$500, Result_Database!N$2:N$500),
  _xlfn.IFNA(_xlpm.result, "")
)</f>
        <v/>
      </c>
      <c r="P312" t="str">
        <f>_xlfn.LET(
  _xlpm.result, _xlfn.XLOOKUP($B312, Result_Database!$A$2:$A$500, Result_Database!O$2:O$500),
  _xlfn.IFNA(_xlpm.result, "")
)</f>
        <v/>
      </c>
      <c r="Q312" t="str">
        <f>_xlfn.LET(
  _xlpm.result, _xlfn.XLOOKUP($B312, Result_Database!$A$2:$A$500, Result_Database!P$2:P$500),
  _xlfn.IFNA(_xlpm.result, "")
)</f>
        <v/>
      </c>
      <c r="R312" t="str">
        <f>_xlfn.LET(
  _xlpm.result, _xlfn.XLOOKUP($B312, Result_Database!$A$2:$A$500, Result_Database!Q$2:Q$500),
  _xlfn.IFNA(_xlpm.result, "")
)</f>
        <v/>
      </c>
      <c r="S312" t="str">
        <f>_xlfn.LET(
  _xlpm.result, _xlfn.XLOOKUP($B312, Result_Database!$A$2:$A$500, Result_Database!R$2:R$500),
  _xlfn.IFNA(_xlpm.result, "")
)</f>
        <v/>
      </c>
      <c r="T312" t="str">
        <f>_xlfn.LET(
  _xlpm.result, _xlfn.XLOOKUP($B312, Result_Database!$A$2:$A$500, Result_Database!S$2:S$500),
  _xlfn.IFNA(_xlpm.result, "")
)</f>
        <v/>
      </c>
      <c r="U312" t="str">
        <f>_xlfn.LET(
  _xlpm.result, _xlfn.XLOOKUP($B312, Result_Database!$A$2:$A$500, Result_Database!T$2:T$500),
  _xlfn.IFNA(_xlpm.result, "")
)</f>
        <v/>
      </c>
      <c r="V312" t="str">
        <f>_xlfn.LET(
  _xlpm.result, _xlfn.XLOOKUP($B312, Result_Database!$A$2:$A$500, Result_Database!U$2:U$500),
  _xlfn.IFNA(_xlpm.result, "")
)</f>
        <v/>
      </c>
      <c r="W312" t="str">
        <f>_xlfn.LET(
  _xlpm.result, _xlfn.XLOOKUP($B312, Result_Database!$A$2:$A$500, Result_Database!V$2:V$500),
  _xlfn.IFNA(_xlpm.result, "")
)</f>
        <v/>
      </c>
      <c r="X312" t="str">
        <f>_xlfn.LET(
  _xlpm.result, _xlfn.XLOOKUP($B312, Result_Database!$A$2:$A$500, Result_Database!W$2:W$500),
  _xlfn.IFNA(_xlpm.result, "")
)</f>
        <v/>
      </c>
      <c r="Y312" t="str">
        <f>_xlfn.LET(
  _xlpm.result, _xlfn.XLOOKUP($B312, Result_Database!$A$2:$A$500, Result_Database!X$2:X$500),
  _xlfn.IFNA(_xlpm.result, "")
)</f>
        <v/>
      </c>
      <c r="Z312" t="str">
        <f>_xlfn.LET(
  _xlpm.result, _xlfn.XLOOKUP($B312, Result_Database!$A$2:$A$500, Result_Database!Y$2:Y$500),
  _xlfn.IFNA(_xlpm.result, "")
)</f>
        <v/>
      </c>
      <c r="AA312" t="str">
        <f>_xlfn.LET(
  _xlpm.result, _xlfn.XLOOKUP($B312, Result_Database!$A$2:$A$500, Result_Database!Z$2:Z$500),
  _xlfn.IFNA(_xlpm.result, "")
)</f>
        <v/>
      </c>
      <c r="AB312" t="str">
        <f>_xlfn.LET(
  _xlpm.result, _xlfn.XLOOKUP($B312, Result_Database!$A$2:$A$500, Result_Database!AA$2:AA$500),
  _xlfn.IFNA(_xlpm.result, "")
)</f>
        <v/>
      </c>
      <c r="AC312" t="str">
        <f>_xlfn.LET(
  _xlpm.result, _xlfn.XLOOKUP($B312, Result_Database!$A$2:$A$500, Result_Database!AB$2:AB$500),
  _xlfn.IFNA(_xlpm.result, "")
)</f>
        <v/>
      </c>
      <c r="AD312" t="str">
        <f>_xlfn.LET(
  _xlpm.result, _xlfn.XLOOKUP($B312, Result_Database!$A$2:$A$500, Result_Database!AC$2:AC$500),
  _xlfn.IFNA(_xlpm.result, "")
)</f>
        <v/>
      </c>
      <c r="AE312" t="str">
        <f>_xlfn.LET(
  _xlpm.result, _xlfn.XLOOKUP($B312, Result_Database!$A$2:$A$500, Result_Database!AD$2:AD$500),
  _xlfn.IFNA(_xlpm.result, "")
)</f>
        <v/>
      </c>
      <c r="AF312" t="str">
        <f>_xlfn.LET(
  _xlpm.result, _xlfn.XLOOKUP($B312, Result_Database!$A$2:$A$500, Result_Database!AE$2:AE$500),
  _xlfn.IFNA(_xlpm.result, "")
)</f>
        <v/>
      </c>
      <c r="AG312" t="str">
        <f>_xlfn.LET(
  _xlpm.result, _xlfn.XLOOKUP($B312, Result_Database!$A$2:$A$500, Result_Database!AF$2:AF$500),
  _xlfn.IFNA(_xlpm.result, "")
)</f>
        <v/>
      </c>
      <c r="AH312" t="str">
        <f>_xlfn.LET(
  _xlpm.result, _xlfn.XLOOKUP($B312, Result_Database!$A$2:$A$500, Result_Database!AG$2:AG$500),
  _xlfn.IFNA(_xlpm.result, "")
)</f>
        <v/>
      </c>
      <c r="AI312" t="str">
        <f>_xlfn.LET(
  _xlpm.result, _xlfn.XLOOKUP($B312, Result_Database!$A$2:$A$500, Result_Database!AH$2:AH$500),
  _xlfn.IFNA(_xlpm.result, "")
)</f>
        <v/>
      </c>
      <c r="AJ312" t="str">
        <f>_xlfn.LET(
  _xlpm.result, _xlfn.XLOOKUP($B312, Result_Database!$A$2:$A$500, Result_Database!AI$2:AI$500),
  _xlfn.IFNA(_xlpm.result, "")
)</f>
        <v/>
      </c>
      <c r="AK312" t="str">
        <f>_xlfn.LET(
  _xlpm.result, _xlfn.XLOOKUP($B312, Result_Database!$A$2:$A$500, Result_Database!AJ$2:AJ$500),
  _xlfn.IFNA(_xlpm.result, "")
)</f>
        <v/>
      </c>
      <c r="AL312" t="str">
        <f>_xlfn.LET(
  _xlpm.result, _xlfn.XLOOKUP($B312, Result_Database!$A$2:$A$500, Result_Database!AK$2:AK$500),
  _xlfn.IFNA(_xlpm.result, "")
)</f>
        <v/>
      </c>
      <c r="AM31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1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1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1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1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1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1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1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1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12" t="str">
        <f>IF(SUM(Table5[[#This Row],[A1]:[C6]])&lt;&gt;0,SUM(Table5[[#This Row],[A1]:[C6]]),"")</f>
        <v/>
      </c>
      <c r="AW312" t="str">
        <f>IF(SUM(Table5[[#This Row],[D7]:[F9]])=0,"",SUM(Table5[[#This Row],[D7]:[F9]]))</f>
        <v/>
      </c>
      <c r="AX31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1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1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1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1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1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12" t="str">
        <f>IF(COUNTIF(Table5[[#This Row],[English Language]:[Electrical/ Electronics]],"WITHHELD")=0,"",COUNTIF(Table5[[#This Row],[English Language]:[Electrical/ Electronics]],"WITHHELD"))</f>
        <v/>
      </c>
      <c r="BE312" t="str">
        <f>IF(SUM(Table5[[#This Row],[NO OF CREDITS]:[BELOW CREDITS]])=0,"",SUM(Table5[[#This Row],[NO OF CREDITS]:[BELOW CREDITS]]))</f>
        <v/>
      </c>
    </row>
    <row r="313" spans="1:57" x14ac:dyDescent="0.3">
      <c r="A313" t="str">
        <f>IF(B313&lt;&gt;"",COUNTA($B$6:B313),"")</f>
        <v/>
      </c>
      <c r="B313" t="str">
        <f>IF(Result_Database!A309="","",Result_Database!A309)</f>
        <v/>
      </c>
      <c r="C313" t="str">
        <f>_xlfn.LET(
_xlpm.result,_xlfn.XLOOKUP($B313,Result_Database!$A$2:$A$500,Result_Database!$B$2:$B$500),
_xlfn.IFNA(_xlpm.result,"")
)</f>
        <v/>
      </c>
      <c r="D313" t="str">
        <f>_xlfn.LET(
  _xlpm.result, _xlfn.XLOOKUP($B313, Result_Database!$A$2:$A$500, Result_Database!C$2:C$500),
  _xlfn.IFNA(_xlpm.result, "")
)</f>
        <v/>
      </c>
      <c r="E313" t="str">
        <f>_xlfn.LET(
  _xlpm.result, _xlfn.XLOOKUP($B313, Result_Database!$A$2:$A$500, Result_Database!D$2:D$500),
  _xlfn.IFNA(_xlpm.result, "")
)</f>
        <v/>
      </c>
      <c r="F313" t="str">
        <f>_xlfn.LET(
  _xlpm.result, _xlfn.XLOOKUP($B313, Result_Database!$A$2:$A$500, Result_Database!E$2:E$500),
  _xlfn.IFNA(_xlpm.result, "")
)</f>
        <v/>
      </c>
      <c r="G313" t="str">
        <f>_xlfn.LET(
  _xlpm.result, _xlfn.XLOOKUP($B313, Result_Database!$A$2:$A$500, Result_Database!F$2:F$500),
  _xlfn.IFNA(_xlpm.result, "")
)</f>
        <v/>
      </c>
      <c r="H313" t="str">
        <f>_xlfn.LET(
  _xlpm.result, _xlfn.XLOOKUP($B313, Result_Database!$A$2:$A$500, Result_Database!G$2:G$500),
  _xlfn.IFNA(_xlpm.result, "")
)</f>
        <v/>
      </c>
      <c r="I313" t="str">
        <f>_xlfn.LET(
  _xlpm.result, _xlfn.XLOOKUP($B313, Result_Database!$A$2:$A$500, Result_Database!H$2:H$500),
  _xlfn.IFNA(_xlpm.result, "")
)</f>
        <v/>
      </c>
      <c r="J313" t="str">
        <f>_xlfn.LET(
  _xlpm.result, _xlfn.XLOOKUP($B313, Result_Database!$A$2:$A$500, Result_Database!I$2:I$500),
  _xlfn.IFNA(_xlpm.result, "")
)</f>
        <v/>
      </c>
      <c r="K313" t="str">
        <f>_xlfn.LET(
  _xlpm.result, _xlfn.XLOOKUP($B313, Result_Database!$A$2:$A$500, Result_Database!J$2:J$500),
  _xlfn.IFNA(_xlpm.result, "")
)</f>
        <v/>
      </c>
      <c r="L313" t="str">
        <f>_xlfn.LET(
  _xlpm.result, _xlfn.XLOOKUP($B313, Result_Database!$A$2:$A$500, Result_Database!K$2:K$500),
  _xlfn.IFNA(_xlpm.result, "")
)</f>
        <v/>
      </c>
      <c r="M313" t="str">
        <f>_xlfn.LET(
  _xlpm.result, _xlfn.XLOOKUP($B313, Result_Database!$A$2:$A$500, Result_Database!L$2:L$500),
  _xlfn.IFNA(_xlpm.result, "")
)</f>
        <v/>
      </c>
      <c r="N313" t="str">
        <f>_xlfn.LET(
  _xlpm.result, _xlfn.XLOOKUP($B313, Result_Database!$A$2:$A$500, Result_Database!M$2:M$500),
  _xlfn.IFNA(_xlpm.result, "")
)</f>
        <v/>
      </c>
      <c r="O313" t="str">
        <f>_xlfn.LET(
  _xlpm.result, _xlfn.XLOOKUP($B313, Result_Database!$A$2:$A$500, Result_Database!N$2:N$500),
  _xlfn.IFNA(_xlpm.result, "")
)</f>
        <v/>
      </c>
      <c r="P313" t="str">
        <f>_xlfn.LET(
  _xlpm.result, _xlfn.XLOOKUP($B313, Result_Database!$A$2:$A$500, Result_Database!O$2:O$500),
  _xlfn.IFNA(_xlpm.result, "")
)</f>
        <v/>
      </c>
      <c r="Q313" t="str">
        <f>_xlfn.LET(
  _xlpm.result, _xlfn.XLOOKUP($B313, Result_Database!$A$2:$A$500, Result_Database!P$2:P$500),
  _xlfn.IFNA(_xlpm.result, "")
)</f>
        <v/>
      </c>
      <c r="R313" t="str">
        <f>_xlfn.LET(
  _xlpm.result, _xlfn.XLOOKUP($B313, Result_Database!$A$2:$A$500, Result_Database!Q$2:Q$500),
  _xlfn.IFNA(_xlpm.result, "")
)</f>
        <v/>
      </c>
      <c r="S313" t="str">
        <f>_xlfn.LET(
  _xlpm.result, _xlfn.XLOOKUP($B313, Result_Database!$A$2:$A$500, Result_Database!R$2:R$500),
  _xlfn.IFNA(_xlpm.result, "")
)</f>
        <v/>
      </c>
      <c r="T313" t="str">
        <f>_xlfn.LET(
  _xlpm.result, _xlfn.XLOOKUP($B313, Result_Database!$A$2:$A$500, Result_Database!S$2:S$500),
  _xlfn.IFNA(_xlpm.result, "")
)</f>
        <v/>
      </c>
      <c r="U313" t="str">
        <f>_xlfn.LET(
  _xlpm.result, _xlfn.XLOOKUP($B313, Result_Database!$A$2:$A$500, Result_Database!T$2:T$500),
  _xlfn.IFNA(_xlpm.result, "")
)</f>
        <v/>
      </c>
      <c r="V313" t="str">
        <f>_xlfn.LET(
  _xlpm.result, _xlfn.XLOOKUP($B313, Result_Database!$A$2:$A$500, Result_Database!U$2:U$500),
  _xlfn.IFNA(_xlpm.result, "")
)</f>
        <v/>
      </c>
      <c r="W313" t="str">
        <f>_xlfn.LET(
  _xlpm.result, _xlfn.XLOOKUP($B313, Result_Database!$A$2:$A$500, Result_Database!V$2:V$500),
  _xlfn.IFNA(_xlpm.result, "")
)</f>
        <v/>
      </c>
      <c r="X313" t="str">
        <f>_xlfn.LET(
  _xlpm.result, _xlfn.XLOOKUP($B313, Result_Database!$A$2:$A$500, Result_Database!W$2:W$500),
  _xlfn.IFNA(_xlpm.result, "")
)</f>
        <v/>
      </c>
      <c r="Y313" t="str">
        <f>_xlfn.LET(
  _xlpm.result, _xlfn.XLOOKUP($B313, Result_Database!$A$2:$A$500, Result_Database!X$2:X$500),
  _xlfn.IFNA(_xlpm.result, "")
)</f>
        <v/>
      </c>
      <c r="Z313" t="str">
        <f>_xlfn.LET(
  _xlpm.result, _xlfn.XLOOKUP($B313, Result_Database!$A$2:$A$500, Result_Database!Y$2:Y$500),
  _xlfn.IFNA(_xlpm.result, "")
)</f>
        <v/>
      </c>
      <c r="AA313" t="str">
        <f>_xlfn.LET(
  _xlpm.result, _xlfn.XLOOKUP($B313, Result_Database!$A$2:$A$500, Result_Database!Z$2:Z$500),
  _xlfn.IFNA(_xlpm.result, "")
)</f>
        <v/>
      </c>
      <c r="AB313" t="str">
        <f>_xlfn.LET(
  _xlpm.result, _xlfn.XLOOKUP($B313, Result_Database!$A$2:$A$500, Result_Database!AA$2:AA$500),
  _xlfn.IFNA(_xlpm.result, "")
)</f>
        <v/>
      </c>
      <c r="AC313" t="str">
        <f>_xlfn.LET(
  _xlpm.result, _xlfn.XLOOKUP($B313, Result_Database!$A$2:$A$500, Result_Database!AB$2:AB$500),
  _xlfn.IFNA(_xlpm.result, "")
)</f>
        <v/>
      </c>
      <c r="AD313" t="str">
        <f>_xlfn.LET(
  _xlpm.result, _xlfn.XLOOKUP($B313, Result_Database!$A$2:$A$500, Result_Database!AC$2:AC$500),
  _xlfn.IFNA(_xlpm.result, "")
)</f>
        <v/>
      </c>
      <c r="AE313" t="str">
        <f>_xlfn.LET(
  _xlpm.result, _xlfn.XLOOKUP($B313, Result_Database!$A$2:$A$500, Result_Database!AD$2:AD$500),
  _xlfn.IFNA(_xlpm.result, "")
)</f>
        <v/>
      </c>
      <c r="AF313" t="str">
        <f>_xlfn.LET(
  _xlpm.result, _xlfn.XLOOKUP($B313, Result_Database!$A$2:$A$500, Result_Database!AE$2:AE$500),
  _xlfn.IFNA(_xlpm.result, "")
)</f>
        <v/>
      </c>
      <c r="AG313" t="str">
        <f>_xlfn.LET(
  _xlpm.result, _xlfn.XLOOKUP($B313, Result_Database!$A$2:$A$500, Result_Database!AF$2:AF$500),
  _xlfn.IFNA(_xlpm.result, "")
)</f>
        <v/>
      </c>
      <c r="AH313" t="str">
        <f>_xlfn.LET(
  _xlpm.result, _xlfn.XLOOKUP($B313, Result_Database!$A$2:$A$500, Result_Database!AG$2:AG$500),
  _xlfn.IFNA(_xlpm.result, "")
)</f>
        <v/>
      </c>
      <c r="AI313" t="str">
        <f>_xlfn.LET(
  _xlpm.result, _xlfn.XLOOKUP($B313, Result_Database!$A$2:$A$500, Result_Database!AH$2:AH$500),
  _xlfn.IFNA(_xlpm.result, "")
)</f>
        <v/>
      </c>
      <c r="AJ313" t="str">
        <f>_xlfn.LET(
  _xlpm.result, _xlfn.XLOOKUP($B313, Result_Database!$A$2:$A$500, Result_Database!AI$2:AI$500),
  _xlfn.IFNA(_xlpm.result, "")
)</f>
        <v/>
      </c>
      <c r="AK313" t="str">
        <f>_xlfn.LET(
  _xlpm.result, _xlfn.XLOOKUP($B313, Result_Database!$A$2:$A$500, Result_Database!AJ$2:AJ$500),
  _xlfn.IFNA(_xlpm.result, "")
)</f>
        <v/>
      </c>
      <c r="AL313" t="str">
        <f>_xlfn.LET(
  _xlpm.result, _xlfn.XLOOKUP($B313, Result_Database!$A$2:$A$500, Result_Database!AK$2:AK$500),
  _xlfn.IFNA(_xlpm.result, "")
)</f>
        <v/>
      </c>
      <c r="AM31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1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1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1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1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1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1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1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1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13" t="str">
        <f>IF(SUM(Table5[[#This Row],[A1]:[C6]])&lt;&gt;0,SUM(Table5[[#This Row],[A1]:[C6]]),"")</f>
        <v/>
      </c>
      <c r="AW313" t="str">
        <f>IF(SUM(Table5[[#This Row],[D7]:[F9]])=0,"",SUM(Table5[[#This Row],[D7]:[F9]]))</f>
        <v/>
      </c>
      <c r="AX31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1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1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1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1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1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13" t="str">
        <f>IF(COUNTIF(Table5[[#This Row],[English Language]:[Electrical/ Electronics]],"WITHHELD")=0,"",COUNTIF(Table5[[#This Row],[English Language]:[Electrical/ Electronics]],"WITHHELD"))</f>
        <v/>
      </c>
      <c r="BE313" t="str">
        <f>IF(SUM(Table5[[#This Row],[NO OF CREDITS]:[BELOW CREDITS]])=0,"",SUM(Table5[[#This Row],[NO OF CREDITS]:[BELOW CREDITS]]))</f>
        <v/>
      </c>
    </row>
    <row r="314" spans="1:57" x14ac:dyDescent="0.3">
      <c r="A314" t="str">
        <f>IF(B314&lt;&gt;"",COUNTA($B$6:B314),"")</f>
        <v/>
      </c>
      <c r="B314" t="str">
        <f>IF(Result_Database!A310="","",Result_Database!A310)</f>
        <v/>
      </c>
      <c r="C314" t="str">
        <f>_xlfn.LET(
_xlpm.result,_xlfn.XLOOKUP($B314,Result_Database!$A$2:$A$500,Result_Database!$B$2:$B$500),
_xlfn.IFNA(_xlpm.result,"")
)</f>
        <v/>
      </c>
      <c r="D314" t="str">
        <f>_xlfn.LET(
  _xlpm.result, _xlfn.XLOOKUP($B314, Result_Database!$A$2:$A$500, Result_Database!C$2:C$500),
  _xlfn.IFNA(_xlpm.result, "")
)</f>
        <v/>
      </c>
      <c r="E314" t="str">
        <f>_xlfn.LET(
  _xlpm.result, _xlfn.XLOOKUP($B314, Result_Database!$A$2:$A$500, Result_Database!D$2:D$500),
  _xlfn.IFNA(_xlpm.result, "")
)</f>
        <v/>
      </c>
      <c r="F314" t="str">
        <f>_xlfn.LET(
  _xlpm.result, _xlfn.XLOOKUP($B314, Result_Database!$A$2:$A$500, Result_Database!E$2:E$500),
  _xlfn.IFNA(_xlpm.result, "")
)</f>
        <v/>
      </c>
      <c r="G314" t="str">
        <f>_xlfn.LET(
  _xlpm.result, _xlfn.XLOOKUP($B314, Result_Database!$A$2:$A$500, Result_Database!F$2:F$500),
  _xlfn.IFNA(_xlpm.result, "")
)</f>
        <v/>
      </c>
      <c r="H314" t="str">
        <f>_xlfn.LET(
  _xlpm.result, _xlfn.XLOOKUP($B314, Result_Database!$A$2:$A$500, Result_Database!G$2:G$500),
  _xlfn.IFNA(_xlpm.result, "")
)</f>
        <v/>
      </c>
      <c r="I314" t="str">
        <f>_xlfn.LET(
  _xlpm.result, _xlfn.XLOOKUP($B314, Result_Database!$A$2:$A$500, Result_Database!H$2:H$500),
  _xlfn.IFNA(_xlpm.result, "")
)</f>
        <v/>
      </c>
      <c r="J314" t="str">
        <f>_xlfn.LET(
  _xlpm.result, _xlfn.XLOOKUP($B314, Result_Database!$A$2:$A$500, Result_Database!I$2:I$500),
  _xlfn.IFNA(_xlpm.result, "")
)</f>
        <v/>
      </c>
      <c r="K314" t="str">
        <f>_xlfn.LET(
  _xlpm.result, _xlfn.XLOOKUP($B314, Result_Database!$A$2:$A$500, Result_Database!J$2:J$500),
  _xlfn.IFNA(_xlpm.result, "")
)</f>
        <v/>
      </c>
      <c r="L314" t="str">
        <f>_xlfn.LET(
  _xlpm.result, _xlfn.XLOOKUP($B314, Result_Database!$A$2:$A$500, Result_Database!K$2:K$500),
  _xlfn.IFNA(_xlpm.result, "")
)</f>
        <v/>
      </c>
      <c r="M314" t="str">
        <f>_xlfn.LET(
  _xlpm.result, _xlfn.XLOOKUP($B314, Result_Database!$A$2:$A$500, Result_Database!L$2:L$500),
  _xlfn.IFNA(_xlpm.result, "")
)</f>
        <v/>
      </c>
      <c r="N314" t="str">
        <f>_xlfn.LET(
  _xlpm.result, _xlfn.XLOOKUP($B314, Result_Database!$A$2:$A$500, Result_Database!M$2:M$500),
  _xlfn.IFNA(_xlpm.result, "")
)</f>
        <v/>
      </c>
      <c r="O314" t="str">
        <f>_xlfn.LET(
  _xlpm.result, _xlfn.XLOOKUP($B314, Result_Database!$A$2:$A$500, Result_Database!N$2:N$500),
  _xlfn.IFNA(_xlpm.result, "")
)</f>
        <v/>
      </c>
      <c r="P314" t="str">
        <f>_xlfn.LET(
  _xlpm.result, _xlfn.XLOOKUP($B314, Result_Database!$A$2:$A$500, Result_Database!O$2:O$500),
  _xlfn.IFNA(_xlpm.result, "")
)</f>
        <v/>
      </c>
      <c r="Q314" t="str">
        <f>_xlfn.LET(
  _xlpm.result, _xlfn.XLOOKUP($B314, Result_Database!$A$2:$A$500, Result_Database!P$2:P$500),
  _xlfn.IFNA(_xlpm.result, "")
)</f>
        <v/>
      </c>
      <c r="R314" t="str">
        <f>_xlfn.LET(
  _xlpm.result, _xlfn.XLOOKUP($B314, Result_Database!$A$2:$A$500, Result_Database!Q$2:Q$500),
  _xlfn.IFNA(_xlpm.result, "")
)</f>
        <v/>
      </c>
      <c r="S314" t="str">
        <f>_xlfn.LET(
  _xlpm.result, _xlfn.XLOOKUP($B314, Result_Database!$A$2:$A$500, Result_Database!R$2:R$500),
  _xlfn.IFNA(_xlpm.result, "")
)</f>
        <v/>
      </c>
      <c r="T314" t="str">
        <f>_xlfn.LET(
  _xlpm.result, _xlfn.XLOOKUP($B314, Result_Database!$A$2:$A$500, Result_Database!S$2:S$500),
  _xlfn.IFNA(_xlpm.result, "")
)</f>
        <v/>
      </c>
      <c r="U314" t="str">
        <f>_xlfn.LET(
  _xlpm.result, _xlfn.XLOOKUP($B314, Result_Database!$A$2:$A$500, Result_Database!T$2:T$500),
  _xlfn.IFNA(_xlpm.result, "")
)</f>
        <v/>
      </c>
      <c r="V314" t="str">
        <f>_xlfn.LET(
  _xlpm.result, _xlfn.XLOOKUP($B314, Result_Database!$A$2:$A$500, Result_Database!U$2:U$500),
  _xlfn.IFNA(_xlpm.result, "")
)</f>
        <v/>
      </c>
      <c r="W314" t="str">
        <f>_xlfn.LET(
  _xlpm.result, _xlfn.XLOOKUP($B314, Result_Database!$A$2:$A$500, Result_Database!V$2:V$500),
  _xlfn.IFNA(_xlpm.result, "")
)</f>
        <v/>
      </c>
      <c r="X314" t="str">
        <f>_xlfn.LET(
  _xlpm.result, _xlfn.XLOOKUP($B314, Result_Database!$A$2:$A$500, Result_Database!W$2:W$500),
  _xlfn.IFNA(_xlpm.result, "")
)</f>
        <v/>
      </c>
      <c r="Y314" t="str">
        <f>_xlfn.LET(
  _xlpm.result, _xlfn.XLOOKUP($B314, Result_Database!$A$2:$A$500, Result_Database!X$2:X$500),
  _xlfn.IFNA(_xlpm.result, "")
)</f>
        <v/>
      </c>
      <c r="Z314" t="str">
        <f>_xlfn.LET(
  _xlpm.result, _xlfn.XLOOKUP($B314, Result_Database!$A$2:$A$500, Result_Database!Y$2:Y$500),
  _xlfn.IFNA(_xlpm.result, "")
)</f>
        <v/>
      </c>
      <c r="AA314" t="str">
        <f>_xlfn.LET(
  _xlpm.result, _xlfn.XLOOKUP($B314, Result_Database!$A$2:$A$500, Result_Database!Z$2:Z$500),
  _xlfn.IFNA(_xlpm.result, "")
)</f>
        <v/>
      </c>
      <c r="AB314" t="str">
        <f>_xlfn.LET(
  _xlpm.result, _xlfn.XLOOKUP($B314, Result_Database!$A$2:$A$500, Result_Database!AA$2:AA$500),
  _xlfn.IFNA(_xlpm.result, "")
)</f>
        <v/>
      </c>
      <c r="AC314" t="str">
        <f>_xlfn.LET(
  _xlpm.result, _xlfn.XLOOKUP($B314, Result_Database!$A$2:$A$500, Result_Database!AB$2:AB$500),
  _xlfn.IFNA(_xlpm.result, "")
)</f>
        <v/>
      </c>
      <c r="AD314" t="str">
        <f>_xlfn.LET(
  _xlpm.result, _xlfn.XLOOKUP($B314, Result_Database!$A$2:$A$500, Result_Database!AC$2:AC$500),
  _xlfn.IFNA(_xlpm.result, "")
)</f>
        <v/>
      </c>
      <c r="AE314" t="str">
        <f>_xlfn.LET(
  _xlpm.result, _xlfn.XLOOKUP($B314, Result_Database!$A$2:$A$500, Result_Database!AD$2:AD$500),
  _xlfn.IFNA(_xlpm.result, "")
)</f>
        <v/>
      </c>
      <c r="AF314" t="str">
        <f>_xlfn.LET(
  _xlpm.result, _xlfn.XLOOKUP($B314, Result_Database!$A$2:$A$500, Result_Database!AE$2:AE$500),
  _xlfn.IFNA(_xlpm.result, "")
)</f>
        <v/>
      </c>
      <c r="AG314" t="str">
        <f>_xlfn.LET(
  _xlpm.result, _xlfn.XLOOKUP($B314, Result_Database!$A$2:$A$500, Result_Database!AF$2:AF$500),
  _xlfn.IFNA(_xlpm.result, "")
)</f>
        <v/>
      </c>
      <c r="AH314" t="str">
        <f>_xlfn.LET(
  _xlpm.result, _xlfn.XLOOKUP($B314, Result_Database!$A$2:$A$500, Result_Database!AG$2:AG$500),
  _xlfn.IFNA(_xlpm.result, "")
)</f>
        <v/>
      </c>
      <c r="AI314" t="str">
        <f>_xlfn.LET(
  _xlpm.result, _xlfn.XLOOKUP($B314, Result_Database!$A$2:$A$500, Result_Database!AH$2:AH$500),
  _xlfn.IFNA(_xlpm.result, "")
)</f>
        <v/>
      </c>
      <c r="AJ314" t="str">
        <f>_xlfn.LET(
  _xlpm.result, _xlfn.XLOOKUP($B314, Result_Database!$A$2:$A$500, Result_Database!AI$2:AI$500),
  _xlfn.IFNA(_xlpm.result, "")
)</f>
        <v/>
      </c>
      <c r="AK314" t="str">
        <f>_xlfn.LET(
  _xlpm.result, _xlfn.XLOOKUP($B314, Result_Database!$A$2:$A$500, Result_Database!AJ$2:AJ$500),
  _xlfn.IFNA(_xlpm.result, "")
)</f>
        <v/>
      </c>
      <c r="AL314" t="str">
        <f>_xlfn.LET(
  _xlpm.result, _xlfn.XLOOKUP($B314, Result_Database!$A$2:$A$500, Result_Database!AK$2:AK$500),
  _xlfn.IFNA(_xlpm.result, "")
)</f>
        <v/>
      </c>
      <c r="AM31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1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1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1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1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1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1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1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1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14" t="str">
        <f>IF(SUM(Table5[[#This Row],[A1]:[C6]])&lt;&gt;0,SUM(Table5[[#This Row],[A1]:[C6]]),"")</f>
        <v/>
      </c>
      <c r="AW314" t="str">
        <f>IF(SUM(Table5[[#This Row],[D7]:[F9]])=0,"",SUM(Table5[[#This Row],[D7]:[F9]]))</f>
        <v/>
      </c>
      <c r="AX31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1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1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1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1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1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14" t="str">
        <f>IF(COUNTIF(Table5[[#This Row],[English Language]:[Electrical/ Electronics]],"WITHHELD")=0,"",COUNTIF(Table5[[#This Row],[English Language]:[Electrical/ Electronics]],"WITHHELD"))</f>
        <v/>
      </c>
      <c r="BE314" t="str">
        <f>IF(SUM(Table5[[#This Row],[NO OF CREDITS]:[BELOW CREDITS]])=0,"",SUM(Table5[[#This Row],[NO OF CREDITS]:[BELOW CREDITS]]))</f>
        <v/>
      </c>
    </row>
    <row r="315" spans="1:57" x14ac:dyDescent="0.3">
      <c r="A315" t="str">
        <f>IF(B315&lt;&gt;"",COUNTA($B$6:B315),"")</f>
        <v/>
      </c>
      <c r="B315" t="str">
        <f>IF(Result_Database!A311="","",Result_Database!A311)</f>
        <v/>
      </c>
      <c r="C315" t="str">
        <f>_xlfn.LET(
_xlpm.result,_xlfn.XLOOKUP($B315,Result_Database!$A$2:$A$500,Result_Database!$B$2:$B$500),
_xlfn.IFNA(_xlpm.result,"")
)</f>
        <v/>
      </c>
      <c r="D315" t="str">
        <f>_xlfn.LET(
  _xlpm.result, _xlfn.XLOOKUP($B315, Result_Database!$A$2:$A$500, Result_Database!C$2:C$500),
  _xlfn.IFNA(_xlpm.result, "")
)</f>
        <v/>
      </c>
      <c r="E315" t="str">
        <f>_xlfn.LET(
  _xlpm.result, _xlfn.XLOOKUP($B315, Result_Database!$A$2:$A$500, Result_Database!D$2:D$500),
  _xlfn.IFNA(_xlpm.result, "")
)</f>
        <v/>
      </c>
      <c r="F315" t="str">
        <f>_xlfn.LET(
  _xlpm.result, _xlfn.XLOOKUP($B315, Result_Database!$A$2:$A$500, Result_Database!E$2:E$500),
  _xlfn.IFNA(_xlpm.result, "")
)</f>
        <v/>
      </c>
      <c r="G315" t="str">
        <f>_xlfn.LET(
  _xlpm.result, _xlfn.XLOOKUP($B315, Result_Database!$A$2:$A$500, Result_Database!F$2:F$500),
  _xlfn.IFNA(_xlpm.result, "")
)</f>
        <v/>
      </c>
      <c r="H315" t="str">
        <f>_xlfn.LET(
  _xlpm.result, _xlfn.XLOOKUP($B315, Result_Database!$A$2:$A$500, Result_Database!G$2:G$500),
  _xlfn.IFNA(_xlpm.result, "")
)</f>
        <v/>
      </c>
      <c r="I315" t="str">
        <f>_xlfn.LET(
  _xlpm.result, _xlfn.XLOOKUP($B315, Result_Database!$A$2:$A$500, Result_Database!H$2:H$500),
  _xlfn.IFNA(_xlpm.result, "")
)</f>
        <v/>
      </c>
      <c r="J315" t="str">
        <f>_xlfn.LET(
  _xlpm.result, _xlfn.XLOOKUP($B315, Result_Database!$A$2:$A$500, Result_Database!I$2:I$500),
  _xlfn.IFNA(_xlpm.result, "")
)</f>
        <v/>
      </c>
      <c r="K315" t="str">
        <f>_xlfn.LET(
  _xlpm.result, _xlfn.XLOOKUP($B315, Result_Database!$A$2:$A$500, Result_Database!J$2:J$500),
  _xlfn.IFNA(_xlpm.result, "")
)</f>
        <v/>
      </c>
      <c r="L315" t="str">
        <f>_xlfn.LET(
  _xlpm.result, _xlfn.XLOOKUP($B315, Result_Database!$A$2:$A$500, Result_Database!K$2:K$500),
  _xlfn.IFNA(_xlpm.result, "")
)</f>
        <v/>
      </c>
      <c r="M315" t="str">
        <f>_xlfn.LET(
  _xlpm.result, _xlfn.XLOOKUP($B315, Result_Database!$A$2:$A$500, Result_Database!L$2:L$500),
  _xlfn.IFNA(_xlpm.result, "")
)</f>
        <v/>
      </c>
      <c r="N315" t="str">
        <f>_xlfn.LET(
  _xlpm.result, _xlfn.XLOOKUP($B315, Result_Database!$A$2:$A$500, Result_Database!M$2:M$500),
  _xlfn.IFNA(_xlpm.result, "")
)</f>
        <v/>
      </c>
      <c r="O315" t="str">
        <f>_xlfn.LET(
  _xlpm.result, _xlfn.XLOOKUP($B315, Result_Database!$A$2:$A$500, Result_Database!N$2:N$500),
  _xlfn.IFNA(_xlpm.result, "")
)</f>
        <v/>
      </c>
      <c r="P315" t="str">
        <f>_xlfn.LET(
  _xlpm.result, _xlfn.XLOOKUP($B315, Result_Database!$A$2:$A$500, Result_Database!O$2:O$500),
  _xlfn.IFNA(_xlpm.result, "")
)</f>
        <v/>
      </c>
      <c r="Q315" t="str">
        <f>_xlfn.LET(
  _xlpm.result, _xlfn.XLOOKUP($B315, Result_Database!$A$2:$A$500, Result_Database!P$2:P$500),
  _xlfn.IFNA(_xlpm.result, "")
)</f>
        <v/>
      </c>
      <c r="R315" t="str">
        <f>_xlfn.LET(
  _xlpm.result, _xlfn.XLOOKUP($B315, Result_Database!$A$2:$A$500, Result_Database!Q$2:Q$500),
  _xlfn.IFNA(_xlpm.result, "")
)</f>
        <v/>
      </c>
      <c r="S315" t="str">
        <f>_xlfn.LET(
  _xlpm.result, _xlfn.XLOOKUP($B315, Result_Database!$A$2:$A$500, Result_Database!R$2:R$500),
  _xlfn.IFNA(_xlpm.result, "")
)</f>
        <v/>
      </c>
      <c r="T315" t="str">
        <f>_xlfn.LET(
  _xlpm.result, _xlfn.XLOOKUP($B315, Result_Database!$A$2:$A$500, Result_Database!S$2:S$500),
  _xlfn.IFNA(_xlpm.result, "")
)</f>
        <v/>
      </c>
      <c r="U315" t="str">
        <f>_xlfn.LET(
  _xlpm.result, _xlfn.XLOOKUP($B315, Result_Database!$A$2:$A$500, Result_Database!T$2:T$500),
  _xlfn.IFNA(_xlpm.result, "")
)</f>
        <v/>
      </c>
      <c r="V315" t="str">
        <f>_xlfn.LET(
  _xlpm.result, _xlfn.XLOOKUP($B315, Result_Database!$A$2:$A$500, Result_Database!U$2:U$500),
  _xlfn.IFNA(_xlpm.result, "")
)</f>
        <v/>
      </c>
      <c r="W315" t="str">
        <f>_xlfn.LET(
  _xlpm.result, _xlfn.XLOOKUP($B315, Result_Database!$A$2:$A$500, Result_Database!V$2:V$500),
  _xlfn.IFNA(_xlpm.result, "")
)</f>
        <v/>
      </c>
      <c r="X315" t="str">
        <f>_xlfn.LET(
  _xlpm.result, _xlfn.XLOOKUP($B315, Result_Database!$A$2:$A$500, Result_Database!W$2:W$500),
  _xlfn.IFNA(_xlpm.result, "")
)</f>
        <v/>
      </c>
      <c r="Y315" t="str">
        <f>_xlfn.LET(
  _xlpm.result, _xlfn.XLOOKUP($B315, Result_Database!$A$2:$A$500, Result_Database!X$2:X$500),
  _xlfn.IFNA(_xlpm.result, "")
)</f>
        <v/>
      </c>
      <c r="Z315" t="str">
        <f>_xlfn.LET(
  _xlpm.result, _xlfn.XLOOKUP($B315, Result_Database!$A$2:$A$500, Result_Database!Y$2:Y$500),
  _xlfn.IFNA(_xlpm.result, "")
)</f>
        <v/>
      </c>
      <c r="AA315" t="str">
        <f>_xlfn.LET(
  _xlpm.result, _xlfn.XLOOKUP($B315, Result_Database!$A$2:$A$500, Result_Database!Z$2:Z$500),
  _xlfn.IFNA(_xlpm.result, "")
)</f>
        <v/>
      </c>
      <c r="AB315" t="str">
        <f>_xlfn.LET(
  _xlpm.result, _xlfn.XLOOKUP($B315, Result_Database!$A$2:$A$500, Result_Database!AA$2:AA$500),
  _xlfn.IFNA(_xlpm.result, "")
)</f>
        <v/>
      </c>
      <c r="AC315" t="str">
        <f>_xlfn.LET(
  _xlpm.result, _xlfn.XLOOKUP($B315, Result_Database!$A$2:$A$500, Result_Database!AB$2:AB$500),
  _xlfn.IFNA(_xlpm.result, "")
)</f>
        <v/>
      </c>
      <c r="AD315" t="str">
        <f>_xlfn.LET(
  _xlpm.result, _xlfn.XLOOKUP($B315, Result_Database!$A$2:$A$500, Result_Database!AC$2:AC$500),
  _xlfn.IFNA(_xlpm.result, "")
)</f>
        <v/>
      </c>
      <c r="AE315" t="str">
        <f>_xlfn.LET(
  _xlpm.result, _xlfn.XLOOKUP($B315, Result_Database!$A$2:$A$500, Result_Database!AD$2:AD$500),
  _xlfn.IFNA(_xlpm.result, "")
)</f>
        <v/>
      </c>
      <c r="AF315" t="str">
        <f>_xlfn.LET(
  _xlpm.result, _xlfn.XLOOKUP($B315, Result_Database!$A$2:$A$500, Result_Database!AE$2:AE$500),
  _xlfn.IFNA(_xlpm.result, "")
)</f>
        <v/>
      </c>
      <c r="AG315" t="str">
        <f>_xlfn.LET(
  _xlpm.result, _xlfn.XLOOKUP($B315, Result_Database!$A$2:$A$500, Result_Database!AF$2:AF$500),
  _xlfn.IFNA(_xlpm.result, "")
)</f>
        <v/>
      </c>
      <c r="AH315" t="str">
        <f>_xlfn.LET(
  _xlpm.result, _xlfn.XLOOKUP($B315, Result_Database!$A$2:$A$500, Result_Database!AG$2:AG$500),
  _xlfn.IFNA(_xlpm.result, "")
)</f>
        <v/>
      </c>
      <c r="AI315" t="str">
        <f>_xlfn.LET(
  _xlpm.result, _xlfn.XLOOKUP($B315, Result_Database!$A$2:$A$500, Result_Database!AH$2:AH$500),
  _xlfn.IFNA(_xlpm.result, "")
)</f>
        <v/>
      </c>
      <c r="AJ315" t="str">
        <f>_xlfn.LET(
  _xlpm.result, _xlfn.XLOOKUP($B315, Result_Database!$A$2:$A$500, Result_Database!AI$2:AI$500),
  _xlfn.IFNA(_xlpm.result, "")
)</f>
        <v/>
      </c>
      <c r="AK315" t="str">
        <f>_xlfn.LET(
  _xlpm.result, _xlfn.XLOOKUP($B315, Result_Database!$A$2:$A$500, Result_Database!AJ$2:AJ$500),
  _xlfn.IFNA(_xlpm.result, "")
)</f>
        <v/>
      </c>
      <c r="AL315" t="str">
        <f>_xlfn.LET(
  _xlpm.result, _xlfn.XLOOKUP($B315, Result_Database!$A$2:$A$500, Result_Database!AK$2:AK$500),
  _xlfn.IFNA(_xlpm.result, "")
)</f>
        <v/>
      </c>
      <c r="AM31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1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1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1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1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1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1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1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1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15" t="str">
        <f>IF(SUM(Table5[[#This Row],[A1]:[C6]])&lt;&gt;0,SUM(Table5[[#This Row],[A1]:[C6]]),"")</f>
        <v/>
      </c>
      <c r="AW315" t="str">
        <f>IF(SUM(Table5[[#This Row],[D7]:[F9]])=0,"",SUM(Table5[[#This Row],[D7]:[F9]]))</f>
        <v/>
      </c>
      <c r="AX31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1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1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1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1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1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15" t="str">
        <f>IF(COUNTIF(Table5[[#This Row],[English Language]:[Electrical/ Electronics]],"WITHHELD")=0,"",COUNTIF(Table5[[#This Row],[English Language]:[Electrical/ Electronics]],"WITHHELD"))</f>
        <v/>
      </c>
      <c r="BE315" t="str">
        <f>IF(SUM(Table5[[#This Row],[NO OF CREDITS]:[BELOW CREDITS]])=0,"",SUM(Table5[[#This Row],[NO OF CREDITS]:[BELOW CREDITS]]))</f>
        <v/>
      </c>
    </row>
    <row r="316" spans="1:57" x14ac:dyDescent="0.3">
      <c r="A316" t="str">
        <f>IF(B316&lt;&gt;"",COUNTA($B$6:B316),"")</f>
        <v/>
      </c>
      <c r="B316" t="str">
        <f>IF(Result_Database!A312="","",Result_Database!A312)</f>
        <v/>
      </c>
      <c r="C316" t="str">
        <f>_xlfn.LET(
_xlpm.result,_xlfn.XLOOKUP($B316,Result_Database!$A$2:$A$500,Result_Database!$B$2:$B$500),
_xlfn.IFNA(_xlpm.result,"")
)</f>
        <v/>
      </c>
      <c r="D316" t="str">
        <f>_xlfn.LET(
  _xlpm.result, _xlfn.XLOOKUP($B316, Result_Database!$A$2:$A$500, Result_Database!C$2:C$500),
  _xlfn.IFNA(_xlpm.result, "")
)</f>
        <v/>
      </c>
      <c r="E316" t="str">
        <f>_xlfn.LET(
  _xlpm.result, _xlfn.XLOOKUP($B316, Result_Database!$A$2:$A$500, Result_Database!D$2:D$500),
  _xlfn.IFNA(_xlpm.result, "")
)</f>
        <v/>
      </c>
      <c r="F316" t="str">
        <f>_xlfn.LET(
  _xlpm.result, _xlfn.XLOOKUP($B316, Result_Database!$A$2:$A$500, Result_Database!E$2:E$500),
  _xlfn.IFNA(_xlpm.result, "")
)</f>
        <v/>
      </c>
      <c r="G316" t="str">
        <f>_xlfn.LET(
  _xlpm.result, _xlfn.XLOOKUP($B316, Result_Database!$A$2:$A$500, Result_Database!F$2:F$500),
  _xlfn.IFNA(_xlpm.result, "")
)</f>
        <v/>
      </c>
      <c r="H316" t="str">
        <f>_xlfn.LET(
  _xlpm.result, _xlfn.XLOOKUP($B316, Result_Database!$A$2:$A$500, Result_Database!G$2:G$500),
  _xlfn.IFNA(_xlpm.result, "")
)</f>
        <v/>
      </c>
      <c r="I316" t="str">
        <f>_xlfn.LET(
  _xlpm.result, _xlfn.XLOOKUP($B316, Result_Database!$A$2:$A$500, Result_Database!H$2:H$500),
  _xlfn.IFNA(_xlpm.result, "")
)</f>
        <v/>
      </c>
      <c r="J316" t="str">
        <f>_xlfn.LET(
  _xlpm.result, _xlfn.XLOOKUP($B316, Result_Database!$A$2:$A$500, Result_Database!I$2:I$500),
  _xlfn.IFNA(_xlpm.result, "")
)</f>
        <v/>
      </c>
      <c r="K316" t="str">
        <f>_xlfn.LET(
  _xlpm.result, _xlfn.XLOOKUP($B316, Result_Database!$A$2:$A$500, Result_Database!J$2:J$500),
  _xlfn.IFNA(_xlpm.result, "")
)</f>
        <v/>
      </c>
      <c r="L316" t="str">
        <f>_xlfn.LET(
  _xlpm.result, _xlfn.XLOOKUP($B316, Result_Database!$A$2:$A$500, Result_Database!K$2:K$500),
  _xlfn.IFNA(_xlpm.result, "")
)</f>
        <v/>
      </c>
      <c r="M316" t="str">
        <f>_xlfn.LET(
  _xlpm.result, _xlfn.XLOOKUP($B316, Result_Database!$A$2:$A$500, Result_Database!L$2:L$500),
  _xlfn.IFNA(_xlpm.result, "")
)</f>
        <v/>
      </c>
      <c r="N316" t="str">
        <f>_xlfn.LET(
  _xlpm.result, _xlfn.XLOOKUP($B316, Result_Database!$A$2:$A$500, Result_Database!M$2:M$500),
  _xlfn.IFNA(_xlpm.result, "")
)</f>
        <v/>
      </c>
      <c r="O316" t="str">
        <f>_xlfn.LET(
  _xlpm.result, _xlfn.XLOOKUP($B316, Result_Database!$A$2:$A$500, Result_Database!N$2:N$500),
  _xlfn.IFNA(_xlpm.result, "")
)</f>
        <v/>
      </c>
      <c r="P316" t="str">
        <f>_xlfn.LET(
  _xlpm.result, _xlfn.XLOOKUP($B316, Result_Database!$A$2:$A$500, Result_Database!O$2:O$500),
  _xlfn.IFNA(_xlpm.result, "")
)</f>
        <v/>
      </c>
      <c r="Q316" t="str">
        <f>_xlfn.LET(
  _xlpm.result, _xlfn.XLOOKUP($B316, Result_Database!$A$2:$A$500, Result_Database!P$2:P$500),
  _xlfn.IFNA(_xlpm.result, "")
)</f>
        <v/>
      </c>
      <c r="R316" t="str">
        <f>_xlfn.LET(
  _xlpm.result, _xlfn.XLOOKUP($B316, Result_Database!$A$2:$A$500, Result_Database!Q$2:Q$500),
  _xlfn.IFNA(_xlpm.result, "")
)</f>
        <v/>
      </c>
      <c r="S316" t="str">
        <f>_xlfn.LET(
  _xlpm.result, _xlfn.XLOOKUP($B316, Result_Database!$A$2:$A$500, Result_Database!R$2:R$500),
  _xlfn.IFNA(_xlpm.result, "")
)</f>
        <v/>
      </c>
      <c r="T316" t="str">
        <f>_xlfn.LET(
  _xlpm.result, _xlfn.XLOOKUP($B316, Result_Database!$A$2:$A$500, Result_Database!S$2:S$500),
  _xlfn.IFNA(_xlpm.result, "")
)</f>
        <v/>
      </c>
      <c r="U316" t="str">
        <f>_xlfn.LET(
  _xlpm.result, _xlfn.XLOOKUP($B316, Result_Database!$A$2:$A$500, Result_Database!T$2:T$500),
  _xlfn.IFNA(_xlpm.result, "")
)</f>
        <v/>
      </c>
      <c r="V316" t="str">
        <f>_xlfn.LET(
  _xlpm.result, _xlfn.XLOOKUP($B316, Result_Database!$A$2:$A$500, Result_Database!U$2:U$500),
  _xlfn.IFNA(_xlpm.result, "")
)</f>
        <v/>
      </c>
      <c r="W316" t="str">
        <f>_xlfn.LET(
  _xlpm.result, _xlfn.XLOOKUP($B316, Result_Database!$A$2:$A$500, Result_Database!V$2:V$500),
  _xlfn.IFNA(_xlpm.result, "")
)</f>
        <v/>
      </c>
      <c r="X316" t="str">
        <f>_xlfn.LET(
  _xlpm.result, _xlfn.XLOOKUP($B316, Result_Database!$A$2:$A$500, Result_Database!W$2:W$500),
  _xlfn.IFNA(_xlpm.result, "")
)</f>
        <v/>
      </c>
      <c r="Y316" t="str">
        <f>_xlfn.LET(
  _xlpm.result, _xlfn.XLOOKUP($B316, Result_Database!$A$2:$A$500, Result_Database!X$2:X$500),
  _xlfn.IFNA(_xlpm.result, "")
)</f>
        <v/>
      </c>
      <c r="Z316" t="str">
        <f>_xlfn.LET(
  _xlpm.result, _xlfn.XLOOKUP($B316, Result_Database!$A$2:$A$500, Result_Database!Y$2:Y$500),
  _xlfn.IFNA(_xlpm.result, "")
)</f>
        <v/>
      </c>
      <c r="AA316" t="str">
        <f>_xlfn.LET(
  _xlpm.result, _xlfn.XLOOKUP($B316, Result_Database!$A$2:$A$500, Result_Database!Z$2:Z$500),
  _xlfn.IFNA(_xlpm.result, "")
)</f>
        <v/>
      </c>
      <c r="AB316" t="str">
        <f>_xlfn.LET(
  _xlpm.result, _xlfn.XLOOKUP($B316, Result_Database!$A$2:$A$500, Result_Database!AA$2:AA$500),
  _xlfn.IFNA(_xlpm.result, "")
)</f>
        <v/>
      </c>
      <c r="AC316" t="str">
        <f>_xlfn.LET(
  _xlpm.result, _xlfn.XLOOKUP($B316, Result_Database!$A$2:$A$500, Result_Database!AB$2:AB$500),
  _xlfn.IFNA(_xlpm.result, "")
)</f>
        <v/>
      </c>
      <c r="AD316" t="str">
        <f>_xlfn.LET(
  _xlpm.result, _xlfn.XLOOKUP($B316, Result_Database!$A$2:$A$500, Result_Database!AC$2:AC$500),
  _xlfn.IFNA(_xlpm.result, "")
)</f>
        <v/>
      </c>
      <c r="AE316" t="str">
        <f>_xlfn.LET(
  _xlpm.result, _xlfn.XLOOKUP($B316, Result_Database!$A$2:$A$500, Result_Database!AD$2:AD$500),
  _xlfn.IFNA(_xlpm.result, "")
)</f>
        <v/>
      </c>
      <c r="AF316" t="str">
        <f>_xlfn.LET(
  _xlpm.result, _xlfn.XLOOKUP($B316, Result_Database!$A$2:$A$500, Result_Database!AE$2:AE$500),
  _xlfn.IFNA(_xlpm.result, "")
)</f>
        <v/>
      </c>
      <c r="AG316" t="str">
        <f>_xlfn.LET(
  _xlpm.result, _xlfn.XLOOKUP($B316, Result_Database!$A$2:$A$500, Result_Database!AF$2:AF$500),
  _xlfn.IFNA(_xlpm.result, "")
)</f>
        <v/>
      </c>
      <c r="AH316" t="str">
        <f>_xlfn.LET(
  _xlpm.result, _xlfn.XLOOKUP($B316, Result_Database!$A$2:$A$500, Result_Database!AG$2:AG$500),
  _xlfn.IFNA(_xlpm.result, "")
)</f>
        <v/>
      </c>
      <c r="AI316" t="str">
        <f>_xlfn.LET(
  _xlpm.result, _xlfn.XLOOKUP($B316, Result_Database!$A$2:$A$500, Result_Database!AH$2:AH$500),
  _xlfn.IFNA(_xlpm.result, "")
)</f>
        <v/>
      </c>
      <c r="AJ316" t="str">
        <f>_xlfn.LET(
  _xlpm.result, _xlfn.XLOOKUP($B316, Result_Database!$A$2:$A$500, Result_Database!AI$2:AI$500),
  _xlfn.IFNA(_xlpm.result, "")
)</f>
        <v/>
      </c>
      <c r="AK316" t="str">
        <f>_xlfn.LET(
  _xlpm.result, _xlfn.XLOOKUP($B316, Result_Database!$A$2:$A$500, Result_Database!AJ$2:AJ$500),
  _xlfn.IFNA(_xlpm.result, "")
)</f>
        <v/>
      </c>
      <c r="AL316" t="str">
        <f>_xlfn.LET(
  _xlpm.result, _xlfn.XLOOKUP($B316, Result_Database!$A$2:$A$500, Result_Database!AK$2:AK$500),
  _xlfn.IFNA(_xlpm.result, "")
)</f>
        <v/>
      </c>
      <c r="AM31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1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1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1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1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1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1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1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1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16" t="str">
        <f>IF(SUM(Table5[[#This Row],[A1]:[C6]])&lt;&gt;0,SUM(Table5[[#This Row],[A1]:[C6]]),"")</f>
        <v/>
      </c>
      <c r="AW316" t="str">
        <f>IF(SUM(Table5[[#This Row],[D7]:[F9]])=0,"",SUM(Table5[[#This Row],[D7]:[F9]]))</f>
        <v/>
      </c>
      <c r="AX31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1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1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1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1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1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16" t="str">
        <f>IF(COUNTIF(Table5[[#This Row],[English Language]:[Electrical/ Electronics]],"WITHHELD")=0,"",COUNTIF(Table5[[#This Row],[English Language]:[Electrical/ Electronics]],"WITHHELD"))</f>
        <v/>
      </c>
      <c r="BE316" t="str">
        <f>IF(SUM(Table5[[#This Row],[NO OF CREDITS]:[BELOW CREDITS]])=0,"",SUM(Table5[[#This Row],[NO OF CREDITS]:[BELOW CREDITS]]))</f>
        <v/>
      </c>
    </row>
    <row r="317" spans="1:57" x14ac:dyDescent="0.3">
      <c r="A317" t="str">
        <f>IF(B317&lt;&gt;"",COUNTA($B$6:B317),"")</f>
        <v/>
      </c>
      <c r="B317" t="str">
        <f>IF(Result_Database!A313="","",Result_Database!A313)</f>
        <v/>
      </c>
      <c r="C317" t="str">
        <f>_xlfn.LET(
_xlpm.result,_xlfn.XLOOKUP($B317,Result_Database!$A$2:$A$500,Result_Database!$B$2:$B$500),
_xlfn.IFNA(_xlpm.result,"")
)</f>
        <v/>
      </c>
      <c r="D317" t="str">
        <f>_xlfn.LET(
  _xlpm.result, _xlfn.XLOOKUP($B317, Result_Database!$A$2:$A$500, Result_Database!C$2:C$500),
  _xlfn.IFNA(_xlpm.result, "")
)</f>
        <v/>
      </c>
      <c r="E317" t="str">
        <f>_xlfn.LET(
  _xlpm.result, _xlfn.XLOOKUP($B317, Result_Database!$A$2:$A$500, Result_Database!D$2:D$500),
  _xlfn.IFNA(_xlpm.result, "")
)</f>
        <v/>
      </c>
      <c r="F317" t="str">
        <f>_xlfn.LET(
  _xlpm.result, _xlfn.XLOOKUP($B317, Result_Database!$A$2:$A$500, Result_Database!E$2:E$500),
  _xlfn.IFNA(_xlpm.result, "")
)</f>
        <v/>
      </c>
      <c r="G317" t="str">
        <f>_xlfn.LET(
  _xlpm.result, _xlfn.XLOOKUP($B317, Result_Database!$A$2:$A$500, Result_Database!F$2:F$500),
  _xlfn.IFNA(_xlpm.result, "")
)</f>
        <v/>
      </c>
      <c r="H317" t="str">
        <f>_xlfn.LET(
  _xlpm.result, _xlfn.XLOOKUP($B317, Result_Database!$A$2:$A$500, Result_Database!G$2:G$500),
  _xlfn.IFNA(_xlpm.result, "")
)</f>
        <v/>
      </c>
      <c r="I317" t="str">
        <f>_xlfn.LET(
  _xlpm.result, _xlfn.XLOOKUP($B317, Result_Database!$A$2:$A$500, Result_Database!H$2:H$500),
  _xlfn.IFNA(_xlpm.result, "")
)</f>
        <v/>
      </c>
      <c r="J317" t="str">
        <f>_xlfn.LET(
  _xlpm.result, _xlfn.XLOOKUP($B317, Result_Database!$A$2:$A$500, Result_Database!I$2:I$500),
  _xlfn.IFNA(_xlpm.result, "")
)</f>
        <v/>
      </c>
      <c r="K317" t="str">
        <f>_xlfn.LET(
  _xlpm.result, _xlfn.XLOOKUP($B317, Result_Database!$A$2:$A$500, Result_Database!J$2:J$500),
  _xlfn.IFNA(_xlpm.result, "")
)</f>
        <v/>
      </c>
      <c r="L317" t="str">
        <f>_xlfn.LET(
  _xlpm.result, _xlfn.XLOOKUP($B317, Result_Database!$A$2:$A$500, Result_Database!K$2:K$500),
  _xlfn.IFNA(_xlpm.result, "")
)</f>
        <v/>
      </c>
      <c r="M317" t="str">
        <f>_xlfn.LET(
  _xlpm.result, _xlfn.XLOOKUP($B317, Result_Database!$A$2:$A$500, Result_Database!L$2:L$500),
  _xlfn.IFNA(_xlpm.result, "")
)</f>
        <v/>
      </c>
      <c r="N317" t="str">
        <f>_xlfn.LET(
  _xlpm.result, _xlfn.XLOOKUP($B317, Result_Database!$A$2:$A$500, Result_Database!M$2:M$500),
  _xlfn.IFNA(_xlpm.result, "")
)</f>
        <v/>
      </c>
      <c r="O317" t="str">
        <f>_xlfn.LET(
  _xlpm.result, _xlfn.XLOOKUP($B317, Result_Database!$A$2:$A$500, Result_Database!N$2:N$500),
  _xlfn.IFNA(_xlpm.result, "")
)</f>
        <v/>
      </c>
      <c r="P317" t="str">
        <f>_xlfn.LET(
  _xlpm.result, _xlfn.XLOOKUP($B317, Result_Database!$A$2:$A$500, Result_Database!O$2:O$500),
  _xlfn.IFNA(_xlpm.result, "")
)</f>
        <v/>
      </c>
      <c r="Q317" t="str">
        <f>_xlfn.LET(
  _xlpm.result, _xlfn.XLOOKUP($B317, Result_Database!$A$2:$A$500, Result_Database!P$2:P$500),
  _xlfn.IFNA(_xlpm.result, "")
)</f>
        <v/>
      </c>
      <c r="R317" t="str">
        <f>_xlfn.LET(
  _xlpm.result, _xlfn.XLOOKUP($B317, Result_Database!$A$2:$A$500, Result_Database!Q$2:Q$500),
  _xlfn.IFNA(_xlpm.result, "")
)</f>
        <v/>
      </c>
      <c r="S317" t="str">
        <f>_xlfn.LET(
  _xlpm.result, _xlfn.XLOOKUP($B317, Result_Database!$A$2:$A$500, Result_Database!R$2:R$500),
  _xlfn.IFNA(_xlpm.result, "")
)</f>
        <v/>
      </c>
      <c r="T317" t="str">
        <f>_xlfn.LET(
  _xlpm.result, _xlfn.XLOOKUP($B317, Result_Database!$A$2:$A$500, Result_Database!S$2:S$500),
  _xlfn.IFNA(_xlpm.result, "")
)</f>
        <v/>
      </c>
      <c r="U317" t="str">
        <f>_xlfn.LET(
  _xlpm.result, _xlfn.XLOOKUP($B317, Result_Database!$A$2:$A$500, Result_Database!T$2:T$500),
  _xlfn.IFNA(_xlpm.result, "")
)</f>
        <v/>
      </c>
      <c r="V317" t="str">
        <f>_xlfn.LET(
  _xlpm.result, _xlfn.XLOOKUP($B317, Result_Database!$A$2:$A$500, Result_Database!U$2:U$500),
  _xlfn.IFNA(_xlpm.result, "")
)</f>
        <v/>
      </c>
      <c r="W317" t="str">
        <f>_xlfn.LET(
  _xlpm.result, _xlfn.XLOOKUP($B317, Result_Database!$A$2:$A$500, Result_Database!V$2:V$500),
  _xlfn.IFNA(_xlpm.result, "")
)</f>
        <v/>
      </c>
      <c r="X317" t="str">
        <f>_xlfn.LET(
  _xlpm.result, _xlfn.XLOOKUP($B317, Result_Database!$A$2:$A$500, Result_Database!W$2:W$500),
  _xlfn.IFNA(_xlpm.result, "")
)</f>
        <v/>
      </c>
      <c r="Y317" t="str">
        <f>_xlfn.LET(
  _xlpm.result, _xlfn.XLOOKUP($B317, Result_Database!$A$2:$A$500, Result_Database!X$2:X$500),
  _xlfn.IFNA(_xlpm.result, "")
)</f>
        <v/>
      </c>
      <c r="Z317" t="str">
        <f>_xlfn.LET(
  _xlpm.result, _xlfn.XLOOKUP($B317, Result_Database!$A$2:$A$500, Result_Database!Y$2:Y$500),
  _xlfn.IFNA(_xlpm.result, "")
)</f>
        <v/>
      </c>
      <c r="AA317" t="str">
        <f>_xlfn.LET(
  _xlpm.result, _xlfn.XLOOKUP($B317, Result_Database!$A$2:$A$500, Result_Database!Z$2:Z$500),
  _xlfn.IFNA(_xlpm.result, "")
)</f>
        <v/>
      </c>
      <c r="AB317" t="str">
        <f>_xlfn.LET(
  _xlpm.result, _xlfn.XLOOKUP($B317, Result_Database!$A$2:$A$500, Result_Database!AA$2:AA$500),
  _xlfn.IFNA(_xlpm.result, "")
)</f>
        <v/>
      </c>
      <c r="AC317" t="str">
        <f>_xlfn.LET(
  _xlpm.result, _xlfn.XLOOKUP($B317, Result_Database!$A$2:$A$500, Result_Database!AB$2:AB$500),
  _xlfn.IFNA(_xlpm.result, "")
)</f>
        <v/>
      </c>
      <c r="AD317" t="str">
        <f>_xlfn.LET(
  _xlpm.result, _xlfn.XLOOKUP($B317, Result_Database!$A$2:$A$500, Result_Database!AC$2:AC$500),
  _xlfn.IFNA(_xlpm.result, "")
)</f>
        <v/>
      </c>
      <c r="AE317" t="str">
        <f>_xlfn.LET(
  _xlpm.result, _xlfn.XLOOKUP($B317, Result_Database!$A$2:$A$500, Result_Database!AD$2:AD$500),
  _xlfn.IFNA(_xlpm.result, "")
)</f>
        <v/>
      </c>
      <c r="AF317" t="str">
        <f>_xlfn.LET(
  _xlpm.result, _xlfn.XLOOKUP($B317, Result_Database!$A$2:$A$500, Result_Database!AE$2:AE$500),
  _xlfn.IFNA(_xlpm.result, "")
)</f>
        <v/>
      </c>
      <c r="AG317" t="str">
        <f>_xlfn.LET(
  _xlpm.result, _xlfn.XLOOKUP($B317, Result_Database!$A$2:$A$500, Result_Database!AF$2:AF$500),
  _xlfn.IFNA(_xlpm.result, "")
)</f>
        <v/>
      </c>
      <c r="AH317" t="str">
        <f>_xlfn.LET(
  _xlpm.result, _xlfn.XLOOKUP($B317, Result_Database!$A$2:$A$500, Result_Database!AG$2:AG$500),
  _xlfn.IFNA(_xlpm.result, "")
)</f>
        <v/>
      </c>
      <c r="AI317" t="str">
        <f>_xlfn.LET(
  _xlpm.result, _xlfn.XLOOKUP($B317, Result_Database!$A$2:$A$500, Result_Database!AH$2:AH$500),
  _xlfn.IFNA(_xlpm.result, "")
)</f>
        <v/>
      </c>
      <c r="AJ317" t="str">
        <f>_xlfn.LET(
  _xlpm.result, _xlfn.XLOOKUP($B317, Result_Database!$A$2:$A$500, Result_Database!AI$2:AI$500),
  _xlfn.IFNA(_xlpm.result, "")
)</f>
        <v/>
      </c>
      <c r="AK317" t="str">
        <f>_xlfn.LET(
  _xlpm.result, _xlfn.XLOOKUP($B317, Result_Database!$A$2:$A$500, Result_Database!AJ$2:AJ$500),
  _xlfn.IFNA(_xlpm.result, "")
)</f>
        <v/>
      </c>
      <c r="AL317" t="str">
        <f>_xlfn.LET(
  _xlpm.result, _xlfn.XLOOKUP($B317, Result_Database!$A$2:$A$500, Result_Database!AK$2:AK$500),
  _xlfn.IFNA(_xlpm.result, "")
)</f>
        <v/>
      </c>
      <c r="AM31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1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1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1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1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1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1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1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1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17" t="str">
        <f>IF(SUM(Table5[[#This Row],[A1]:[C6]])&lt;&gt;0,SUM(Table5[[#This Row],[A1]:[C6]]),"")</f>
        <v/>
      </c>
      <c r="AW317" t="str">
        <f>IF(SUM(Table5[[#This Row],[D7]:[F9]])=0,"",SUM(Table5[[#This Row],[D7]:[F9]]))</f>
        <v/>
      </c>
      <c r="AX31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1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1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1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1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1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17" t="str">
        <f>IF(COUNTIF(Table5[[#This Row],[English Language]:[Electrical/ Electronics]],"WITHHELD")=0,"",COUNTIF(Table5[[#This Row],[English Language]:[Electrical/ Electronics]],"WITHHELD"))</f>
        <v/>
      </c>
      <c r="BE317" t="str">
        <f>IF(SUM(Table5[[#This Row],[NO OF CREDITS]:[BELOW CREDITS]])=0,"",SUM(Table5[[#This Row],[NO OF CREDITS]:[BELOW CREDITS]]))</f>
        <v/>
      </c>
    </row>
    <row r="318" spans="1:57" x14ac:dyDescent="0.3">
      <c r="A318" t="str">
        <f>IF(B318&lt;&gt;"",COUNTA($B$6:B318),"")</f>
        <v/>
      </c>
      <c r="B318" t="str">
        <f>IF(Result_Database!A314="","",Result_Database!A314)</f>
        <v/>
      </c>
      <c r="C318" t="str">
        <f>_xlfn.LET(
_xlpm.result,_xlfn.XLOOKUP($B318,Result_Database!$A$2:$A$500,Result_Database!$B$2:$B$500),
_xlfn.IFNA(_xlpm.result,"")
)</f>
        <v/>
      </c>
      <c r="D318" t="str">
        <f>_xlfn.LET(
  _xlpm.result, _xlfn.XLOOKUP($B318, Result_Database!$A$2:$A$500, Result_Database!C$2:C$500),
  _xlfn.IFNA(_xlpm.result, "")
)</f>
        <v/>
      </c>
      <c r="E318" t="str">
        <f>_xlfn.LET(
  _xlpm.result, _xlfn.XLOOKUP($B318, Result_Database!$A$2:$A$500, Result_Database!D$2:D$500),
  _xlfn.IFNA(_xlpm.result, "")
)</f>
        <v/>
      </c>
      <c r="F318" t="str">
        <f>_xlfn.LET(
  _xlpm.result, _xlfn.XLOOKUP($B318, Result_Database!$A$2:$A$500, Result_Database!E$2:E$500),
  _xlfn.IFNA(_xlpm.result, "")
)</f>
        <v/>
      </c>
      <c r="G318" t="str">
        <f>_xlfn.LET(
  _xlpm.result, _xlfn.XLOOKUP($B318, Result_Database!$A$2:$A$500, Result_Database!F$2:F$500),
  _xlfn.IFNA(_xlpm.result, "")
)</f>
        <v/>
      </c>
      <c r="H318" t="str">
        <f>_xlfn.LET(
  _xlpm.result, _xlfn.XLOOKUP($B318, Result_Database!$A$2:$A$500, Result_Database!G$2:G$500),
  _xlfn.IFNA(_xlpm.result, "")
)</f>
        <v/>
      </c>
      <c r="I318" t="str">
        <f>_xlfn.LET(
  _xlpm.result, _xlfn.XLOOKUP($B318, Result_Database!$A$2:$A$500, Result_Database!H$2:H$500),
  _xlfn.IFNA(_xlpm.result, "")
)</f>
        <v/>
      </c>
      <c r="J318" t="str">
        <f>_xlfn.LET(
  _xlpm.result, _xlfn.XLOOKUP($B318, Result_Database!$A$2:$A$500, Result_Database!I$2:I$500),
  _xlfn.IFNA(_xlpm.result, "")
)</f>
        <v/>
      </c>
      <c r="K318" t="str">
        <f>_xlfn.LET(
  _xlpm.result, _xlfn.XLOOKUP($B318, Result_Database!$A$2:$A$500, Result_Database!J$2:J$500),
  _xlfn.IFNA(_xlpm.result, "")
)</f>
        <v/>
      </c>
      <c r="L318" t="str">
        <f>_xlfn.LET(
  _xlpm.result, _xlfn.XLOOKUP($B318, Result_Database!$A$2:$A$500, Result_Database!K$2:K$500),
  _xlfn.IFNA(_xlpm.result, "")
)</f>
        <v/>
      </c>
      <c r="M318" t="str">
        <f>_xlfn.LET(
  _xlpm.result, _xlfn.XLOOKUP($B318, Result_Database!$A$2:$A$500, Result_Database!L$2:L$500),
  _xlfn.IFNA(_xlpm.result, "")
)</f>
        <v/>
      </c>
      <c r="N318" t="str">
        <f>_xlfn.LET(
  _xlpm.result, _xlfn.XLOOKUP($B318, Result_Database!$A$2:$A$500, Result_Database!M$2:M$500),
  _xlfn.IFNA(_xlpm.result, "")
)</f>
        <v/>
      </c>
      <c r="O318" t="str">
        <f>_xlfn.LET(
  _xlpm.result, _xlfn.XLOOKUP($B318, Result_Database!$A$2:$A$500, Result_Database!N$2:N$500),
  _xlfn.IFNA(_xlpm.result, "")
)</f>
        <v/>
      </c>
      <c r="P318" t="str">
        <f>_xlfn.LET(
  _xlpm.result, _xlfn.XLOOKUP($B318, Result_Database!$A$2:$A$500, Result_Database!O$2:O$500),
  _xlfn.IFNA(_xlpm.result, "")
)</f>
        <v/>
      </c>
      <c r="Q318" t="str">
        <f>_xlfn.LET(
  _xlpm.result, _xlfn.XLOOKUP($B318, Result_Database!$A$2:$A$500, Result_Database!P$2:P$500),
  _xlfn.IFNA(_xlpm.result, "")
)</f>
        <v/>
      </c>
      <c r="R318" t="str">
        <f>_xlfn.LET(
  _xlpm.result, _xlfn.XLOOKUP($B318, Result_Database!$A$2:$A$500, Result_Database!Q$2:Q$500),
  _xlfn.IFNA(_xlpm.result, "")
)</f>
        <v/>
      </c>
      <c r="S318" t="str">
        <f>_xlfn.LET(
  _xlpm.result, _xlfn.XLOOKUP($B318, Result_Database!$A$2:$A$500, Result_Database!R$2:R$500),
  _xlfn.IFNA(_xlpm.result, "")
)</f>
        <v/>
      </c>
      <c r="T318" t="str">
        <f>_xlfn.LET(
  _xlpm.result, _xlfn.XLOOKUP($B318, Result_Database!$A$2:$A$500, Result_Database!S$2:S$500),
  _xlfn.IFNA(_xlpm.result, "")
)</f>
        <v/>
      </c>
      <c r="U318" t="str">
        <f>_xlfn.LET(
  _xlpm.result, _xlfn.XLOOKUP($B318, Result_Database!$A$2:$A$500, Result_Database!T$2:T$500),
  _xlfn.IFNA(_xlpm.result, "")
)</f>
        <v/>
      </c>
      <c r="V318" t="str">
        <f>_xlfn.LET(
  _xlpm.result, _xlfn.XLOOKUP($B318, Result_Database!$A$2:$A$500, Result_Database!U$2:U$500),
  _xlfn.IFNA(_xlpm.result, "")
)</f>
        <v/>
      </c>
      <c r="W318" t="str">
        <f>_xlfn.LET(
  _xlpm.result, _xlfn.XLOOKUP($B318, Result_Database!$A$2:$A$500, Result_Database!V$2:V$500),
  _xlfn.IFNA(_xlpm.result, "")
)</f>
        <v/>
      </c>
      <c r="X318" t="str">
        <f>_xlfn.LET(
  _xlpm.result, _xlfn.XLOOKUP($B318, Result_Database!$A$2:$A$500, Result_Database!W$2:W$500),
  _xlfn.IFNA(_xlpm.result, "")
)</f>
        <v/>
      </c>
      <c r="Y318" t="str">
        <f>_xlfn.LET(
  _xlpm.result, _xlfn.XLOOKUP($B318, Result_Database!$A$2:$A$500, Result_Database!X$2:X$500),
  _xlfn.IFNA(_xlpm.result, "")
)</f>
        <v/>
      </c>
      <c r="Z318" t="str">
        <f>_xlfn.LET(
  _xlpm.result, _xlfn.XLOOKUP($B318, Result_Database!$A$2:$A$500, Result_Database!Y$2:Y$500),
  _xlfn.IFNA(_xlpm.result, "")
)</f>
        <v/>
      </c>
      <c r="AA318" t="str">
        <f>_xlfn.LET(
  _xlpm.result, _xlfn.XLOOKUP($B318, Result_Database!$A$2:$A$500, Result_Database!Z$2:Z$500),
  _xlfn.IFNA(_xlpm.result, "")
)</f>
        <v/>
      </c>
      <c r="AB318" t="str">
        <f>_xlfn.LET(
  _xlpm.result, _xlfn.XLOOKUP($B318, Result_Database!$A$2:$A$500, Result_Database!AA$2:AA$500),
  _xlfn.IFNA(_xlpm.result, "")
)</f>
        <v/>
      </c>
      <c r="AC318" t="str">
        <f>_xlfn.LET(
  _xlpm.result, _xlfn.XLOOKUP($B318, Result_Database!$A$2:$A$500, Result_Database!AB$2:AB$500),
  _xlfn.IFNA(_xlpm.result, "")
)</f>
        <v/>
      </c>
      <c r="AD318" t="str">
        <f>_xlfn.LET(
  _xlpm.result, _xlfn.XLOOKUP($B318, Result_Database!$A$2:$A$500, Result_Database!AC$2:AC$500),
  _xlfn.IFNA(_xlpm.result, "")
)</f>
        <v/>
      </c>
      <c r="AE318" t="str">
        <f>_xlfn.LET(
  _xlpm.result, _xlfn.XLOOKUP($B318, Result_Database!$A$2:$A$500, Result_Database!AD$2:AD$500),
  _xlfn.IFNA(_xlpm.result, "")
)</f>
        <v/>
      </c>
      <c r="AF318" t="str">
        <f>_xlfn.LET(
  _xlpm.result, _xlfn.XLOOKUP($B318, Result_Database!$A$2:$A$500, Result_Database!AE$2:AE$500),
  _xlfn.IFNA(_xlpm.result, "")
)</f>
        <v/>
      </c>
      <c r="AG318" t="str">
        <f>_xlfn.LET(
  _xlpm.result, _xlfn.XLOOKUP($B318, Result_Database!$A$2:$A$500, Result_Database!AF$2:AF$500),
  _xlfn.IFNA(_xlpm.result, "")
)</f>
        <v/>
      </c>
      <c r="AH318" t="str">
        <f>_xlfn.LET(
  _xlpm.result, _xlfn.XLOOKUP($B318, Result_Database!$A$2:$A$500, Result_Database!AG$2:AG$500),
  _xlfn.IFNA(_xlpm.result, "")
)</f>
        <v/>
      </c>
      <c r="AI318" t="str">
        <f>_xlfn.LET(
  _xlpm.result, _xlfn.XLOOKUP($B318, Result_Database!$A$2:$A$500, Result_Database!AH$2:AH$500),
  _xlfn.IFNA(_xlpm.result, "")
)</f>
        <v/>
      </c>
      <c r="AJ318" t="str">
        <f>_xlfn.LET(
  _xlpm.result, _xlfn.XLOOKUP($B318, Result_Database!$A$2:$A$500, Result_Database!AI$2:AI$500),
  _xlfn.IFNA(_xlpm.result, "")
)</f>
        <v/>
      </c>
      <c r="AK318" t="str">
        <f>_xlfn.LET(
  _xlpm.result, _xlfn.XLOOKUP($B318, Result_Database!$A$2:$A$500, Result_Database!AJ$2:AJ$500),
  _xlfn.IFNA(_xlpm.result, "")
)</f>
        <v/>
      </c>
      <c r="AL318" t="str">
        <f>_xlfn.LET(
  _xlpm.result, _xlfn.XLOOKUP($B318, Result_Database!$A$2:$A$500, Result_Database!AK$2:AK$500),
  _xlfn.IFNA(_xlpm.result, "")
)</f>
        <v/>
      </c>
      <c r="AM31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1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1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1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1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1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1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1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1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18" t="str">
        <f>IF(SUM(Table5[[#This Row],[A1]:[C6]])&lt;&gt;0,SUM(Table5[[#This Row],[A1]:[C6]]),"")</f>
        <v/>
      </c>
      <c r="AW318" t="str">
        <f>IF(SUM(Table5[[#This Row],[D7]:[F9]])=0,"",SUM(Table5[[#This Row],[D7]:[F9]]))</f>
        <v/>
      </c>
      <c r="AX31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1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1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1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1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1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18" t="str">
        <f>IF(COUNTIF(Table5[[#This Row],[English Language]:[Electrical/ Electronics]],"WITHHELD")=0,"",COUNTIF(Table5[[#This Row],[English Language]:[Electrical/ Electronics]],"WITHHELD"))</f>
        <v/>
      </c>
      <c r="BE318" t="str">
        <f>IF(SUM(Table5[[#This Row],[NO OF CREDITS]:[BELOW CREDITS]])=0,"",SUM(Table5[[#This Row],[NO OF CREDITS]:[BELOW CREDITS]]))</f>
        <v/>
      </c>
    </row>
    <row r="319" spans="1:57" x14ac:dyDescent="0.3">
      <c r="A319" t="str">
        <f>IF(B319&lt;&gt;"",COUNTA($B$6:B319),"")</f>
        <v/>
      </c>
      <c r="B319" t="str">
        <f>IF(Result_Database!A315="","",Result_Database!A315)</f>
        <v/>
      </c>
      <c r="C319" t="str">
        <f>_xlfn.LET(
_xlpm.result,_xlfn.XLOOKUP($B319,Result_Database!$A$2:$A$500,Result_Database!$B$2:$B$500),
_xlfn.IFNA(_xlpm.result,"")
)</f>
        <v/>
      </c>
      <c r="D319" t="str">
        <f>_xlfn.LET(
  _xlpm.result, _xlfn.XLOOKUP($B319, Result_Database!$A$2:$A$500, Result_Database!C$2:C$500),
  _xlfn.IFNA(_xlpm.result, "")
)</f>
        <v/>
      </c>
      <c r="E319" t="str">
        <f>_xlfn.LET(
  _xlpm.result, _xlfn.XLOOKUP($B319, Result_Database!$A$2:$A$500, Result_Database!D$2:D$500),
  _xlfn.IFNA(_xlpm.result, "")
)</f>
        <v/>
      </c>
      <c r="F319" t="str">
        <f>_xlfn.LET(
  _xlpm.result, _xlfn.XLOOKUP($B319, Result_Database!$A$2:$A$500, Result_Database!E$2:E$500),
  _xlfn.IFNA(_xlpm.result, "")
)</f>
        <v/>
      </c>
      <c r="G319" t="str">
        <f>_xlfn.LET(
  _xlpm.result, _xlfn.XLOOKUP($B319, Result_Database!$A$2:$A$500, Result_Database!F$2:F$500),
  _xlfn.IFNA(_xlpm.result, "")
)</f>
        <v/>
      </c>
      <c r="H319" t="str">
        <f>_xlfn.LET(
  _xlpm.result, _xlfn.XLOOKUP($B319, Result_Database!$A$2:$A$500, Result_Database!G$2:G$500),
  _xlfn.IFNA(_xlpm.result, "")
)</f>
        <v/>
      </c>
      <c r="I319" t="str">
        <f>_xlfn.LET(
  _xlpm.result, _xlfn.XLOOKUP($B319, Result_Database!$A$2:$A$500, Result_Database!H$2:H$500),
  _xlfn.IFNA(_xlpm.result, "")
)</f>
        <v/>
      </c>
      <c r="J319" t="str">
        <f>_xlfn.LET(
  _xlpm.result, _xlfn.XLOOKUP($B319, Result_Database!$A$2:$A$500, Result_Database!I$2:I$500),
  _xlfn.IFNA(_xlpm.result, "")
)</f>
        <v/>
      </c>
      <c r="K319" t="str">
        <f>_xlfn.LET(
  _xlpm.result, _xlfn.XLOOKUP($B319, Result_Database!$A$2:$A$500, Result_Database!J$2:J$500),
  _xlfn.IFNA(_xlpm.result, "")
)</f>
        <v/>
      </c>
      <c r="L319" t="str">
        <f>_xlfn.LET(
  _xlpm.result, _xlfn.XLOOKUP($B319, Result_Database!$A$2:$A$500, Result_Database!K$2:K$500),
  _xlfn.IFNA(_xlpm.result, "")
)</f>
        <v/>
      </c>
      <c r="M319" t="str">
        <f>_xlfn.LET(
  _xlpm.result, _xlfn.XLOOKUP($B319, Result_Database!$A$2:$A$500, Result_Database!L$2:L$500),
  _xlfn.IFNA(_xlpm.result, "")
)</f>
        <v/>
      </c>
      <c r="N319" t="str">
        <f>_xlfn.LET(
  _xlpm.result, _xlfn.XLOOKUP($B319, Result_Database!$A$2:$A$500, Result_Database!M$2:M$500),
  _xlfn.IFNA(_xlpm.result, "")
)</f>
        <v/>
      </c>
      <c r="O319" t="str">
        <f>_xlfn.LET(
  _xlpm.result, _xlfn.XLOOKUP($B319, Result_Database!$A$2:$A$500, Result_Database!N$2:N$500),
  _xlfn.IFNA(_xlpm.result, "")
)</f>
        <v/>
      </c>
      <c r="P319" t="str">
        <f>_xlfn.LET(
  _xlpm.result, _xlfn.XLOOKUP($B319, Result_Database!$A$2:$A$500, Result_Database!O$2:O$500),
  _xlfn.IFNA(_xlpm.result, "")
)</f>
        <v/>
      </c>
      <c r="Q319" t="str">
        <f>_xlfn.LET(
  _xlpm.result, _xlfn.XLOOKUP($B319, Result_Database!$A$2:$A$500, Result_Database!P$2:P$500),
  _xlfn.IFNA(_xlpm.result, "")
)</f>
        <v/>
      </c>
      <c r="R319" t="str">
        <f>_xlfn.LET(
  _xlpm.result, _xlfn.XLOOKUP($B319, Result_Database!$A$2:$A$500, Result_Database!Q$2:Q$500),
  _xlfn.IFNA(_xlpm.result, "")
)</f>
        <v/>
      </c>
      <c r="S319" t="str">
        <f>_xlfn.LET(
  _xlpm.result, _xlfn.XLOOKUP($B319, Result_Database!$A$2:$A$500, Result_Database!R$2:R$500),
  _xlfn.IFNA(_xlpm.result, "")
)</f>
        <v/>
      </c>
      <c r="T319" t="str">
        <f>_xlfn.LET(
  _xlpm.result, _xlfn.XLOOKUP($B319, Result_Database!$A$2:$A$500, Result_Database!S$2:S$500),
  _xlfn.IFNA(_xlpm.result, "")
)</f>
        <v/>
      </c>
      <c r="U319" t="str">
        <f>_xlfn.LET(
  _xlpm.result, _xlfn.XLOOKUP($B319, Result_Database!$A$2:$A$500, Result_Database!T$2:T$500),
  _xlfn.IFNA(_xlpm.result, "")
)</f>
        <v/>
      </c>
      <c r="V319" t="str">
        <f>_xlfn.LET(
  _xlpm.result, _xlfn.XLOOKUP($B319, Result_Database!$A$2:$A$500, Result_Database!U$2:U$500),
  _xlfn.IFNA(_xlpm.result, "")
)</f>
        <v/>
      </c>
      <c r="W319" t="str">
        <f>_xlfn.LET(
  _xlpm.result, _xlfn.XLOOKUP($B319, Result_Database!$A$2:$A$500, Result_Database!V$2:V$500),
  _xlfn.IFNA(_xlpm.result, "")
)</f>
        <v/>
      </c>
      <c r="X319" t="str">
        <f>_xlfn.LET(
  _xlpm.result, _xlfn.XLOOKUP($B319, Result_Database!$A$2:$A$500, Result_Database!W$2:W$500),
  _xlfn.IFNA(_xlpm.result, "")
)</f>
        <v/>
      </c>
      <c r="Y319" t="str">
        <f>_xlfn.LET(
  _xlpm.result, _xlfn.XLOOKUP($B319, Result_Database!$A$2:$A$500, Result_Database!X$2:X$500),
  _xlfn.IFNA(_xlpm.result, "")
)</f>
        <v/>
      </c>
      <c r="Z319" t="str">
        <f>_xlfn.LET(
  _xlpm.result, _xlfn.XLOOKUP($B319, Result_Database!$A$2:$A$500, Result_Database!Y$2:Y$500),
  _xlfn.IFNA(_xlpm.result, "")
)</f>
        <v/>
      </c>
      <c r="AA319" t="str">
        <f>_xlfn.LET(
  _xlpm.result, _xlfn.XLOOKUP($B319, Result_Database!$A$2:$A$500, Result_Database!Z$2:Z$500),
  _xlfn.IFNA(_xlpm.result, "")
)</f>
        <v/>
      </c>
      <c r="AB319" t="str">
        <f>_xlfn.LET(
  _xlpm.result, _xlfn.XLOOKUP($B319, Result_Database!$A$2:$A$500, Result_Database!AA$2:AA$500),
  _xlfn.IFNA(_xlpm.result, "")
)</f>
        <v/>
      </c>
      <c r="AC319" t="str">
        <f>_xlfn.LET(
  _xlpm.result, _xlfn.XLOOKUP($B319, Result_Database!$A$2:$A$500, Result_Database!AB$2:AB$500),
  _xlfn.IFNA(_xlpm.result, "")
)</f>
        <v/>
      </c>
      <c r="AD319" t="str">
        <f>_xlfn.LET(
  _xlpm.result, _xlfn.XLOOKUP($B319, Result_Database!$A$2:$A$500, Result_Database!AC$2:AC$500),
  _xlfn.IFNA(_xlpm.result, "")
)</f>
        <v/>
      </c>
      <c r="AE319" t="str">
        <f>_xlfn.LET(
  _xlpm.result, _xlfn.XLOOKUP($B319, Result_Database!$A$2:$A$500, Result_Database!AD$2:AD$500),
  _xlfn.IFNA(_xlpm.result, "")
)</f>
        <v/>
      </c>
      <c r="AF319" t="str">
        <f>_xlfn.LET(
  _xlpm.result, _xlfn.XLOOKUP($B319, Result_Database!$A$2:$A$500, Result_Database!AE$2:AE$500),
  _xlfn.IFNA(_xlpm.result, "")
)</f>
        <v/>
      </c>
      <c r="AG319" t="str">
        <f>_xlfn.LET(
  _xlpm.result, _xlfn.XLOOKUP($B319, Result_Database!$A$2:$A$500, Result_Database!AF$2:AF$500),
  _xlfn.IFNA(_xlpm.result, "")
)</f>
        <v/>
      </c>
      <c r="AH319" t="str">
        <f>_xlfn.LET(
  _xlpm.result, _xlfn.XLOOKUP($B319, Result_Database!$A$2:$A$500, Result_Database!AG$2:AG$500),
  _xlfn.IFNA(_xlpm.result, "")
)</f>
        <v/>
      </c>
      <c r="AI319" t="str">
        <f>_xlfn.LET(
  _xlpm.result, _xlfn.XLOOKUP($B319, Result_Database!$A$2:$A$500, Result_Database!AH$2:AH$500),
  _xlfn.IFNA(_xlpm.result, "")
)</f>
        <v/>
      </c>
      <c r="AJ319" t="str">
        <f>_xlfn.LET(
  _xlpm.result, _xlfn.XLOOKUP($B319, Result_Database!$A$2:$A$500, Result_Database!AI$2:AI$500),
  _xlfn.IFNA(_xlpm.result, "")
)</f>
        <v/>
      </c>
      <c r="AK319" t="str">
        <f>_xlfn.LET(
  _xlpm.result, _xlfn.XLOOKUP($B319, Result_Database!$A$2:$A$500, Result_Database!AJ$2:AJ$500),
  _xlfn.IFNA(_xlpm.result, "")
)</f>
        <v/>
      </c>
      <c r="AL319" t="str">
        <f>_xlfn.LET(
  _xlpm.result, _xlfn.XLOOKUP($B319, Result_Database!$A$2:$A$500, Result_Database!AK$2:AK$500),
  _xlfn.IFNA(_xlpm.result, "")
)</f>
        <v/>
      </c>
      <c r="AM31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1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1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1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1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1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1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1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1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19" t="str">
        <f>IF(SUM(Table5[[#This Row],[A1]:[C6]])&lt;&gt;0,SUM(Table5[[#This Row],[A1]:[C6]]),"")</f>
        <v/>
      </c>
      <c r="AW319" t="str">
        <f>IF(SUM(Table5[[#This Row],[D7]:[F9]])=0,"",SUM(Table5[[#This Row],[D7]:[F9]]))</f>
        <v/>
      </c>
      <c r="AX31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1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1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1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1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1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19" t="str">
        <f>IF(COUNTIF(Table5[[#This Row],[English Language]:[Electrical/ Electronics]],"WITHHELD")=0,"",COUNTIF(Table5[[#This Row],[English Language]:[Electrical/ Electronics]],"WITHHELD"))</f>
        <v/>
      </c>
      <c r="BE319" t="str">
        <f>IF(SUM(Table5[[#This Row],[NO OF CREDITS]:[BELOW CREDITS]])=0,"",SUM(Table5[[#This Row],[NO OF CREDITS]:[BELOW CREDITS]]))</f>
        <v/>
      </c>
    </row>
    <row r="320" spans="1:57" x14ac:dyDescent="0.3">
      <c r="A320" t="str">
        <f>IF(B320&lt;&gt;"",COUNTA($B$6:B320),"")</f>
        <v/>
      </c>
      <c r="B320" t="str">
        <f>IF(Result_Database!A316="","",Result_Database!A316)</f>
        <v/>
      </c>
      <c r="C320" t="str">
        <f>_xlfn.LET(
_xlpm.result,_xlfn.XLOOKUP($B320,Result_Database!$A$2:$A$500,Result_Database!$B$2:$B$500),
_xlfn.IFNA(_xlpm.result,"")
)</f>
        <v/>
      </c>
      <c r="D320" t="str">
        <f>_xlfn.LET(
  _xlpm.result, _xlfn.XLOOKUP($B320, Result_Database!$A$2:$A$500, Result_Database!C$2:C$500),
  _xlfn.IFNA(_xlpm.result, "")
)</f>
        <v/>
      </c>
      <c r="E320" t="str">
        <f>_xlfn.LET(
  _xlpm.result, _xlfn.XLOOKUP($B320, Result_Database!$A$2:$A$500, Result_Database!D$2:D$500),
  _xlfn.IFNA(_xlpm.result, "")
)</f>
        <v/>
      </c>
      <c r="F320" t="str">
        <f>_xlfn.LET(
  _xlpm.result, _xlfn.XLOOKUP($B320, Result_Database!$A$2:$A$500, Result_Database!E$2:E$500),
  _xlfn.IFNA(_xlpm.result, "")
)</f>
        <v/>
      </c>
      <c r="G320" t="str">
        <f>_xlfn.LET(
  _xlpm.result, _xlfn.XLOOKUP($B320, Result_Database!$A$2:$A$500, Result_Database!F$2:F$500),
  _xlfn.IFNA(_xlpm.result, "")
)</f>
        <v/>
      </c>
      <c r="H320" t="str">
        <f>_xlfn.LET(
  _xlpm.result, _xlfn.XLOOKUP($B320, Result_Database!$A$2:$A$500, Result_Database!G$2:G$500),
  _xlfn.IFNA(_xlpm.result, "")
)</f>
        <v/>
      </c>
      <c r="I320" t="str">
        <f>_xlfn.LET(
  _xlpm.result, _xlfn.XLOOKUP($B320, Result_Database!$A$2:$A$500, Result_Database!H$2:H$500),
  _xlfn.IFNA(_xlpm.result, "")
)</f>
        <v/>
      </c>
      <c r="J320" t="str">
        <f>_xlfn.LET(
  _xlpm.result, _xlfn.XLOOKUP($B320, Result_Database!$A$2:$A$500, Result_Database!I$2:I$500),
  _xlfn.IFNA(_xlpm.result, "")
)</f>
        <v/>
      </c>
      <c r="K320" t="str">
        <f>_xlfn.LET(
  _xlpm.result, _xlfn.XLOOKUP($B320, Result_Database!$A$2:$A$500, Result_Database!J$2:J$500),
  _xlfn.IFNA(_xlpm.result, "")
)</f>
        <v/>
      </c>
      <c r="L320" t="str">
        <f>_xlfn.LET(
  _xlpm.result, _xlfn.XLOOKUP($B320, Result_Database!$A$2:$A$500, Result_Database!K$2:K$500),
  _xlfn.IFNA(_xlpm.result, "")
)</f>
        <v/>
      </c>
      <c r="M320" t="str">
        <f>_xlfn.LET(
  _xlpm.result, _xlfn.XLOOKUP($B320, Result_Database!$A$2:$A$500, Result_Database!L$2:L$500),
  _xlfn.IFNA(_xlpm.result, "")
)</f>
        <v/>
      </c>
      <c r="N320" t="str">
        <f>_xlfn.LET(
  _xlpm.result, _xlfn.XLOOKUP($B320, Result_Database!$A$2:$A$500, Result_Database!M$2:M$500),
  _xlfn.IFNA(_xlpm.result, "")
)</f>
        <v/>
      </c>
      <c r="O320" t="str">
        <f>_xlfn.LET(
  _xlpm.result, _xlfn.XLOOKUP($B320, Result_Database!$A$2:$A$500, Result_Database!N$2:N$500),
  _xlfn.IFNA(_xlpm.result, "")
)</f>
        <v/>
      </c>
      <c r="P320" t="str">
        <f>_xlfn.LET(
  _xlpm.result, _xlfn.XLOOKUP($B320, Result_Database!$A$2:$A$500, Result_Database!O$2:O$500),
  _xlfn.IFNA(_xlpm.result, "")
)</f>
        <v/>
      </c>
      <c r="Q320" t="str">
        <f>_xlfn.LET(
  _xlpm.result, _xlfn.XLOOKUP($B320, Result_Database!$A$2:$A$500, Result_Database!P$2:P$500),
  _xlfn.IFNA(_xlpm.result, "")
)</f>
        <v/>
      </c>
      <c r="R320" t="str">
        <f>_xlfn.LET(
  _xlpm.result, _xlfn.XLOOKUP($B320, Result_Database!$A$2:$A$500, Result_Database!Q$2:Q$500),
  _xlfn.IFNA(_xlpm.result, "")
)</f>
        <v/>
      </c>
      <c r="S320" t="str">
        <f>_xlfn.LET(
  _xlpm.result, _xlfn.XLOOKUP($B320, Result_Database!$A$2:$A$500, Result_Database!R$2:R$500),
  _xlfn.IFNA(_xlpm.result, "")
)</f>
        <v/>
      </c>
      <c r="T320" t="str">
        <f>_xlfn.LET(
  _xlpm.result, _xlfn.XLOOKUP($B320, Result_Database!$A$2:$A$500, Result_Database!S$2:S$500),
  _xlfn.IFNA(_xlpm.result, "")
)</f>
        <v/>
      </c>
      <c r="U320" t="str">
        <f>_xlfn.LET(
  _xlpm.result, _xlfn.XLOOKUP($B320, Result_Database!$A$2:$A$500, Result_Database!T$2:T$500),
  _xlfn.IFNA(_xlpm.result, "")
)</f>
        <v/>
      </c>
      <c r="V320" t="str">
        <f>_xlfn.LET(
  _xlpm.result, _xlfn.XLOOKUP($B320, Result_Database!$A$2:$A$500, Result_Database!U$2:U$500),
  _xlfn.IFNA(_xlpm.result, "")
)</f>
        <v/>
      </c>
      <c r="W320" t="str">
        <f>_xlfn.LET(
  _xlpm.result, _xlfn.XLOOKUP($B320, Result_Database!$A$2:$A$500, Result_Database!V$2:V$500),
  _xlfn.IFNA(_xlpm.result, "")
)</f>
        <v/>
      </c>
      <c r="X320" t="str">
        <f>_xlfn.LET(
  _xlpm.result, _xlfn.XLOOKUP($B320, Result_Database!$A$2:$A$500, Result_Database!W$2:W$500),
  _xlfn.IFNA(_xlpm.result, "")
)</f>
        <v/>
      </c>
      <c r="Y320" t="str">
        <f>_xlfn.LET(
  _xlpm.result, _xlfn.XLOOKUP($B320, Result_Database!$A$2:$A$500, Result_Database!X$2:X$500),
  _xlfn.IFNA(_xlpm.result, "")
)</f>
        <v/>
      </c>
      <c r="Z320" t="str">
        <f>_xlfn.LET(
  _xlpm.result, _xlfn.XLOOKUP($B320, Result_Database!$A$2:$A$500, Result_Database!Y$2:Y$500),
  _xlfn.IFNA(_xlpm.result, "")
)</f>
        <v/>
      </c>
      <c r="AA320" t="str">
        <f>_xlfn.LET(
  _xlpm.result, _xlfn.XLOOKUP($B320, Result_Database!$A$2:$A$500, Result_Database!Z$2:Z$500),
  _xlfn.IFNA(_xlpm.result, "")
)</f>
        <v/>
      </c>
      <c r="AB320" t="str">
        <f>_xlfn.LET(
  _xlpm.result, _xlfn.XLOOKUP($B320, Result_Database!$A$2:$A$500, Result_Database!AA$2:AA$500),
  _xlfn.IFNA(_xlpm.result, "")
)</f>
        <v/>
      </c>
      <c r="AC320" t="str">
        <f>_xlfn.LET(
  _xlpm.result, _xlfn.XLOOKUP($B320, Result_Database!$A$2:$A$500, Result_Database!AB$2:AB$500),
  _xlfn.IFNA(_xlpm.result, "")
)</f>
        <v/>
      </c>
      <c r="AD320" t="str">
        <f>_xlfn.LET(
  _xlpm.result, _xlfn.XLOOKUP($B320, Result_Database!$A$2:$A$500, Result_Database!AC$2:AC$500),
  _xlfn.IFNA(_xlpm.result, "")
)</f>
        <v/>
      </c>
      <c r="AE320" t="str">
        <f>_xlfn.LET(
  _xlpm.result, _xlfn.XLOOKUP($B320, Result_Database!$A$2:$A$500, Result_Database!AD$2:AD$500),
  _xlfn.IFNA(_xlpm.result, "")
)</f>
        <v/>
      </c>
      <c r="AF320" t="str">
        <f>_xlfn.LET(
  _xlpm.result, _xlfn.XLOOKUP($B320, Result_Database!$A$2:$A$500, Result_Database!AE$2:AE$500),
  _xlfn.IFNA(_xlpm.result, "")
)</f>
        <v/>
      </c>
      <c r="AG320" t="str">
        <f>_xlfn.LET(
  _xlpm.result, _xlfn.XLOOKUP($B320, Result_Database!$A$2:$A$500, Result_Database!AF$2:AF$500),
  _xlfn.IFNA(_xlpm.result, "")
)</f>
        <v/>
      </c>
      <c r="AH320" t="str">
        <f>_xlfn.LET(
  _xlpm.result, _xlfn.XLOOKUP($B320, Result_Database!$A$2:$A$500, Result_Database!AG$2:AG$500),
  _xlfn.IFNA(_xlpm.result, "")
)</f>
        <v/>
      </c>
      <c r="AI320" t="str">
        <f>_xlfn.LET(
  _xlpm.result, _xlfn.XLOOKUP($B320, Result_Database!$A$2:$A$500, Result_Database!AH$2:AH$500),
  _xlfn.IFNA(_xlpm.result, "")
)</f>
        <v/>
      </c>
      <c r="AJ320" t="str">
        <f>_xlfn.LET(
  _xlpm.result, _xlfn.XLOOKUP($B320, Result_Database!$A$2:$A$500, Result_Database!AI$2:AI$500),
  _xlfn.IFNA(_xlpm.result, "")
)</f>
        <v/>
      </c>
      <c r="AK320" t="str">
        <f>_xlfn.LET(
  _xlpm.result, _xlfn.XLOOKUP($B320, Result_Database!$A$2:$A$500, Result_Database!AJ$2:AJ$500),
  _xlfn.IFNA(_xlpm.result, "")
)</f>
        <v/>
      </c>
      <c r="AL320" t="str">
        <f>_xlfn.LET(
  _xlpm.result, _xlfn.XLOOKUP($B320, Result_Database!$A$2:$A$500, Result_Database!AK$2:AK$500),
  _xlfn.IFNA(_xlpm.result, "")
)</f>
        <v/>
      </c>
      <c r="AM32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2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2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2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2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2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2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2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2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20" t="str">
        <f>IF(SUM(Table5[[#This Row],[A1]:[C6]])&lt;&gt;0,SUM(Table5[[#This Row],[A1]:[C6]]),"")</f>
        <v/>
      </c>
      <c r="AW320" t="str">
        <f>IF(SUM(Table5[[#This Row],[D7]:[F9]])=0,"",SUM(Table5[[#This Row],[D7]:[F9]]))</f>
        <v/>
      </c>
      <c r="AX32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2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2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2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2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2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20" t="str">
        <f>IF(COUNTIF(Table5[[#This Row],[English Language]:[Electrical/ Electronics]],"WITHHELD")=0,"",COUNTIF(Table5[[#This Row],[English Language]:[Electrical/ Electronics]],"WITHHELD"))</f>
        <v/>
      </c>
      <c r="BE320" t="str">
        <f>IF(SUM(Table5[[#This Row],[NO OF CREDITS]:[BELOW CREDITS]])=0,"",SUM(Table5[[#This Row],[NO OF CREDITS]:[BELOW CREDITS]]))</f>
        <v/>
      </c>
    </row>
    <row r="321" spans="1:57" x14ac:dyDescent="0.3">
      <c r="A321" t="str">
        <f>IF(B321&lt;&gt;"",COUNTA($B$6:B321),"")</f>
        <v/>
      </c>
      <c r="B321" t="str">
        <f>IF(Result_Database!A317="","",Result_Database!A317)</f>
        <v/>
      </c>
      <c r="C321" t="str">
        <f>_xlfn.LET(
_xlpm.result,_xlfn.XLOOKUP($B321,Result_Database!$A$2:$A$500,Result_Database!$B$2:$B$500),
_xlfn.IFNA(_xlpm.result,"")
)</f>
        <v/>
      </c>
      <c r="D321" t="str">
        <f>_xlfn.LET(
  _xlpm.result, _xlfn.XLOOKUP($B321, Result_Database!$A$2:$A$500, Result_Database!C$2:C$500),
  _xlfn.IFNA(_xlpm.result, "")
)</f>
        <v/>
      </c>
      <c r="E321" t="str">
        <f>_xlfn.LET(
  _xlpm.result, _xlfn.XLOOKUP($B321, Result_Database!$A$2:$A$500, Result_Database!D$2:D$500),
  _xlfn.IFNA(_xlpm.result, "")
)</f>
        <v/>
      </c>
      <c r="F321" t="str">
        <f>_xlfn.LET(
  _xlpm.result, _xlfn.XLOOKUP($B321, Result_Database!$A$2:$A$500, Result_Database!E$2:E$500),
  _xlfn.IFNA(_xlpm.result, "")
)</f>
        <v/>
      </c>
      <c r="G321" t="str">
        <f>_xlfn.LET(
  _xlpm.result, _xlfn.XLOOKUP($B321, Result_Database!$A$2:$A$500, Result_Database!F$2:F$500),
  _xlfn.IFNA(_xlpm.result, "")
)</f>
        <v/>
      </c>
      <c r="H321" t="str">
        <f>_xlfn.LET(
  _xlpm.result, _xlfn.XLOOKUP($B321, Result_Database!$A$2:$A$500, Result_Database!G$2:G$500),
  _xlfn.IFNA(_xlpm.result, "")
)</f>
        <v/>
      </c>
      <c r="I321" t="str">
        <f>_xlfn.LET(
  _xlpm.result, _xlfn.XLOOKUP($B321, Result_Database!$A$2:$A$500, Result_Database!H$2:H$500),
  _xlfn.IFNA(_xlpm.result, "")
)</f>
        <v/>
      </c>
      <c r="J321" t="str">
        <f>_xlfn.LET(
  _xlpm.result, _xlfn.XLOOKUP($B321, Result_Database!$A$2:$A$500, Result_Database!I$2:I$500),
  _xlfn.IFNA(_xlpm.result, "")
)</f>
        <v/>
      </c>
      <c r="K321" t="str">
        <f>_xlfn.LET(
  _xlpm.result, _xlfn.XLOOKUP($B321, Result_Database!$A$2:$A$500, Result_Database!J$2:J$500),
  _xlfn.IFNA(_xlpm.result, "")
)</f>
        <v/>
      </c>
      <c r="L321" t="str">
        <f>_xlfn.LET(
  _xlpm.result, _xlfn.XLOOKUP($B321, Result_Database!$A$2:$A$500, Result_Database!K$2:K$500),
  _xlfn.IFNA(_xlpm.result, "")
)</f>
        <v/>
      </c>
      <c r="M321" t="str">
        <f>_xlfn.LET(
  _xlpm.result, _xlfn.XLOOKUP($B321, Result_Database!$A$2:$A$500, Result_Database!L$2:L$500),
  _xlfn.IFNA(_xlpm.result, "")
)</f>
        <v/>
      </c>
      <c r="N321" t="str">
        <f>_xlfn.LET(
  _xlpm.result, _xlfn.XLOOKUP($B321, Result_Database!$A$2:$A$500, Result_Database!M$2:M$500),
  _xlfn.IFNA(_xlpm.result, "")
)</f>
        <v/>
      </c>
      <c r="O321" t="str">
        <f>_xlfn.LET(
  _xlpm.result, _xlfn.XLOOKUP($B321, Result_Database!$A$2:$A$500, Result_Database!N$2:N$500),
  _xlfn.IFNA(_xlpm.result, "")
)</f>
        <v/>
      </c>
      <c r="P321" t="str">
        <f>_xlfn.LET(
  _xlpm.result, _xlfn.XLOOKUP($B321, Result_Database!$A$2:$A$500, Result_Database!O$2:O$500),
  _xlfn.IFNA(_xlpm.result, "")
)</f>
        <v/>
      </c>
      <c r="Q321" t="str">
        <f>_xlfn.LET(
  _xlpm.result, _xlfn.XLOOKUP($B321, Result_Database!$A$2:$A$500, Result_Database!P$2:P$500),
  _xlfn.IFNA(_xlpm.result, "")
)</f>
        <v/>
      </c>
      <c r="R321" t="str">
        <f>_xlfn.LET(
  _xlpm.result, _xlfn.XLOOKUP($B321, Result_Database!$A$2:$A$500, Result_Database!Q$2:Q$500),
  _xlfn.IFNA(_xlpm.result, "")
)</f>
        <v/>
      </c>
      <c r="S321" t="str">
        <f>_xlfn.LET(
  _xlpm.result, _xlfn.XLOOKUP($B321, Result_Database!$A$2:$A$500, Result_Database!R$2:R$500),
  _xlfn.IFNA(_xlpm.result, "")
)</f>
        <v/>
      </c>
      <c r="T321" t="str">
        <f>_xlfn.LET(
  _xlpm.result, _xlfn.XLOOKUP($B321, Result_Database!$A$2:$A$500, Result_Database!S$2:S$500),
  _xlfn.IFNA(_xlpm.result, "")
)</f>
        <v/>
      </c>
      <c r="U321" t="str">
        <f>_xlfn.LET(
  _xlpm.result, _xlfn.XLOOKUP($B321, Result_Database!$A$2:$A$500, Result_Database!T$2:T$500),
  _xlfn.IFNA(_xlpm.result, "")
)</f>
        <v/>
      </c>
      <c r="V321" t="str">
        <f>_xlfn.LET(
  _xlpm.result, _xlfn.XLOOKUP($B321, Result_Database!$A$2:$A$500, Result_Database!U$2:U$500),
  _xlfn.IFNA(_xlpm.result, "")
)</f>
        <v/>
      </c>
      <c r="W321" t="str">
        <f>_xlfn.LET(
  _xlpm.result, _xlfn.XLOOKUP($B321, Result_Database!$A$2:$A$500, Result_Database!V$2:V$500),
  _xlfn.IFNA(_xlpm.result, "")
)</f>
        <v/>
      </c>
      <c r="X321" t="str">
        <f>_xlfn.LET(
  _xlpm.result, _xlfn.XLOOKUP($B321, Result_Database!$A$2:$A$500, Result_Database!W$2:W$500),
  _xlfn.IFNA(_xlpm.result, "")
)</f>
        <v/>
      </c>
      <c r="Y321" t="str">
        <f>_xlfn.LET(
  _xlpm.result, _xlfn.XLOOKUP($B321, Result_Database!$A$2:$A$500, Result_Database!X$2:X$500),
  _xlfn.IFNA(_xlpm.result, "")
)</f>
        <v/>
      </c>
      <c r="Z321" t="str">
        <f>_xlfn.LET(
  _xlpm.result, _xlfn.XLOOKUP($B321, Result_Database!$A$2:$A$500, Result_Database!Y$2:Y$500),
  _xlfn.IFNA(_xlpm.result, "")
)</f>
        <v/>
      </c>
      <c r="AA321" t="str">
        <f>_xlfn.LET(
  _xlpm.result, _xlfn.XLOOKUP($B321, Result_Database!$A$2:$A$500, Result_Database!Z$2:Z$500),
  _xlfn.IFNA(_xlpm.result, "")
)</f>
        <v/>
      </c>
      <c r="AB321" t="str">
        <f>_xlfn.LET(
  _xlpm.result, _xlfn.XLOOKUP($B321, Result_Database!$A$2:$A$500, Result_Database!AA$2:AA$500),
  _xlfn.IFNA(_xlpm.result, "")
)</f>
        <v/>
      </c>
      <c r="AC321" t="str">
        <f>_xlfn.LET(
  _xlpm.result, _xlfn.XLOOKUP($B321, Result_Database!$A$2:$A$500, Result_Database!AB$2:AB$500),
  _xlfn.IFNA(_xlpm.result, "")
)</f>
        <v/>
      </c>
      <c r="AD321" t="str">
        <f>_xlfn.LET(
  _xlpm.result, _xlfn.XLOOKUP($B321, Result_Database!$A$2:$A$500, Result_Database!AC$2:AC$500),
  _xlfn.IFNA(_xlpm.result, "")
)</f>
        <v/>
      </c>
      <c r="AE321" t="str">
        <f>_xlfn.LET(
  _xlpm.result, _xlfn.XLOOKUP($B321, Result_Database!$A$2:$A$500, Result_Database!AD$2:AD$500),
  _xlfn.IFNA(_xlpm.result, "")
)</f>
        <v/>
      </c>
      <c r="AF321" t="str">
        <f>_xlfn.LET(
  _xlpm.result, _xlfn.XLOOKUP($B321, Result_Database!$A$2:$A$500, Result_Database!AE$2:AE$500),
  _xlfn.IFNA(_xlpm.result, "")
)</f>
        <v/>
      </c>
      <c r="AG321" t="str">
        <f>_xlfn.LET(
  _xlpm.result, _xlfn.XLOOKUP($B321, Result_Database!$A$2:$A$500, Result_Database!AF$2:AF$500),
  _xlfn.IFNA(_xlpm.result, "")
)</f>
        <v/>
      </c>
      <c r="AH321" t="str">
        <f>_xlfn.LET(
  _xlpm.result, _xlfn.XLOOKUP($B321, Result_Database!$A$2:$A$500, Result_Database!AG$2:AG$500),
  _xlfn.IFNA(_xlpm.result, "")
)</f>
        <v/>
      </c>
      <c r="AI321" t="str">
        <f>_xlfn.LET(
  _xlpm.result, _xlfn.XLOOKUP($B321, Result_Database!$A$2:$A$500, Result_Database!AH$2:AH$500),
  _xlfn.IFNA(_xlpm.result, "")
)</f>
        <v/>
      </c>
      <c r="AJ321" t="str">
        <f>_xlfn.LET(
  _xlpm.result, _xlfn.XLOOKUP($B321, Result_Database!$A$2:$A$500, Result_Database!AI$2:AI$500),
  _xlfn.IFNA(_xlpm.result, "")
)</f>
        <v/>
      </c>
      <c r="AK321" t="str">
        <f>_xlfn.LET(
  _xlpm.result, _xlfn.XLOOKUP($B321, Result_Database!$A$2:$A$500, Result_Database!AJ$2:AJ$500),
  _xlfn.IFNA(_xlpm.result, "")
)</f>
        <v/>
      </c>
      <c r="AL321" t="str">
        <f>_xlfn.LET(
  _xlpm.result, _xlfn.XLOOKUP($B321, Result_Database!$A$2:$A$500, Result_Database!AK$2:AK$500),
  _xlfn.IFNA(_xlpm.result, "")
)</f>
        <v/>
      </c>
      <c r="AM32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2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2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2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2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2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2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2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2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21" t="str">
        <f>IF(SUM(Table5[[#This Row],[A1]:[C6]])&lt;&gt;0,SUM(Table5[[#This Row],[A1]:[C6]]),"")</f>
        <v/>
      </c>
      <c r="AW321" t="str">
        <f>IF(SUM(Table5[[#This Row],[D7]:[F9]])=0,"",SUM(Table5[[#This Row],[D7]:[F9]]))</f>
        <v/>
      </c>
      <c r="AX32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2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2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2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2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2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21" t="str">
        <f>IF(COUNTIF(Table5[[#This Row],[English Language]:[Electrical/ Electronics]],"WITHHELD")=0,"",COUNTIF(Table5[[#This Row],[English Language]:[Electrical/ Electronics]],"WITHHELD"))</f>
        <v/>
      </c>
      <c r="BE321" t="str">
        <f>IF(SUM(Table5[[#This Row],[NO OF CREDITS]:[BELOW CREDITS]])=0,"",SUM(Table5[[#This Row],[NO OF CREDITS]:[BELOW CREDITS]]))</f>
        <v/>
      </c>
    </row>
    <row r="322" spans="1:57" x14ac:dyDescent="0.3">
      <c r="A322" t="str">
        <f>IF(B322&lt;&gt;"",COUNTA($B$6:B322),"")</f>
        <v/>
      </c>
      <c r="B322" t="str">
        <f>IF(Result_Database!A318="","",Result_Database!A318)</f>
        <v/>
      </c>
      <c r="C322" t="str">
        <f>_xlfn.LET(
_xlpm.result,_xlfn.XLOOKUP($B322,Result_Database!$A$2:$A$500,Result_Database!$B$2:$B$500),
_xlfn.IFNA(_xlpm.result,"")
)</f>
        <v/>
      </c>
      <c r="D322" t="str">
        <f>_xlfn.LET(
  _xlpm.result, _xlfn.XLOOKUP($B322, Result_Database!$A$2:$A$500, Result_Database!C$2:C$500),
  _xlfn.IFNA(_xlpm.result, "")
)</f>
        <v/>
      </c>
      <c r="E322" t="str">
        <f>_xlfn.LET(
  _xlpm.result, _xlfn.XLOOKUP($B322, Result_Database!$A$2:$A$500, Result_Database!D$2:D$500),
  _xlfn.IFNA(_xlpm.result, "")
)</f>
        <v/>
      </c>
      <c r="F322" t="str">
        <f>_xlfn.LET(
  _xlpm.result, _xlfn.XLOOKUP($B322, Result_Database!$A$2:$A$500, Result_Database!E$2:E$500),
  _xlfn.IFNA(_xlpm.result, "")
)</f>
        <v/>
      </c>
      <c r="G322" t="str">
        <f>_xlfn.LET(
  _xlpm.result, _xlfn.XLOOKUP($B322, Result_Database!$A$2:$A$500, Result_Database!F$2:F$500),
  _xlfn.IFNA(_xlpm.result, "")
)</f>
        <v/>
      </c>
      <c r="H322" t="str">
        <f>_xlfn.LET(
  _xlpm.result, _xlfn.XLOOKUP($B322, Result_Database!$A$2:$A$500, Result_Database!G$2:G$500),
  _xlfn.IFNA(_xlpm.result, "")
)</f>
        <v/>
      </c>
      <c r="I322" t="str">
        <f>_xlfn.LET(
  _xlpm.result, _xlfn.XLOOKUP($B322, Result_Database!$A$2:$A$500, Result_Database!H$2:H$500),
  _xlfn.IFNA(_xlpm.result, "")
)</f>
        <v/>
      </c>
      <c r="J322" t="str">
        <f>_xlfn.LET(
  _xlpm.result, _xlfn.XLOOKUP($B322, Result_Database!$A$2:$A$500, Result_Database!I$2:I$500),
  _xlfn.IFNA(_xlpm.result, "")
)</f>
        <v/>
      </c>
      <c r="K322" t="str">
        <f>_xlfn.LET(
  _xlpm.result, _xlfn.XLOOKUP($B322, Result_Database!$A$2:$A$500, Result_Database!J$2:J$500),
  _xlfn.IFNA(_xlpm.result, "")
)</f>
        <v/>
      </c>
      <c r="L322" t="str">
        <f>_xlfn.LET(
  _xlpm.result, _xlfn.XLOOKUP($B322, Result_Database!$A$2:$A$500, Result_Database!K$2:K$500),
  _xlfn.IFNA(_xlpm.result, "")
)</f>
        <v/>
      </c>
      <c r="M322" t="str">
        <f>_xlfn.LET(
  _xlpm.result, _xlfn.XLOOKUP($B322, Result_Database!$A$2:$A$500, Result_Database!L$2:L$500),
  _xlfn.IFNA(_xlpm.result, "")
)</f>
        <v/>
      </c>
      <c r="N322" t="str">
        <f>_xlfn.LET(
  _xlpm.result, _xlfn.XLOOKUP($B322, Result_Database!$A$2:$A$500, Result_Database!M$2:M$500),
  _xlfn.IFNA(_xlpm.result, "")
)</f>
        <v/>
      </c>
      <c r="O322" t="str">
        <f>_xlfn.LET(
  _xlpm.result, _xlfn.XLOOKUP($B322, Result_Database!$A$2:$A$500, Result_Database!N$2:N$500),
  _xlfn.IFNA(_xlpm.result, "")
)</f>
        <v/>
      </c>
      <c r="P322" t="str">
        <f>_xlfn.LET(
  _xlpm.result, _xlfn.XLOOKUP($B322, Result_Database!$A$2:$A$500, Result_Database!O$2:O$500),
  _xlfn.IFNA(_xlpm.result, "")
)</f>
        <v/>
      </c>
      <c r="Q322" t="str">
        <f>_xlfn.LET(
  _xlpm.result, _xlfn.XLOOKUP($B322, Result_Database!$A$2:$A$500, Result_Database!P$2:P$500),
  _xlfn.IFNA(_xlpm.result, "")
)</f>
        <v/>
      </c>
      <c r="R322" t="str">
        <f>_xlfn.LET(
  _xlpm.result, _xlfn.XLOOKUP($B322, Result_Database!$A$2:$A$500, Result_Database!Q$2:Q$500),
  _xlfn.IFNA(_xlpm.result, "")
)</f>
        <v/>
      </c>
      <c r="S322" t="str">
        <f>_xlfn.LET(
  _xlpm.result, _xlfn.XLOOKUP($B322, Result_Database!$A$2:$A$500, Result_Database!R$2:R$500),
  _xlfn.IFNA(_xlpm.result, "")
)</f>
        <v/>
      </c>
      <c r="T322" t="str">
        <f>_xlfn.LET(
  _xlpm.result, _xlfn.XLOOKUP($B322, Result_Database!$A$2:$A$500, Result_Database!S$2:S$500),
  _xlfn.IFNA(_xlpm.result, "")
)</f>
        <v/>
      </c>
      <c r="U322" t="str">
        <f>_xlfn.LET(
  _xlpm.result, _xlfn.XLOOKUP($B322, Result_Database!$A$2:$A$500, Result_Database!T$2:T$500),
  _xlfn.IFNA(_xlpm.result, "")
)</f>
        <v/>
      </c>
      <c r="V322" t="str">
        <f>_xlfn.LET(
  _xlpm.result, _xlfn.XLOOKUP($B322, Result_Database!$A$2:$A$500, Result_Database!U$2:U$500),
  _xlfn.IFNA(_xlpm.result, "")
)</f>
        <v/>
      </c>
      <c r="W322" t="str">
        <f>_xlfn.LET(
  _xlpm.result, _xlfn.XLOOKUP($B322, Result_Database!$A$2:$A$500, Result_Database!V$2:V$500),
  _xlfn.IFNA(_xlpm.result, "")
)</f>
        <v/>
      </c>
      <c r="X322" t="str">
        <f>_xlfn.LET(
  _xlpm.result, _xlfn.XLOOKUP($B322, Result_Database!$A$2:$A$500, Result_Database!W$2:W$500),
  _xlfn.IFNA(_xlpm.result, "")
)</f>
        <v/>
      </c>
      <c r="Y322" t="str">
        <f>_xlfn.LET(
  _xlpm.result, _xlfn.XLOOKUP($B322, Result_Database!$A$2:$A$500, Result_Database!X$2:X$500),
  _xlfn.IFNA(_xlpm.result, "")
)</f>
        <v/>
      </c>
      <c r="Z322" t="str">
        <f>_xlfn.LET(
  _xlpm.result, _xlfn.XLOOKUP($B322, Result_Database!$A$2:$A$500, Result_Database!Y$2:Y$500),
  _xlfn.IFNA(_xlpm.result, "")
)</f>
        <v/>
      </c>
      <c r="AA322" t="str">
        <f>_xlfn.LET(
  _xlpm.result, _xlfn.XLOOKUP($B322, Result_Database!$A$2:$A$500, Result_Database!Z$2:Z$500),
  _xlfn.IFNA(_xlpm.result, "")
)</f>
        <v/>
      </c>
      <c r="AB322" t="str">
        <f>_xlfn.LET(
  _xlpm.result, _xlfn.XLOOKUP($B322, Result_Database!$A$2:$A$500, Result_Database!AA$2:AA$500),
  _xlfn.IFNA(_xlpm.result, "")
)</f>
        <v/>
      </c>
      <c r="AC322" t="str">
        <f>_xlfn.LET(
  _xlpm.result, _xlfn.XLOOKUP($B322, Result_Database!$A$2:$A$500, Result_Database!AB$2:AB$500),
  _xlfn.IFNA(_xlpm.result, "")
)</f>
        <v/>
      </c>
      <c r="AD322" t="str">
        <f>_xlfn.LET(
  _xlpm.result, _xlfn.XLOOKUP($B322, Result_Database!$A$2:$A$500, Result_Database!AC$2:AC$500),
  _xlfn.IFNA(_xlpm.result, "")
)</f>
        <v/>
      </c>
      <c r="AE322" t="str">
        <f>_xlfn.LET(
  _xlpm.result, _xlfn.XLOOKUP($B322, Result_Database!$A$2:$A$500, Result_Database!AD$2:AD$500),
  _xlfn.IFNA(_xlpm.result, "")
)</f>
        <v/>
      </c>
      <c r="AF322" t="str">
        <f>_xlfn.LET(
  _xlpm.result, _xlfn.XLOOKUP($B322, Result_Database!$A$2:$A$500, Result_Database!AE$2:AE$500),
  _xlfn.IFNA(_xlpm.result, "")
)</f>
        <v/>
      </c>
      <c r="AG322" t="str">
        <f>_xlfn.LET(
  _xlpm.result, _xlfn.XLOOKUP($B322, Result_Database!$A$2:$A$500, Result_Database!AF$2:AF$500),
  _xlfn.IFNA(_xlpm.result, "")
)</f>
        <v/>
      </c>
      <c r="AH322" t="str">
        <f>_xlfn.LET(
  _xlpm.result, _xlfn.XLOOKUP($B322, Result_Database!$A$2:$A$500, Result_Database!AG$2:AG$500),
  _xlfn.IFNA(_xlpm.result, "")
)</f>
        <v/>
      </c>
      <c r="AI322" t="str">
        <f>_xlfn.LET(
  _xlpm.result, _xlfn.XLOOKUP($B322, Result_Database!$A$2:$A$500, Result_Database!AH$2:AH$500),
  _xlfn.IFNA(_xlpm.result, "")
)</f>
        <v/>
      </c>
      <c r="AJ322" t="str">
        <f>_xlfn.LET(
  _xlpm.result, _xlfn.XLOOKUP($B322, Result_Database!$A$2:$A$500, Result_Database!AI$2:AI$500),
  _xlfn.IFNA(_xlpm.result, "")
)</f>
        <v/>
      </c>
      <c r="AK322" t="str">
        <f>_xlfn.LET(
  _xlpm.result, _xlfn.XLOOKUP($B322, Result_Database!$A$2:$A$500, Result_Database!AJ$2:AJ$500),
  _xlfn.IFNA(_xlpm.result, "")
)</f>
        <v/>
      </c>
      <c r="AL322" t="str">
        <f>_xlfn.LET(
  _xlpm.result, _xlfn.XLOOKUP($B322, Result_Database!$A$2:$A$500, Result_Database!AK$2:AK$500),
  _xlfn.IFNA(_xlpm.result, "")
)</f>
        <v/>
      </c>
      <c r="AM32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2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2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2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2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2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2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2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2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22" t="str">
        <f>IF(SUM(Table5[[#This Row],[A1]:[C6]])&lt;&gt;0,SUM(Table5[[#This Row],[A1]:[C6]]),"")</f>
        <v/>
      </c>
      <c r="AW322" t="str">
        <f>IF(SUM(Table5[[#This Row],[D7]:[F9]])=0,"",SUM(Table5[[#This Row],[D7]:[F9]]))</f>
        <v/>
      </c>
      <c r="AX32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2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2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2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2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2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22" t="str">
        <f>IF(COUNTIF(Table5[[#This Row],[English Language]:[Electrical/ Electronics]],"WITHHELD")=0,"",COUNTIF(Table5[[#This Row],[English Language]:[Electrical/ Electronics]],"WITHHELD"))</f>
        <v/>
      </c>
      <c r="BE322" t="str">
        <f>IF(SUM(Table5[[#This Row],[NO OF CREDITS]:[BELOW CREDITS]])=0,"",SUM(Table5[[#This Row],[NO OF CREDITS]:[BELOW CREDITS]]))</f>
        <v/>
      </c>
    </row>
    <row r="323" spans="1:57" x14ac:dyDescent="0.3">
      <c r="A323" t="str">
        <f>IF(B323&lt;&gt;"",COUNTA($B$6:B323),"")</f>
        <v/>
      </c>
      <c r="B323" t="str">
        <f>IF(Result_Database!A319="","",Result_Database!A319)</f>
        <v/>
      </c>
      <c r="C323" t="str">
        <f>_xlfn.LET(
_xlpm.result,_xlfn.XLOOKUP($B323,Result_Database!$A$2:$A$500,Result_Database!$B$2:$B$500),
_xlfn.IFNA(_xlpm.result,"")
)</f>
        <v/>
      </c>
      <c r="D323" t="str">
        <f>_xlfn.LET(
  _xlpm.result, _xlfn.XLOOKUP($B323, Result_Database!$A$2:$A$500, Result_Database!C$2:C$500),
  _xlfn.IFNA(_xlpm.result, "")
)</f>
        <v/>
      </c>
      <c r="E323" t="str">
        <f>_xlfn.LET(
  _xlpm.result, _xlfn.XLOOKUP($B323, Result_Database!$A$2:$A$500, Result_Database!D$2:D$500),
  _xlfn.IFNA(_xlpm.result, "")
)</f>
        <v/>
      </c>
      <c r="F323" t="str">
        <f>_xlfn.LET(
  _xlpm.result, _xlfn.XLOOKUP($B323, Result_Database!$A$2:$A$500, Result_Database!E$2:E$500),
  _xlfn.IFNA(_xlpm.result, "")
)</f>
        <v/>
      </c>
      <c r="G323" t="str">
        <f>_xlfn.LET(
  _xlpm.result, _xlfn.XLOOKUP($B323, Result_Database!$A$2:$A$500, Result_Database!F$2:F$500),
  _xlfn.IFNA(_xlpm.result, "")
)</f>
        <v/>
      </c>
      <c r="H323" t="str">
        <f>_xlfn.LET(
  _xlpm.result, _xlfn.XLOOKUP($B323, Result_Database!$A$2:$A$500, Result_Database!G$2:G$500),
  _xlfn.IFNA(_xlpm.result, "")
)</f>
        <v/>
      </c>
      <c r="I323" t="str">
        <f>_xlfn.LET(
  _xlpm.result, _xlfn.XLOOKUP($B323, Result_Database!$A$2:$A$500, Result_Database!H$2:H$500),
  _xlfn.IFNA(_xlpm.result, "")
)</f>
        <v/>
      </c>
      <c r="J323" t="str">
        <f>_xlfn.LET(
  _xlpm.result, _xlfn.XLOOKUP($B323, Result_Database!$A$2:$A$500, Result_Database!I$2:I$500),
  _xlfn.IFNA(_xlpm.result, "")
)</f>
        <v/>
      </c>
      <c r="K323" t="str">
        <f>_xlfn.LET(
  _xlpm.result, _xlfn.XLOOKUP($B323, Result_Database!$A$2:$A$500, Result_Database!J$2:J$500),
  _xlfn.IFNA(_xlpm.result, "")
)</f>
        <v/>
      </c>
      <c r="L323" t="str">
        <f>_xlfn.LET(
  _xlpm.result, _xlfn.XLOOKUP($B323, Result_Database!$A$2:$A$500, Result_Database!K$2:K$500),
  _xlfn.IFNA(_xlpm.result, "")
)</f>
        <v/>
      </c>
      <c r="M323" t="str">
        <f>_xlfn.LET(
  _xlpm.result, _xlfn.XLOOKUP($B323, Result_Database!$A$2:$A$500, Result_Database!L$2:L$500),
  _xlfn.IFNA(_xlpm.result, "")
)</f>
        <v/>
      </c>
      <c r="N323" t="str">
        <f>_xlfn.LET(
  _xlpm.result, _xlfn.XLOOKUP($B323, Result_Database!$A$2:$A$500, Result_Database!M$2:M$500),
  _xlfn.IFNA(_xlpm.result, "")
)</f>
        <v/>
      </c>
      <c r="O323" t="str">
        <f>_xlfn.LET(
  _xlpm.result, _xlfn.XLOOKUP($B323, Result_Database!$A$2:$A$500, Result_Database!N$2:N$500),
  _xlfn.IFNA(_xlpm.result, "")
)</f>
        <v/>
      </c>
      <c r="P323" t="str">
        <f>_xlfn.LET(
  _xlpm.result, _xlfn.XLOOKUP($B323, Result_Database!$A$2:$A$500, Result_Database!O$2:O$500),
  _xlfn.IFNA(_xlpm.result, "")
)</f>
        <v/>
      </c>
      <c r="Q323" t="str">
        <f>_xlfn.LET(
  _xlpm.result, _xlfn.XLOOKUP($B323, Result_Database!$A$2:$A$500, Result_Database!P$2:P$500),
  _xlfn.IFNA(_xlpm.result, "")
)</f>
        <v/>
      </c>
      <c r="R323" t="str">
        <f>_xlfn.LET(
  _xlpm.result, _xlfn.XLOOKUP($B323, Result_Database!$A$2:$A$500, Result_Database!Q$2:Q$500),
  _xlfn.IFNA(_xlpm.result, "")
)</f>
        <v/>
      </c>
      <c r="S323" t="str">
        <f>_xlfn.LET(
  _xlpm.result, _xlfn.XLOOKUP($B323, Result_Database!$A$2:$A$500, Result_Database!R$2:R$500),
  _xlfn.IFNA(_xlpm.result, "")
)</f>
        <v/>
      </c>
      <c r="T323" t="str">
        <f>_xlfn.LET(
  _xlpm.result, _xlfn.XLOOKUP($B323, Result_Database!$A$2:$A$500, Result_Database!S$2:S$500),
  _xlfn.IFNA(_xlpm.result, "")
)</f>
        <v/>
      </c>
      <c r="U323" t="str">
        <f>_xlfn.LET(
  _xlpm.result, _xlfn.XLOOKUP($B323, Result_Database!$A$2:$A$500, Result_Database!T$2:T$500),
  _xlfn.IFNA(_xlpm.result, "")
)</f>
        <v/>
      </c>
      <c r="V323" t="str">
        <f>_xlfn.LET(
  _xlpm.result, _xlfn.XLOOKUP($B323, Result_Database!$A$2:$A$500, Result_Database!U$2:U$500),
  _xlfn.IFNA(_xlpm.result, "")
)</f>
        <v/>
      </c>
      <c r="W323" t="str">
        <f>_xlfn.LET(
  _xlpm.result, _xlfn.XLOOKUP($B323, Result_Database!$A$2:$A$500, Result_Database!V$2:V$500),
  _xlfn.IFNA(_xlpm.result, "")
)</f>
        <v/>
      </c>
      <c r="X323" t="str">
        <f>_xlfn.LET(
  _xlpm.result, _xlfn.XLOOKUP($B323, Result_Database!$A$2:$A$500, Result_Database!W$2:W$500),
  _xlfn.IFNA(_xlpm.result, "")
)</f>
        <v/>
      </c>
      <c r="Y323" t="str">
        <f>_xlfn.LET(
  _xlpm.result, _xlfn.XLOOKUP($B323, Result_Database!$A$2:$A$500, Result_Database!X$2:X$500),
  _xlfn.IFNA(_xlpm.result, "")
)</f>
        <v/>
      </c>
      <c r="Z323" t="str">
        <f>_xlfn.LET(
  _xlpm.result, _xlfn.XLOOKUP($B323, Result_Database!$A$2:$A$500, Result_Database!Y$2:Y$500),
  _xlfn.IFNA(_xlpm.result, "")
)</f>
        <v/>
      </c>
      <c r="AA323" t="str">
        <f>_xlfn.LET(
  _xlpm.result, _xlfn.XLOOKUP($B323, Result_Database!$A$2:$A$500, Result_Database!Z$2:Z$500),
  _xlfn.IFNA(_xlpm.result, "")
)</f>
        <v/>
      </c>
      <c r="AB323" t="str">
        <f>_xlfn.LET(
  _xlpm.result, _xlfn.XLOOKUP($B323, Result_Database!$A$2:$A$500, Result_Database!AA$2:AA$500),
  _xlfn.IFNA(_xlpm.result, "")
)</f>
        <v/>
      </c>
      <c r="AC323" t="str">
        <f>_xlfn.LET(
  _xlpm.result, _xlfn.XLOOKUP($B323, Result_Database!$A$2:$A$500, Result_Database!AB$2:AB$500),
  _xlfn.IFNA(_xlpm.result, "")
)</f>
        <v/>
      </c>
      <c r="AD323" t="str">
        <f>_xlfn.LET(
  _xlpm.result, _xlfn.XLOOKUP($B323, Result_Database!$A$2:$A$500, Result_Database!AC$2:AC$500),
  _xlfn.IFNA(_xlpm.result, "")
)</f>
        <v/>
      </c>
      <c r="AE323" t="str">
        <f>_xlfn.LET(
  _xlpm.result, _xlfn.XLOOKUP($B323, Result_Database!$A$2:$A$500, Result_Database!AD$2:AD$500),
  _xlfn.IFNA(_xlpm.result, "")
)</f>
        <v/>
      </c>
      <c r="AF323" t="str">
        <f>_xlfn.LET(
  _xlpm.result, _xlfn.XLOOKUP($B323, Result_Database!$A$2:$A$500, Result_Database!AE$2:AE$500),
  _xlfn.IFNA(_xlpm.result, "")
)</f>
        <v/>
      </c>
      <c r="AG323" t="str">
        <f>_xlfn.LET(
  _xlpm.result, _xlfn.XLOOKUP($B323, Result_Database!$A$2:$A$500, Result_Database!AF$2:AF$500),
  _xlfn.IFNA(_xlpm.result, "")
)</f>
        <v/>
      </c>
      <c r="AH323" t="str">
        <f>_xlfn.LET(
  _xlpm.result, _xlfn.XLOOKUP($B323, Result_Database!$A$2:$A$500, Result_Database!AG$2:AG$500),
  _xlfn.IFNA(_xlpm.result, "")
)</f>
        <v/>
      </c>
      <c r="AI323" t="str">
        <f>_xlfn.LET(
  _xlpm.result, _xlfn.XLOOKUP($B323, Result_Database!$A$2:$A$500, Result_Database!AH$2:AH$500),
  _xlfn.IFNA(_xlpm.result, "")
)</f>
        <v/>
      </c>
      <c r="AJ323" t="str">
        <f>_xlfn.LET(
  _xlpm.result, _xlfn.XLOOKUP($B323, Result_Database!$A$2:$A$500, Result_Database!AI$2:AI$500),
  _xlfn.IFNA(_xlpm.result, "")
)</f>
        <v/>
      </c>
      <c r="AK323" t="str">
        <f>_xlfn.LET(
  _xlpm.result, _xlfn.XLOOKUP($B323, Result_Database!$A$2:$A$500, Result_Database!AJ$2:AJ$500),
  _xlfn.IFNA(_xlpm.result, "")
)</f>
        <v/>
      </c>
      <c r="AL323" t="str">
        <f>_xlfn.LET(
  _xlpm.result, _xlfn.XLOOKUP($B323, Result_Database!$A$2:$A$500, Result_Database!AK$2:AK$500),
  _xlfn.IFNA(_xlpm.result, "")
)</f>
        <v/>
      </c>
      <c r="AM32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2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2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2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2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2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2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2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2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23" t="str">
        <f>IF(SUM(Table5[[#This Row],[A1]:[C6]])&lt;&gt;0,SUM(Table5[[#This Row],[A1]:[C6]]),"")</f>
        <v/>
      </c>
      <c r="AW323" t="str">
        <f>IF(SUM(Table5[[#This Row],[D7]:[F9]])=0,"",SUM(Table5[[#This Row],[D7]:[F9]]))</f>
        <v/>
      </c>
      <c r="AX32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2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2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2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2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2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23" t="str">
        <f>IF(COUNTIF(Table5[[#This Row],[English Language]:[Electrical/ Electronics]],"WITHHELD")=0,"",COUNTIF(Table5[[#This Row],[English Language]:[Electrical/ Electronics]],"WITHHELD"))</f>
        <v/>
      </c>
      <c r="BE323" t="str">
        <f>IF(SUM(Table5[[#This Row],[NO OF CREDITS]:[BELOW CREDITS]])=0,"",SUM(Table5[[#This Row],[NO OF CREDITS]:[BELOW CREDITS]]))</f>
        <v/>
      </c>
    </row>
    <row r="324" spans="1:57" x14ac:dyDescent="0.3">
      <c r="A324" t="str">
        <f>IF(B324&lt;&gt;"",COUNTA($B$6:B324),"")</f>
        <v/>
      </c>
      <c r="B324" t="str">
        <f>IF(Result_Database!A320="","",Result_Database!A320)</f>
        <v/>
      </c>
      <c r="C324" t="str">
        <f>_xlfn.LET(
_xlpm.result,_xlfn.XLOOKUP($B324,Result_Database!$A$2:$A$500,Result_Database!$B$2:$B$500),
_xlfn.IFNA(_xlpm.result,"")
)</f>
        <v/>
      </c>
      <c r="D324" t="str">
        <f>_xlfn.LET(
  _xlpm.result, _xlfn.XLOOKUP($B324, Result_Database!$A$2:$A$500, Result_Database!C$2:C$500),
  _xlfn.IFNA(_xlpm.result, "")
)</f>
        <v/>
      </c>
      <c r="E324" t="str">
        <f>_xlfn.LET(
  _xlpm.result, _xlfn.XLOOKUP($B324, Result_Database!$A$2:$A$500, Result_Database!D$2:D$500),
  _xlfn.IFNA(_xlpm.result, "")
)</f>
        <v/>
      </c>
      <c r="F324" t="str">
        <f>_xlfn.LET(
  _xlpm.result, _xlfn.XLOOKUP($B324, Result_Database!$A$2:$A$500, Result_Database!E$2:E$500),
  _xlfn.IFNA(_xlpm.result, "")
)</f>
        <v/>
      </c>
      <c r="G324" t="str">
        <f>_xlfn.LET(
  _xlpm.result, _xlfn.XLOOKUP($B324, Result_Database!$A$2:$A$500, Result_Database!F$2:F$500),
  _xlfn.IFNA(_xlpm.result, "")
)</f>
        <v/>
      </c>
      <c r="H324" t="str">
        <f>_xlfn.LET(
  _xlpm.result, _xlfn.XLOOKUP($B324, Result_Database!$A$2:$A$500, Result_Database!G$2:G$500),
  _xlfn.IFNA(_xlpm.result, "")
)</f>
        <v/>
      </c>
      <c r="I324" t="str">
        <f>_xlfn.LET(
  _xlpm.result, _xlfn.XLOOKUP($B324, Result_Database!$A$2:$A$500, Result_Database!H$2:H$500),
  _xlfn.IFNA(_xlpm.result, "")
)</f>
        <v/>
      </c>
      <c r="J324" t="str">
        <f>_xlfn.LET(
  _xlpm.result, _xlfn.XLOOKUP($B324, Result_Database!$A$2:$A$500, Result_Database!I$2:I$500),
  _xlfn.IFNA(_xlpm.result, "")
)</f>
        <v/>
      </c>
      <c r="K324" t="str">
        <f>_xlfn.LET(
  _xlpm.result, _xlfn.XLOOKUP($B324, Result_Database!$A$2:$A$500, Result_Database!J$2:J$500),
  _xlfn.IFNA(_xlpm.result, "")
)</f>
        <v/>
      </c>
      <c r="L324" t="str">
        <f>_xlfn.LET(
  _xlpm.result, _xlfn.XLOOKUP($B324, Result_Database!$A$2:$A$500, Result_Database!K$2:K$500),
  _xlfn.IFNA(_xlpm.result, "")
)</f>
        <v/>
      </c>
      <c r="M324" t="str">
        <f>_xlfn.LET(
  _xlpm.result, _xlfn.XLOOKUP($B324, Result_Database!$A$2:$A$500, Result_Database!L$2:L$500),
  _xlfn.IFNA(_xlpm.result, "")
)</f>
        <v/>
      </c>
      <c r="N324" t="str">
        <f>_xlfn.LET(
  _xlpm.result, _xlfn.XLOOKUP($B324, Result_Database!$A$2:$A$500, Result_Database!M$2:M$500),
  _xlfn.IFNA(_xlpm.result, "")
)</f>
        <v/>
      </c>
      <c r="O324" t="str">
        <f>_xlfn.LET(
  _xlpm.result, _xlfn.XLOOKUP($B324, Result_Database!$A$2:$A$500, Result_Database!N$2:N$500),
  _xlfn.IFNA(_xlpm.result, "")
)</f>
        <v/>
      </c>
      <c r="P324" t="str">
        <f>_xlfn.LET(
  _xlpm.result, _xlfn.XLOOKUP($B324, Result_Database!$A$2:$A$500, Result_Database!O$2:O$500),
  _xlfn.IFNA(_xlpm.result, "")
)</f>
        <v/>
      </c>
      <c r="Q324" t="str">
        <f>_xlfn.LET(
  _xlpm.result, _xlfn.XLOOKUP($B324, Result_Database!$A$2:$A$500, Result_Database!P$2:P$500),
  _xlfn.IFNA(_xlpm.result, "")
)</f>
        <v/>
      </c>
      <c r="R324" t="str">
        <f>_xlfn.LET(
  _xlpm.result, _xlfn.XLOOKUP($B324, Result_Database!$A$2:$A$500, Result_Database!Q$2:Q$500),
  _xlfn.IFNA(_xlpm.result, "")
)</f>
        <v/>
      </c>
      <c r="S324" t="str">
        <f>_xlfn.LET(
  _xlpm.result, _xlfn.XLOOKUP($B324, Result_Database!$A$2:$A$500, Result_Database!R$2:R$500),
  _xlfn.IFNA(_xlpm.result, "")
)</f>
        <v/>
      </c>
      <c r="T324" t="str">
        <f>_xlfn.LET(
  _xlpm.result, _xlfn.XLOOKUP($B324, Result_Database!$A$2:$A$500, Result_Database!S$2:S$500),
  _xlfn.IFNA(_xlpm.result, "")
)</f>
        <v/>
      </c>
      <c r="U324" t="str">
        <f>_xlfn.LET(
  _xlpm.result, _xlfn.XLOOKUP($B324, Result_Database!$A$2:$A$500, Result_Database!T$2:T$500),
  _xlfn.IFNA(_xlpm.result, "")
)</f>
        <v/>
      </c>
      <c r="V324" t="str">
        <f>_xlfn.LET(
  _xlpm.result, _xlfn.XLOOKUP($B324, Result_Database!$A$2:$A$500, Result_Database!U$2:U$500),
  _xlfn.IFNA(_xlpm.result, "")
)</f>
        <v/>
      </c>
      <c r="W324" t="str">
        <f>_xlfn.LET(
  _xlpm.result, _xlfn.XLOOKUP($B324, Result_Database!$A$2:$A$500, Result_Database!V$2:V$500),
  _xlfn.IFNA(_xlpm.result, "")
)</f>
        <v/>
      </c>
      <c r="X324" t="str">
        <f>_xlfn.LET(
  _xlpm.result, _xlfn.XLOOKUP($B324, Result_Database!$A$2:$A$500, Result_Database!W$2:W$500),
  _xlfn.IFNA(_xlpm.result, "")
)</f>
        <v/>
      </c>
      <c r="Y324" t="str">
        <f>_xlfn.LET(
  _xlpm.result, _xlfn.XLOOKUP($B324, Result_Database!$A$2:$A$500, Result_Database!X$2:X$500),
  _xlfn.IFNA(_xlpm.result, "")
)</f>
        <v/>
      </c>
      <c r="Z324" t="str">
        <f>_xlfn.LET(
  _xlpm.result, _xlfn.XLOOKUP($B324, Result_Database!$A$2:$A$500, Result_Database!Y$2:Y$500),
  _xlfn.IFNA(_xlpm.result, "")
)</f>
        <v/>
      </c>
      <c r="AA324" t="str">
        <f>_xlfn.LET(
  _xlpm.result, _xlfn.XLOOKUP($B324, Result_Database!$A$2:$A$500, Result_Database!Z$2:Z$500),
  _xlfn.IFNA(_xlpm.result, "")
)</f>
        <v/>
      </c>
      <c r="AB324" t="str">
        <f>_xlfn.LET(
  _xlpm.result, _xlfn.XLOOKUP($B324, Result_Database!$A$2:$A$500, Result_Database!AA$2:AA$500),
  _xlfn.IFNA(_xlpm.result, "")
)</f>
        <v/>
      </c>
      <c r="AC324" t="str">
        <f>_xlfn.LET(
  _xlpm.result, _xlfn.XLOOKUP($B324, Result_Database!$A$2:$A$500, Result_Database!AB$2:AB$500),
  _xlfn.IFNA(_xlpm.result, "")
)</f>
        <v/>
      </c>
      <c r="AD324" t="str">
        <f>_xlfn.LET(
  _xlpm.result, _xlfn.XLOOKUP($B324, Result_Database!$A$2:$A$500, Result_Database!AC$2:AC$500),
  _xlfn.IFNA(_xlpm.result, "")
)</f>
        <v/>
      </c>
      <c r="AE324" t="str">
        <f>_xlfn.LET(
  _xlpm.result, _xlfn.XLOOKUP($B324, Result_Database!$A$2:$A$500, Result_Database!AD$2:AD$500),
  _xlfn.IFNA(_xlpm.result, "")
)</f>
        <v/>
      </c>
      <c r="AF324" t="str">
        <f>_xlfn.LET(
  _xlpm.result, _xlfn.XLOOKUP($B324, Result_Database!$A$2:$A$500, Result_Database!AE$2:AE$500),
  _xlfn.IFNA(_xlpm.result, "")
)</f>
        <v/>
      </c>
      <c r="AG324" t="str">
        <f>_xlfn.LET(
  _xlpm.result, _xlfn.XLOOKUP($B324, Result_Database!$A$2:$A$500, Result_Database!AF$2:AF$500),
  _xlfn.IFNA(_xlpm.result, "")
)</f>
        <v/>
      </c>
      <c r="AH324" t="str">
        <f>_xlfn.LET(
  _xlpm.result, _xlfn.XLOOKUP($B324, Result_Database!$A$2:$A$500, Result_Database!AG$2:AG$500),
  _xlfn.IFNA(_xlpm.result, "")
)</f>
        <v/>
      </c>
      <c r="AI324" t="str">
        <f>_xlfn.LET(
  _xlpm.result, _xlfn.XLOOKUP($B324, Result_Database!$A$2:$A$500, Result_Database!AH$2:AH$500),
  _xlfn.IFNA(_xlpm.result, "")
)</f>
        <v/>
      </c>
      <c r="AJ324" t="str">
        <f>_xlfn.LET(
  _xlpm.result, _xlfn.XLOOKUP($B324, Result_Database!$A$2:$A$500, Result_Database!AI$2:AI$500),
  _xlfn.IFNA(_xlpm.result, "")
)</f>
        <v/>
      </c>
      <c r="AK324" t="str">
        <f>_xlfn.LET(
  _xlpm.result, _xlfn.XLOOKUP($B324, Result_Database!$A$2:$A$500, Result_Database!AJ$2:AJ$500),
  _xlfn.IFNA(_xlpm.result, "")
)</f>
        <v/>
      </c>
      <c r="AL324" t="str">
        <f>_xlfn.LET(
  _xlpm.result, _xlfn.XLOOKUP($B324, Result_Database!$A$2:$A$500, Result_Database!AK$2:AK$500),
  _xlfn.IFNA(_xlpm.result, "")
)</f>
        <v/>
      </c>
      <c r="AM32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2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2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2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2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2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2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2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2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24" t="str">
        <f>IF(SUM(Table5[[#This Row],[A1]:[C6]])&lt;&gt;0,SUM(Table5[[#This Row],[A1]:[C6]]),"")</f>
        <v/>
      </c>
      <c r="AW324" t="str">
        <f>IF(SUM(Table5[[#This Row],[D7]:[F9]])=0,"",SUM(Table5[[#This Row],[D7]:[F9]]))</f>
        <v/>
      </c>
      <c r="AX32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2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2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2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2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2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24" t="str">
        <f>IF(COUNTIF(Table5[[#This Row],[English Language]:[Electrical/ Electronics]],"WITHHELD")=0,"",COUNTIF(Table5[[#This Row],[English Language]:[Electrical/ Electronics]],"WITHHELD"))</f>
        <v/>
      </c>
      <c r="BE324" t="str">
        <f>IF(SUM(Table5[[#This Row],[NO OF CREDITS]:[BELOW CREDITS]])=0,"",SUM(Table5[[#This Row],[NO OF CREDITS]:[BELOW CREDITS]]))</f>
        <v/>
      </c>
    </row>
    <row r="325" spans="1:57" x14ac:dyDescent="0.3">
      <c r="A325" t="str">
        <f>IF(B325&lt;&gt;"",COUNTA($B$6:B325),"")</f>
        <v/>
      </c>
      <c r="B325" t="str">
        <f>IF(Result_Database!A321="","",Result_Database!A321)</f>
        <v/>
      </c>
      <c r="C325" t="str">
        <f>_xlfn.LET(
_xlpm.result,_xlfn.XLOOKUP($B325,Result_Database!$A$2:$A$500,Result_Database!$B$2:$B$500),
_xlfn.IFNA(_xlpm.result,"")
)</f>
        <v/>
      </c>
      <c r="D325" t="str">
        <f>_xlfn.LET(
  _xlpm.result, _xlfn.XLOOKUP($B325, Result_Database!$A$2:$A$500, Result_Database!C$2:C$500),
  _xlfn.IFNA(_xlpm.result, "")
)</f>
        <v/>
      </c>
      <c r="E325" t="str">
        <f>_xlfn.LET(
  _xlpm.result, _xlfn.XLOOKUP($B325, Result_Database!$A$2:$A$500, Result_Database!D$2:D$500),
  _xlfn.IFNA(_xlpm.result, "")
)</f>
        <v/>
      </c>
      <c r="F325" t="str">
        <f>_xlfn.LET(
  _xlpm.result, _xlfn.XLOOKUP($B325, Result_Database!$A$2:$A$500, Result_Database!E$2:E$500),
  _xlfn.IFNA(_xlpm.result, "")
)</f>
        <v/>
      </c>
      <c r="G325" t="str">
        <f>_xlfn.LET(
  _xlpm.result, _xlfn.XLOOKUP($B325, Result_Database!$A$2:$A$500, Result_Database!F$2:F$500),
  _xlfn.IFNA(_xlpm.result, "")
)</f>
        <v/>
      </c>
      <c r="H325" t="str">
        <f>_xlfn.LET(
  _xlpm.result, _xlfn.XLOOKUP($B325, Result_Database!$A$2:$A$500, Result_Database!G$2:G$500),
  _xlfn.IFNA(_xlpm.result, "")
)</f>
        <v/>
      </c>
      <c r="I325" t="str">
        <f>_xlfn.LET(
  _xlpm.result, _xlfn.XLOOKUP($B325, Result_Database!$A$2:$A$500, Result_Database!H$2:H$500),
  _xlfn.IFNA(_xlpm.result, "")
)</f>
        <v/>
      </c>
      <c r="J325" t="str">
        <f>_xlfn.LET(
  _xlpm.result, _xlfn.XLOOKUP($B325, Result_Database!$A$2:$A$500, Result_Database!I$2:I$500),
  _xlfn.IFNA(_xlpm.result, "")
)</f>
        <v/>
      </c>
      <c r="K325" t="str">
        <f>_xlfn.LET(
  _xlpm.result, _xlfn.XLOOKUP($B325, Result_Database!$A$2:$A$500, Result_Database!J$2:J$500),
  _xlfn.IFNA(_xlpm.result, "")
)</f>
        <v/>
      </c>
      <c r="L325" t="str">
        <f>_xlfn.LET(
  _xlpm.result, _xlfn.XLOOKUP($B325, Result_Database!$A$2:$A$500, Result_Database!K$2:K$500),
  _xlfn.IFNA(_xlpm.result, "")
)</f>
        <v/>
      </c>
      <c r="M325" t="str">
        <f>_xlfn.LET(
  _xlpm.result, _xlfn.XLOOKUP($B325, Result_Database!$A$2:$A$500, Result_Database!L$2:L$500),
  _xlfn.IFNA(_xlpm.result, "")
)</f>
        <v/>
      </c>
      <c r="N325" t="str">
        <f>_xlfn.LET(
  _xlpm.result, _xlfn.XLOOKUP($B325, Result_Database!$A$2:$A$500, Result_Database!M$2:M$500),
  _xlfn.IFNA(_xlpm.result, "")
)</f>
        <v/>
      </c>
      <c r="O325" t="str">
        <f>_xlfn.LET(
  _xlpm.result, _xlfn.XLOOKUP($B325, Result_Database!$A$2:$A$500, Result_Database!N$2:N$500),
  _xlfn.IFNA(_xlpm.result, "")
)</f>
        <v/>
      </c>
      <c r="P325" t="str">
        <f>_xlfn.LET(
  _xlpm.result, _xlfn.XLOOKUP($B325, Result_Database!$A$2:$A$500, Result_Database!O$2:O$500),
  _xlfn.IFNA(_xlpm.result, "")
)</f>
        <v/>
      </c>
      <c r="Q325" t="str">
        <f>_xlfn.LET(
  _xlpm.result, _xlfn.XLOOKUP($B325, Result_Database!$A$2:$A$500, Result_Database!P$2:P$500),
  _xlfn.IFNA(_xlpm.result, "")
)</f>
        <v/>
      </c>
      <c r="R325" t="str">
        <f>_xlfn.LET(
  _xlpm.result, _xlfn.XLOOKUP($B325, Result_Database!$A$2:$A$500, Result_Database!Q$2:Q$500),
  _xlfn.IFNA(_xlpm.result, "")
)</f>
        <v/>
      </c>
      <c r="S325" t="str">
        <f>_xlfn.LET(
  _xlpm.result, _xlfn.XLOOKUP($B325, Result_Database!$A$2:$A$500, Result_Database!R$2:R$500),
  _xlfn.IFNA(_xlpm.result, "")
)</f>
        <v/>
      </c>
      <c r="T325" t="str">
        <f>_xlfn.LET(
  _xlpm.result, _xlfn.XLOOKUP($B325, Result_Database!$A$2:$A$500, Result_Database!S$2:S$500),
  _xlfn.IFNA(_xlpm.result, "")
)</f>
        <v/>
      </c>
      <c r="U325" t="str">
        <f>_xlfn.LET(
  _xlpm.result, _xlfn.XLOOKUP($B325, Result_Database!$A$2:$A$500, Result_Database!T$2:T$500),
  _xlfn.IFNA(_xlpm.result, "")
)</f>
        <v/>
      </c>
      <c r="V325" t="str">
        <f>_xlfn.LET(
  _xlpm.result, _xlfn.XLOOKUP($B325, Result_Database!$A$2:$A$500, Result_Database!U$2:U$500),
  _xlfn.IFNA(_xlpm.result, "")
)</f>
        <v/>
      </c>
      <c r="W325" t="str">
        <f>_xlfn.LET(
  _xlpm.result, _xlfn.XLOOKUP($B325, Result_Database!$A$2:$A$500, Result_Database!V$2:V$500),
  _xlfn.IFNA(_xlpm.result, "")
)</f>
        <v/>
      </c>
      <c r="X325" t="str">
        <f>_xlfn.LET(
  _xlpm.result, _xlfn.XLOOKUP($B325, Result_Database!$A$2:$A$500, Result_Database!W$2:W$500),
  _xlfn.IFNA(_xlpm.result, "")
)</f>
        <v/>
      </c>
      <c r="Y325" t="str">
        <f>_xlfn.LET(
  _xlpm.result, _xlfn.XLOOKUP($B325, Result_Database!$A$2:$A$500, Result_Database!X$2:X$500),
  _xlfn.IFNA(_xlpm.result, "")
)</f>
        <v/>
      </c>
      <c r="Z325" t="str">
        <f>_xlfn.LET(
  _xlpm.result, _xlfn.XLOOKUP($B325, Result_Database!$A$2:$A$500, Result_Database!Y$2:Y$500),
  _xlfn.IFNA(_xlpm.result, "")
)</f>
        <v/>
      </c>
      <c r="AA325" t="str">
        <f>_xlfn.LET(
  _xlpm.result, _xlfn.XLOOKUP($B325, Result_Database!$A$2:$A$500, Result_Database!Z$2:Z$500),
  _xlfn.IFNA(_xlpm.result, "")
)</f>
        <v/>
      </c>
      <c r="AB325" t="str">
        <f>_xlfn.LET(
  _xlpm.result, _xlfn.XLOOKUP($B325, Result_Database!$A$2:$A$500, Result_Database!AA$2:AA$500),
  _xlfn.IFNA(_xlpm.result, "")
)</f>
        <v/>
      </c>
      <c r="AC325" t="str">
        <f>_xlfn.LET(
  _xlpm.result, _xlfn.XLOOKUP($B325, Result_Database!$A$2:$A$500, Result_Database!AB$2:AB$500),
  _xlfn.IFNA(_xlpm.result, "")
)</f>
        <v/>
      </c>
      <c r="AD325" t="str">
        <f>_xlfn.LET(
  _xlpm.result, _xlfn.XLOOKUP($B325, Result_Database!$A$2:$A$500, Result_Database!AC$2:AC$500),
  _xlfn.IFNA(_xlpm.result, "")
)</f>
        <v/>
      </c>
      <c r="AE325" t="str">
        <f>_xlfn.LET(
  _xlpm.result, _xlfn.XLOOKUP($B325, Result_Database!$A$2:$A$500, Result_Database!AD$2:AD$500),
  _xlfn.IFNA(_xlpm.result, "")
)</f>
        <v/>
      </c>
      <c r="AF325" t="str">
        <f>_xlfn.LET(
  _xlpm.result, _xlfn.XLOOKUP($B325, Result_Database!$A$2:$A$500, Result_Database!AE$2:AE$500),
  _xlfn.IFNA(_xlpm.result, "")
)</f>
        <v/>
      </c>
      <c r="AG325" t="str">
        <f>_xlfn.LET(
  _xlpm.result, _xlfn.XLOOKUP($B325, Result_Database!$A$2:$A$500, Result_Database!AF$2:AF$500),
  _xlfn.IFNA(_xlpm.result, "")
)</f>
        <v/>
      </c>
      <c r="AH325" t="str">
        <f>_xlfn.LET(
  _xlpm.result, _xlfn.XLOOKUP($B325, Result_Database!$A$2:$A$500, Result_Database!AG$2:AG$500),
  _xlfn.IFNA(_xlpm.result, "")
)</f>
        <v/>
      </c>
      <c r="AI325" t="str">
        <f>_xlfn.LET(
  _xlpm.result, _xlfn.XLOOKUP($B325, Result_Database!$A$2:$A$500, Result_Database!AH$2:AH$500),
  _xlfn.IFNA(_xlpm.result, "")
)</f>
        <v/>
      </c>
      <c r="AJ325" t="str">
        <f>_xlfn.LET(
  _xlpm.result, _xlfn.XLOOKUP($B325, Result_Database!$A$2:$A$500, Result_Database!AI$2:AI$500),
  _xlfn.IFNA(_xlpm.result, "")
)</f>
        <v/>
      </c>
      <c r="AK325" t="str">
        <f>_xlfn.LET(
  _xlpm.result, _xlfn.XLOOKUP($B325, Result_Database!$A$2:$A$500, Result_Database!AJ$2:AJ$500),
  _xlfn.IFNA(_xlpm.result, "")
)</f>
        <v/>
      </c>
      <c r="AL325" t="str">
        <f>_xlfn.LET(
  _xlpm.result, _xlfn.XLOOKUP($B325, Result_Database!$A$2:$A$500, Result_Database!AK$2:AK$500),
  _xlfn.IFNA(_xlpm.result, "")
)</f>
        <v/>
      </c>
      <c r="AM32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2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2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2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2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2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2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2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2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25" t="str">
        <f>IF(SUM(Table5[[#This Row],[A1]:[C6]])&lt;&gt;0,SUM(Table5[[#This Row],[A1]:[C6]]),"")</f>
        <v/>
      </c>
      <c r="AW325" t="str">
        <f>IF(SUM(Table5[[#This Row],[D7]:[F9]])=0,"",SUM(Table5[[#This Row],[D7]:[F9]]))</f>
        <v/>
      </c>
      <c r="AX32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2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2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2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2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2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25" t="str">
        <f>IF(COUNTIF(Table5[[#This Row],[English Language]:[Electrical/ Electronics]],"WITHHELD")=0,"",COUNTIF(Table5[[#This Row],[English Language]:[Electrical/ Electronics]],"WITHHELD"))</f>
        <v/>
      </c>
      <c r="BE325" t="str">
        <f>IF(SUM(Table5[[#This Row],[NO OF CREDITS]:[BELOW CREDITS]])=0,"",SUM(Table5[[#This Row],[NO OF CREDITS]:[BELOW CREDITS]]))</f>
        <v/>
      </c>
    </row>
    <row r="326" spans="1:57" x14ac:dyDescent="0.3">
      <c r="A326" t="str">
        <f>IF(B326&lt;&gt;"",COUNTA($B$6:B326),"")</f>
        <v/>
      </c>
      <c r="B326" t="str">
        <f>IF(Result_Database!A322="","",Result_Database!A322)</f>
        <v/>
      </c>
      <c r="C326" t="str">
        <f>_xlfn.LET(
_xlpm.result,_xlfn.XLOOKUP($B326,Result_Database!$A$2:$A$500,Result_Database!$B$2:$B$500),
_xlfn.IFNA(_xlpm.result,"")
)</f>
        <v/>
      </c>
      <c r="D326" t="str">
        <f>_xlfn.LET(
  _xlpm.result, _xlfn.XLOOKUP($B326, Result_Database!$A$2:$A$500, Result_Database!C$2:C$500),
  _xlfn.IFNA(_xlpm.result, "")
)</f>
        <v/>
      </c>
      <c r="E326" t="str">
        <f>_xlfn.LET(
  _xlpm.result, _xlfn.XLOOKUP($B326, Result_Database!$A$2:$A$500, Result_Database!D$2:D$500),
  _xlfn.IFNA(_xlpm.result, "")
)</f>
        <v/>
      </c>
      <c r="F326" t="str">
        <f>_xlfn.LET(
  _xlpm.result, _xlfn.XLOOKUP($B326, Result_Database!$A$2:$A$500, Result_Database!E$2:E$500),
  _xlfn.IFNA(_xlpm.result, "")
)</f>
        <v/>
      </c>
      <c r="G326" t="str">
        <f>_xlfn.LET(
  _xlpm.result, _xlfn.XLOOKUP($B326, Result_Database!$A$2:$A$500, Result_Database!F$2:F$500),
  _xlfn.IFNA(_xlpm.result, "")
)</f>
        <v/>
      </c>
      <c r="H326" t="str">
        <f>_xlfn.LET(
  _xlpm.result, _xlfn.XLOOKUP($B326, Result_Database!$A$2:$A$500, Result_Database!G$2:G$500),
  _xlfn.IFNA(_xlpm.result, "")
)</f>
        <v/>
      </c>
      <c r="I326" t="str">
        <f>_xlfn.LET(
  _xlpm.result, _xlfn.XLOOKUP($B326, Result_Database!$A$2:$A$500, Result_Database!H$2:H$500),
  _xlfn.IFNA(_xlpm.result, "")
)</f>
        <v/>
      </c>
      <c r="J326" t="str">
        <f>_xlfn.LET(
  _xlpm.result, _xlfn.XLOOKUP($B326, Result_Database!$A$2:$A$500, Result_Database!I$2:I$500),
  _xlfn.IFNA(_xlpm.result, "")
)</f>
        <v/>
      </c>
      <c r="K326" t="str">
        <f>_xlfn.LET(
  _xlpm.result, _xlfn.XLOOKUP($B326, Result_Database!$A$2:$A$500, Result_Database!J$2:J$500),
  _xlfn.IFNA(_xlpm.result, "")
)</f>
        <v/>
      </c>
      <c r="L326" t="str">
        <f>_xlfn.LET(
  _xlpm.result, _xlfn.XLOOKUP($B326, Result_Database!$A$2:$A$500, Result_Database!K$2:K$500),
  _xlfn.IFNA(_xlpm.result, "")
)</f>
        <v/>
      </c>
      <c r="M326" t="str">
        <f>_xlfn.LET(
  _xlpm.result, _xlfn.XLOOKUP($B326, Result_Database!$A$2:$A$500, Result_Database!L$2:L$500),
  _xlfn.IFNA(_xlpm.result, "")
)</f>
        <v/>
      </c>
      <c r="N326" t="str">
        <f>_xlfn.LET(
  _xlpm.result, _xlfn.XLOOKUP($B326, Result_Database!$A$2:$A$500, Result_Database!M$2:M$500),
  _xlfn.IFNA(_xlpm.result, "")
)</f>
        <v/>
      </c>
      <c r="O326" t="str">
        <f>_xlfn.LET(
  _xlpm.result, _xlfn.XLOOKUP($B326, Result_Database!$A$2:$A$500, Result_Database!N$2:N$500),
  _xlfn.IFNA(_xlpm.result, "")
)</f>
        <v/>
      </c>
      <c r="P326" t="str">
        <f>_xlfn.LET(
  _xlpm.result, _xlfn.XLOOKUP($B326, Result_Database!$A$2:$A$500, Result_Database!O$2:O$500),
  _xlfn.IFNA(_xlpm.result, "")
)</f>
        <v/>
      </c>
      <c r="Q326" t="str">
        <f>_xlfn.LET(
  _xlpm.result, _xlfn.XLOOKUP($B326, Result_Database!$A$2:$A$500, Result_Database!P$2:P$500),
  _xlfn.IFNA(_xlpm.result, "")
)</f>
        <v/>
      </c>
      <c r="R326" t="str">
        <f>_xlfn.LET(
  _xlpm.result, _xlfn.XLOOKUP($B326, Result_Database!$A$2:$A$500, Result_Database!Q$2:Q$500),
  _xlfn.IFNA(_xlpm.result, "")
)</f>
        <v/>
      </c>
      <c r="S326" t="str">
        <f>_xlfn.LET(
  _xlpm.result, _xlfn.XLOOKUP($B326, Result_Database!$A$2:$A$500, Result_Database!R$2:R$500),
  _xlfn.IFNA(_xlpm.result, "")
)</f>
        <v/>
      </c>
      <c r="T326" t="str">
        <f>_xlfn.LET(
  _xlpm.result, _xlfn.XLOOKUP($B326, Result_Database!$A$2:$A$500, Result_Database!S$2:S$500),
  _xlfn.IFNA(_xlpm.result, "")
)</f>
        <v/>
      </c>
      <c r="U326" t="str">
        <f>_xlfn.LET(
  _xlpm.result, _xlfn.XLOOKUP($B326, Result_Database!$A$2:$A$500, Result_Database!T$2:T$500),
  _xlfn.IFNA(_xlpm.result, "")
)</f>
        <v/>
      </c>
      <c r="V326" t="str">
        <f>_xlfn.LET(
  _xlpm.result, _xlfn.XLOOKUP($B326, Result_Database!$A$2:$A$500, Result_Database!U$2:U$500),
  _xlfn.IFNA(_xlpm.result, "")
)</f>
        <v/>
      </c>
      <c r="W326" t="str">
        <f>_xlfn.LET(
  _xlpm.result, _xlfn.XLOOKUP($B326, Result_Database!$A$2:$A$500, Result_Database!V$2:V$500),
  _xlfn.IFNA(_xlpm.result, "")
)</f>
        <v/>
      </c>
      <c r="X326" t="str">
        <f>_xlfn.LET(
  _xlpm.result, _xlfn.XLOOKUP($B326, Result_Database!$A$2:$A$500, Result_Database!W$2:W$500),
  _xlfn.IFNA(_xlpm.result, "")
)</f>
        <v/>
      </c>
      <c r="Y326" t="str">
        <f>_xlfn.LET(
  _xlpm.result, _xlfn.XLOOKUP($B326, Result_Database!$A$2:$A$500, Result_Database!X$2:X$500),
  _xlfn.IFNA(_xlpm.result, "")
)</f>
        <v/>
      </c>
      <c r="Z326" t="str">
        <f>_xlfn.LET(
  _xlpm.result, _xlfn.XLOOKUP($B326, Result_Database!$A$2:$A$500, Result_Database!Y$2:Y$500),
  _xlfn.IFNA(_xlpm.result, "")
)</f>
        <v/>
      </c>
      <c r="AA326" t="str">
        <f>_xlfn.LET(
  _xlpm.result, _xlfn.XLOOKUP($B326, Result_Database!$A$2:$A$500, Result_Database!Z$2:Z$500),
  _xlfn.IFNA(_xlpm.result, "")
)</f>
        <v/>
      </c>
      <c r="AB326" t="str">
        <f>_xlfn.LET(
  _xlpm.result, _xlfn.XLOOKUP($B326, Result_Database!$A$2:$A$500, Result_Database!AA$2:AA$500),
  _xlfn.IFNA(_xlpm.result, "")
)</f>
        <v/>
      </c>
      <c r="AC326" t="str">
        <f>_xlfn.LET(
  _xlpm.result, _xlfn.XLOOKUP($B326, Result_Database!$A$2:$A$500, Result_Database!AB$2:AB$500),
  _xlfn.IFNA(_xlpm.result, "")
)</f>
        <v/>
      </c>
      <c r="AD326" t="str">
        <f>_xlfn.LET(
  _xlpm.result, _xlfn.XLOOKUP($B326, Result_Database!$A$2:$A$500, Result_Database!AC$2:AC$500),
  _xlfn.IFNA(_xlpm.result, "")
)</f>
        <v/>
      </c>
      <c r="AE326" t="str">
        <f>_xlfn.LET(
  _xlpm.result, _xlfn.XLOOKUP($B326, Result_Database!$A$2:$A$500, Result_Database!AD$2:AD$500),
  _xlfn.IFNA(_xlpm.result, "")
)</f>
        <v/>
      </c>
      <c r="AF326" t="str">
        <f>_xlfn.LET(
  _xlpm.result, _xlfn.XLOOKUP($B326, Result_Database!$A$2:$A$500, Result_Database!AE$2:AE$500),
  _xlfn.IFNA(_xlpm.result, "")
)</f>
        <v/>
      </c>
      <c r="AG326" t="str">
        <f>_xlfn.LET(
  _xlpm.result, _xlfn.XLOOKUP($B326, Result_Database!$A$2:$A$500, Result_Database!AF$2:AF$500),
  _xlfn.IFNA(_xlpm.result, "")
)</f>
        <v/>
      </c>
      <c r="AH326" t="str">
        <f>_xlfn.LET(
  _xlpm.result, _xlfn.XLOOKUP($B326, Result_Database!$A$2:$A$500, Result_Database!AG$2:AG$500),
  _xlfn.IFNA(_xlpm.result, "")
)</f>
        <v/>
      </c>
      <c r="AI326" t="str">
        <f>_xlfn.LET(
  _xlpm.result, _xlfn.XLOOKUP($B326, Result_Database!$A$2:$A$500, Result_Database!AH$2:AH$500),
  _xlfn.IFNA(_xlpm.result, "")
)</f>
        <v/>
      </c>
      <c r="AJ326" t="str">
        <f>_xlfn.LET(
  _xlpm.result, _xlfn.XLOOKUP($B326, Result_Database!$A$2:$A$500, Result_Database!AI$2:AI$500),
  _xlfn.IFNA(_xlpm.result, "")
)</f>
        <v/>
      </c>
      <c r="AK326" t="str">
        <f>_xlfn.LET(
  _xlpm.result, _xlfn.XLOOKUP($B326, Result_Database!$A$2:$A$500, Result_Database!AJ$2:AJ$500),
  _xlfn.IFNA(_xlpm.result, "")
)</f>
        <v/>
      </c>
      <c r="AL326" t="str">
        <f>_xlfn.LET(
  _xlpm.result, _xlfn.XLOOKUP($B326, Result_Database!$A$2:$A$500, Result_Database!AK$2:AK$500),
  _xlfn.IFNA(_xlpm.result, "")
)</f>
        <v/>
      </c>
      <c r="AM32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2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2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2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2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2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2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2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2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26" t="str">
        <f>IF(SUM(Table5[[#This Row],[A1]:[C6]])&lt;&gt;0,SUM(Table5[[#This Row],[A1]:[C6]]),"")</f>
        <v/>
      </c>
      <c r="AW326" t="str">
        <f>IF(SUM(Table5[[#This Row],[D7]:[F9]])=0,"",SUM(Table5[[#This Row],[D7]:[F9]]))</f>
        <v/>
      </c>
      <c r="AX32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2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2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2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2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2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26" t="str">
        <f>IF(COUNTIF(Table5[[#This Row],[English Language]:[Electrical/ Electronics]],"WITHHELD")=0,"",COUNTIF(Table5[[#This Row],[English Language]:[Electrical/ Electronics]],"WITHHELD"))</f>
        <v/>
      </c>
      <c r="BE326" t="str">
        <f>IF(SUM(Table5[[#This Row],[NO OF CREDITS]:[BELOW CREDITS]])=0,"",SUM(Table5[[#This Row],[NO OF CREDITS]:[BELOW CREDITS]]))</f>
        <v/>
      </c>
    </row>
    <row r="327" spans="1:57" x14ac:dyDescent="0.3">
      <c r="A327" t="str">
        <f>IF(B327&lt;&gt;"",COUNTA($B$6:B327),"")</f>
        <v/>
      </c>
      <c r="B327" t="str">
        <f>IF(Result_Database!A323="","",Result_Database!A323)</f>
        <v/>
      </c>
      <c r="C327" t="str">
        <f>_xlfn.LET(
_xlpm.result,_xlfn.XLOOKUP($B327,Result_Database!$A$2:$A$500,Result_Database!$B$2:$B$500),
_xlfn.IFNA(_xlpm.result,"")
)</f>
        <v/>
      </c>
      <c r="D327" t="str">
        <f>_xlfn.LET(
  _xlpm.result, _xlfn.XLOOKUP($B327, Result_Database!$A$2:$A$500, Result_Database!C$2:C$500),
  _xlfn.IFNA(_xlpm.result, "")
)</f>
        <v/>
      </c>
      <c r="E327" t="str">
        <f>_xlfn.LET(
  _xlpm.result, _xlfn.XLOOKUP($B327, Result_Database!$A$2:$A$500, Result_Database!D$2:D$500),
  _xlfn.IFNA(_xlpm.result, "")
)</f>
        <v/>
      </c>
      <c r="F327" t="str">
        <f>_xlfn.LET(
  _xlpm.result, _xlfn.XLOOKUP($B327, Result_Database!$A$2:$A$500, Result_Database!E$2:E$500),
  _xlfn.IFNA(_xlpm.result, "")
)</f>
        <v/>
      </c>
      <c r="G327" t="str">
        <f>_xlfn.LET(
  _xlpm.result, _xlfn.XLOOKUP($B327, Result_Database!$A$2:$A$500, Result_Database!F$2:F$500),
  _xlfn.IFNA(_xlpm.result, "")
)</f>
        <v/>
      </c>
      <c r="H327" t="str">
        <f>_xlfn.LET(
  _xlpm.result, _xlfn.XLOOKUP($B327, Result_Database!$A$2:$A$500, Result_Database!G$2:G$500),
  _xlfn.IFNA(_xlpm.result, "")
)</f>
        <v/>
      </c>
      <c r="I327" t="str">
        <f>_xlfn.LET(
  _xlpm.result, _xlfn.XLOOKUP($B327, Result_Database!$A$2:$A$500, Result_Database!H$2:H$500),
  _xlfn.IFNA(_xlpm.result, "")
)</f>
        <v/>
      </c>
      <c r="J327" t="str">
        <f>_xlfn.LET(
  _xlpm.result, _xlfn.XLOOKUP($B327, Result_Database!$A$2:$A$500, Result_Database!I$2:I$500),
  _xlfn.IFNA(_xlpm.result, "")
)</f>
        <v/>
      </c>
      <c r="K327" t="str">
        <f>_xlfn.LET(
  _xlpm.result, _xlfn.XLOOKUP($B327, Result_Database!$A$2:$A$500, Result_Database!J$2:J$500),
  _xlfn.IFNA(_xlpm.result, "")
)</f>
        <v/>
      </c>
      <c r="L327" t="str">
        <f>_xlfn.LET(
  _xlpm.result, _xlfn.XLOOKUP($B327, Result_Database!$A$2:$A$500, Result_Database!K$2:K$500),
  _xlfn.IFNA(_xlpm.result, "")
)</f>
        <v/>
      </c>
      <c r="M327" t="str">
        <f>_xlfn.LET(
  _xlpm.result, _xlfn.XLOOKUP($B327, Result_Database!$A$2:$A$500, Result_Database!L$2:L$500),
  _xlfn.IFNA(_xlpm.result, "")
)</f>
        <v/>
      </c>
      <c r="N327" t="str">
        <f>_xlfn.LET(
  _xlpm.result, _xlfn.XLOOKUP($B327, Result_Database!$A$2:$A$500, Result_Database!M$2:M$500),
  _xlfn.IFNA(_xlpm.result, "")
)</f>
        <v/>
      </c>
      <c r="O327" t="str">
        <f>_xlfn.LET(
  _xlpm.result, _xlfn.XLOOKUP($B327, Result_Database!$A$2:$A$500, Result_Database!N$2:N$500),
  _xlfn.IFNA(_xlpm.result, "")
)</f>
        <v/>
      </c>
      <c r="P327" t="str">
        <f>_xlfn.LET(
  _xlpm.result, _xlfn.XLOOKUP($B327, Result_Database!$A$2:$A$500, Result_Database!O$2:O$500),
  _xlfn.IFNA(_xlpm.result, "")
)</f>
        <v/>
      </c>
      <c r="Q327" t="str">
        <f>_xlfn.LET(
  _xlpm.result, _xlfn.XLOOKUP($B327, Result_Database!$A$2:$A$500, Result_Database!P$2:P$500),
  _xlfn.IFNA(_xlpm.result, "")
)</f>
        <v/>
      </c>
      <c r="R327" t="str">
        <f>_xlfn.LET(
  _xlpm.result, _xlfn.XLOOKUP($B327, Result_Database!$A$2:$A$500, Result_Database!Q$2:Q$500),
  _xlfn.IFNA(_xlpm.result, "")
)</f>
        <v/>
      </c>
      <c r="S327" t="str">
        <f>_xlfn.LET(
  _xlpm.result, _xlfn.XLOOKUP($B327, Result_Database!$A$2:$A$500, Result_Database!R$2:R$500),
  _xlfn.IFNA(_xlpm.result, "")
)</f>
        <v/>
      </c>
      <c r="T327" t="str">
        <f>_xlfn.LET(
  _xlpm.result, _xlfn.XLOOKUP($B327, Result_Database!$A$2:$A$500, Result_Database!S$2:S$500),
  _xlfn.IFNA(_xlpm.result, "")
)</f>
        <v/>
      </c>
      <c r="U327" t="str">
        <f>_xlfn.LET(
  _xlpm.result, _xlfn.XLOOKUP($B327, Result_Database!$A$2:$A$500, Result_Database!T$2:T$500),
  _xlfn.IFNA(_xlpm.result, "")
)</f>
        <v/>
      </c>
      <c r="V327" t="str">
        <f>_xlfn.LET(
  _xlpm.result, _xlfn.XLOOKUP($B327, Result_Database!$A$2:$A$500, Result_Database!U$2:U$500),
  _xlfn.IFNA(_xlpm.result, "")
)</f>
        <v/>
      </c>
      <c r="W327" t="str">
        <f>_xlfn.LET(
  _xlpm.result, _xlfn.XLOOKUP($B327, Result_Database!$A$2:$A$500, Result_Database!V$2:V$500),
  _xlfn.IFNA(_xlpm.result, "")
)</f>
        <v/>
      </c>
      <c r="X327" t="str">
        <f>_xlfn.LET(
  _xlpm.result, _xlfn.XLOOKUP($B327, Result_Database!$A$2:$A$500, Result_Database!W$2:W$500),
  _xlfn.IFNA(_xlpm.result, "")
)</f>
        <v/>
      </c>
      <c r="Y327" t="str">
        <f>_xlfn.LET(
  _xlpm.result, _xlfn.XLOOKUP($B327, Result_Database!$A$2:$A$500, Result_Database!X$2:X$500),
  _xlfn.IFNA(_xlpm.result, "")
)</f>
        <v/>
      </c>
      <c r="Z327" t="str">
        <f>_xlfn.LET(
  _xlpm.result, _xlfn.XLOOKUP($B327, Result_Database!$A$2:$A$500, Result_Database!Y$2:Y$500),
  _xlfn.IFNA(_xlpm.result, "")
)</f>
        <v/>
      </c>
      <c r="AA327" t="str">
        <f>_xlfn.LET(
  _xlpm.result, _xlfn.XLOOKUP($B327, Result_Database!$A$2:$A$500, Result_Database!Z$2:Z$500),
  _xlfn.IFNA(_xlpm.result, "")
)</f>
        <v/>
      </c>
      <c r="AB327" t="str">
        <f>_xlfn.LET(
  _xlpm.result, _xlfn.XLOOKUP($B327, Result_Database!$A$2:$A$500, Result_Database!AA$2:AA$500),
  _xlfn.IFNA(_xlpm.result, "")
)</f>
        <v/>
      </c>
      <c r="AC327" t="str">
        <f>_xlfn.LET(
  _xlpm.result, _xlfn.XLOOKUP($B327, Result_Database!$A$2:$A$500, Result_Database!AB$2:AB$500),
  _xlfn.IFNA(_xlpm.result, "")
)</f>
        <v/>
      </c>
      <c r="AD327" t="str">
        <f>_xlfn.LET(
  _xlpm.result, _xlfn.XLOOKUP($B327, Result_Database!$A$2:$A$500, Result_Database!AC$2:AC$500),
  _xlfn.IFNA(_xlpm.result, "")
)</f>
        <v/>
      </c>
      <c r="AE327" t="str">
        <f>_xlfn.LET(
  _xlpm.result, _xlfn.XLOOKUP($B327, Result_Database!$A$2:$A$500, Result_Database!AD$2:AD$500),
  _xlfn.IFNA(_xlpm.result, "")
)</f>
        <v/>
      </c>
      <c r="AF327" t="str">
        <f>_xlfn.LET(
  _xlpm.result, _xlfn.XLOOKUP($B327, Result_Database!$A$2:$A$500, Result_Database!AE$2:AE$500),
  _xlfn.IFNA(_xlpm.result, "")
)</f>
        <v/>
      </c>
      <c r="AG327" t="str">
        <f>_xlfn.LET(
  _xlpm.result, _xlfn.XLOOKUP($B327, Result_Database!$A$2:$A$500, Result_Database!AF$2:AF$500),
  _xlfn.IFNA(_xlpm.result, "")
)</f>
        <v/>
      </c>
      <c r="AH327" t="str">
        <f>_xlfn.LET(
  _xlpm.result, _xlfn.XLOOKUP($B327, Result_Database!$A$2:$A$500, Result_Database!AG$2:AG$500),
  _xlfn.IFNA(_xlpm.result, "")
)</f>
        <v/>
      </c>
      <c r="AI327" t="str">
        <f>_xlfn.LET(
  _xlpm.result, _xlfn.XLOOKUP($B327, Result_Database!$A$2:$A$500, Result_Database!AH$2:AH$500),
  _xlfn.IFNA(_xlpm.result, "")
)</f>
        <v/>
      </c>
      <c r="AJ327" t="str">
        <f>_xlfn.LET(
  _xlpm.result, _xlfn.XLOOKUP($B327, Result_Database!$A$2:$A$500, Result_Database!AI$2:AI$500),
  _xlfn.IFNA(_xlpm.result, "")
)</f>
        <v/>
      </c>
      <c r="AK327" t="str">
        <f>_xlfn.LET(
  _xlpm.result, _xlfn.XLOOKUP($B327, Result_Database!$A$2:$A$500, Result_Database!AJ$2:AJ$500),
  _xlfn.IFNA(_xlpm.result, "")
)</f>
        <v/>
      </c>
      <c r="AL327" t="str">
        <f>_xlfn.LET(
  _xlpm.result, _xlfn.XLOOKUP($B327, Result_Database!$A$2:$A$500, Result_Database!AK$2:AK$500),
  _xlfn.IFNA(_xlpm.result, "")
)</f>
        <v/>
      </c>
      <c r="AM32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2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2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2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2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2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2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2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2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27" t="str">
        <f>IF(SUM(Table5[[#This Row],[A1]:[C6]])&lt;&gt;0,SUM(Table5[[#This Row],[A1]:[C6]]),"")</f>
        <v/>
      </c>
      <c r="AW327" t="str">
        <f>IF(SUM(Table5[[#This Row],[D7]:[F9]])=0,"",SUM(Table5[[#This Row],[D7]:[F9]]))</f>
        <v/>
      </c>
      <c r="AX32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2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2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2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2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2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27" t="str">
        <f>IF(COUNTIF(Table5[[#This Row],[English Language]:[Electrical/ Electronics]],"WITHHELD")=0,"",COUNTIF(Table5[[#This Row],[English Language]:[Electrical/ Electronics]],"WITHHELD"))</f>
        <v/>
      </c>
      <c r="BE327" t="str">
        <f>IF(SUM(Table5[[#This Row],[NO OF CREDITS]:[BELOW CREDITS]])=0,"",SUM(Table5[[#This Row],[NO OF CREDITS]:[BELOW CREDITS]]))</f>
        <v/>
      </c>
    </row>
    <row r="328" spans="1:57" x14ac:dyDescent="0.3">
      <c r="A328" t="str">
        <f>IF(B328&lt;&gt;"",COUNTA($B$6:B328),"")</f>
        <v/>
      </c>
      <c r="B328" t="str">
        <f>IF(Result_Database!A324="","",Result_Database!A324)</f>
        <v/>
      </c>
      <c r="C328" t="str">
        <f>_xlfn.LET(
_xlpm.result,_xlfn.XLOOKUP($B328,Result_Database!$A$2:$A$500,Result_Database!$B$2:$B$500),
_xlfn.IFNA(_xlpm.result,"")
)</f>
        <v/>
      </c>
      <c r="D328" t="str">
        <f>_xlfn.LET(
  _xlpm.result, _xlfn.XLOOKUP($B328, Result_Database!$A$2:$A$500, Result_Database!C$2:C$500),
  _xlfn.IFNA(_xlpm.result, "")
)</f>
        <v/>
      </c>
      <c r="E328" t="str">
        <f>_xlfn.LET(
  _xlpm.result, _xlfn.XLOOKUP($B328, Result_Database!$A$2:$A$500, Result_Database!D$2:D$500),
  _xlfn.IFNA(_xlpm.result, "")
)</f>
        <v/>
      </c>
      <c r="F328" t="str">
        <f>_xlfn.LET(
  _xlpm.result, _xlfn.XLOOKUP($B328, Result_Database!$A$2:$A$500, Result_Database!E$2:E$500),
  _xlfn.IFNA(_xlpm.result, "")
)</f>
        <v/>
      </c>
      <c r="G328" t="str">
        <f>_xlfn.LET(
  _xlpm.result, _xlfn.XLOOKUP($B328, Result_Database!$A$2:$A$500, Result_Database!F$2:F$500),
  _xlfn.IFNA(_xlpm.result, "")
)</f>
        <v/>
      </c>
      <c r="H328" t="str">
        <f>_xlfn.LET(
  _xlpm.result, _xlfn.XLOOKUP($B328, Result_Database!$A$2:$A$500, Result_Database!G$2:G$500),
  _xlfn.IFNA(_xlpm.result, "")
)</f>
        <v/>
      </c>
      <c r="I328" t="str">
        <f>_xlfn.LET(
  _xlpm.result, _xlfn.XLOOKUP($B328, Result_Database!$A$2:$A$500, Result_Database!H$2:H$500),
  _xlfn.IFNA(_xlpm.result, "")
)</f>
        <v/>
      </c>
      <c r="J328" t="str">
        <f>_xlfn.LET(
  _xlpm.result, _xlfn.XLOOKUP($B328, Result_Database!$A$2:$A$500, Result_Database!I$2:I$500),
  _xlfn.IFNA(_xlpm.result, "")
)</f>
        <v/>
      </c>
      <c r="K328" t="str">
        <f>_xlfn.LET(
  _xlpm.result, _xlfn.XLOOKUP($B328, Result_Database!$A$2:$A$500, Result_Database!J$2:J$500),
  _xlfn.IFNA(_xlpm.result, "")
)</f>
        <v/>
      </c>
      <c r="L328" t="str">
        <f>_xlfn.LET(
  _xlpm.result, _xlfn.XLOOKUP($B328, Result_Database!$A$2:$A$500, Result_Database!K$2:K$500),
  _xlfn.IFNA(_xlpm.result, "")
)</f>
        <v/>
      </c>
      <c r="M328" t="str">
        <f>_xlfn.LET(
  _xlpm.result, _xlfn.XLOOKUP($B328, Result_Database!$A$2:$A$500, Result_Database!L$2:L$500),
  _xlfn.IFNA(_xlpm.result, "")
)</f>
        <v/>
      </c>
      <c r="N328" t="str">
        <f>_xlfn.LET(
  _xlpm.result, _xlfn.XLOOKUP($B328, Result_Database!$A$2:$A$500, Result_Database!M$2:M$500),
  _xlfn.IFNA(_xlpm.result, "")
)</f>
        <v/>
      </c>
      <c r="O328" t="str">
        <f>_xlfn.LET(
  _xlpm.result, _xlfn.XLOOKUP($B328, Result_Database!$A$2:$A$500, Result_Database!N$2:N$500),
  _xlfn.IFNA(_xlpm.result, "")
)</f>
        <v/>
      </c>
      <c r="P328" t="str">
        <f>_xlfn.LET(
  _xlpm.result, _xlfn.XLOOKUP($B328, Result_Database!$A$2:$A$500, Result_Database!O$2:O$500),
  _xlfn.IFNA(_xlpm.result, "")
)</f>
        <v/>
      </c>
      <c r="Q328" t="str">
        <f>_xlfn.LET(
  _xlpm.result, _xlfn.XLOOKUP($B328, Result_Database!$A$2:$A$500, Result_Database!P$2:P$500),
  _xlfn.IFNA(_xlpm.result, "")
)</f>
        <v/>
      </c>
      <c r="R328" t="str">
        <f>_xlfn.LET(
  _xlpm.result, _xlfn.XLOOKUP($B328, Result_Database!$A$2:$A$500, Result_Database!Q$2:Q$500),
  _xlfn.IFNA(_xlpm.result, "")
)</f>
        <v/>
      </c>
      <c r="S328" t="str">
        <f>_xlfn.LET(
  _xlpm.result, _xlfn.XLOOKUP($B328, Result_Database!$A$2:$A$500, Result_Database!R$2:R$500),
  _xlfn.IFNA(_xlpm.result, "")
)</f>
        <v/>
      </c>
      <c r="T328" t="str">
        <f>_xlfn.LET(
  _xlpm.result, _xlfn.XLOOKUP($B328, Result_Database!$A$2:$A$500, Result_Database!S$2:S$500),
  _xlfn.IFNA(_xlpm.result, "")
)</f>
        <v/>
      </c>
      <c r="U328" t="str">
        <f>_xlfn.LET(
  _xlpm.result, _xlfn.XLOOKUP($B328, Result_Database!$A$2:$A$500, Result_Database!T$2:T$500),
  _xlfn.IFNA(_xlpm.result, "")
)</f>
        <v/>
      </c>
      <c r="V328" t="str">
        <f>_xlfn.LET(
  _xlpm.result, _xlfn.XLOOKUP($B328, Result_Database!$A$2:$A$500, Result_Database!U$2:U$500),
  _xlfn.IFNA(_xlpm.result, "")
)</f>
        <v/>
      </c>
      <c r="W328" t="str">
        <f>_xlfn.LET(
  _xlpm.result, _xlfn.XLOOKUP($B328, Result_Database!$A$2:$A$500, Result_Database!V$2:V$500),
  _xlfn.IFNA(_xlpm.result, "")
)</f>
        <v/>
      </c>
      <c r="X328" t="str">
        <f>_xlfn.LET(
  _xlpm.result, _xlfn.XLOOKUP($B328, Result_Database!$A$2:$A$500, Result_Database!W$2:W$500),
  _xlfn.IFNA(_xlpm.result, "")
)</f>
        <v/>
      </c>
      <c r="Y328" t="str">
        <f>_xlfn.LET(
  _xlpm.result, _xlfn.XLOOKUP($B328, Result_Database!$A$2:$A$500, Result_Database!X$2:X$500),
  _xlfn.IFNA(_xlpm.result, "")
)</f>
        <v/>
      </c>
      <c r="Z328" t="str">
        <f>_xlfn.LET(
  _xlpm.result, _xlfn.XLOOKUP($B328, Result_Database!$A$2:$A$500, Result_Database!Y$2:Y$500),
  _xlfn.IFNA(_xlpm.result, "")
)</f>
        <v/>
      </c>
      <c r="AA328" t="str">
        <f>_xlfn.LET(
  _xlpm.result, _xlfn.XLOOKUP($B328, Result_Database!$A$2:$A$500, Result_Database!Z$2:Z$500),
  _xlfn.IFNA(_xlpm.result, "")
)</f>
        <v/>
      </c>
      <c r="AB328" t="str">
        <f>_xlfn.LET(
  _xlpm.result, _xlfn.XLOOKUP($B328, Result_Database!$A$2:$A$500, Result_Database!AA$2:AA$500),
  _xlfn.IFNA(_xlpm.result, "")
)</f>
        <v/>
      </c>
      <c r="AC328" t="str">
        <f>_xlfn.LET(
  _xlpm.result, _xlfn.XLOOKUP($B328, Result_Database!$A$2:$A$500, Result_Database!AB$2:AB$500),
  _xlfn.IFNA(_xlpm.result, "")
)</f>
        <v/>
      </c>
      <c r="AD328" t="str">
        <f>_xlfn.LET(
  _xlpm.result, _xlfn.XLOOKUP($B328, Result_Database!$A$2:$A$500, Result_Database!AC$2:AC$500),
  _xlfn.IFNA(_xlpm.result, "")
)</f>
        <v/>
      </c>
      <c r="AE328" t="str">
        <f>_xlfn.LET(
  _xlpm.result, _xlfn.XLOOKUP($B328, Result_Database!$A$2:$A$500, Result_Database!AD$2:AD$500),
  _xlfn.IFNA(_xlpm.result, "")
)</f>
        <v/>
      </c>
      <c r="AF328" t="str">
        <f>_xlfn.LET(
  _xlpm.result, _xlfn.XLOOKUP($B328, Result_Database!$A$2:$A$500, Result_Database!AE$2:AE$500),
  _xlfn.IFNA(_xlpm.result, "")
)</f>
        <v/>
      </c>
      <c r="AG328" t="str">
        <f>_xlfn.LET(
  _xlpm.result, _xlfn.XLOOKUP($B328, Result_Database!$A$2:$A$500, Result_Database!AF$2:AF$500),
  _xlfn.IFNA(_xlpm.result, "")
)</f>
        <v/>
      </c>
      <c r="AH328" t="str">
        <f>_xlfn.LET(
  _xlpm.result, _xlfn.XLOOKUP($B328, Result_Database!$A$2:$A$500, Result_Database!AG$2:AG$500),
  _xlfn.IFNA(_xlpm.result, "")
)</f>
        <v/>
      </c>
      <c r="AI328" t="str">
        <f>_xlfn.LET(
  _xlpm.result, _xlfn.XLOOKUP($B328, Result_Database!$A$2:$A$500, Result_Database!AH$2:AH$500),
  _xlfn.IFNA(_xlpm.result, "")
)</f>
        <v/>
      </c>
      <c r="AJ328" t="str">
        <f>_xlfn.LET(
  _xlpm.result, _xlfn.XLOOKUP($B328, Result_Database!$A$2:$A$500, Result_Database!AI$2:AI$500),
  _xlfn.IFNA(_xlpm.result, "")
)</f>
        <v/>
      </c>
      <c r="AK328" t="str">
        <f>_xlfn.LET(
  _xlpm.result, _xlfn.XLOOKUP($B328, Result_Database!$A$2:$A$500, Result_Database!AJ$2:AJ$500),
  _xlfn.IFNA(_xlpm.result, "")
)</f>
        <v/>
      </c>
      <c r="AL328" t="str">
        <f>_xlfn.LET(
  _xlpm.result, _xlfn.XLOOKUP($B328, Result_Database!$A$2:$A$500, Result_Database!AK$2:AK$500),
  _xlfn.IFNA(_xlpm.result, "")
)</f>
        <v/>
      </c>
      <c r="AM32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2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2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2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2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2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2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2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2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28" t="str">
        <f>IF(SUM(Table5[[#This Row],[A1]:[C6]])&lt;&gt;0,SUM(Table5[[#This Row],[A1]:[C6]]),"")</f>
        <v/>
      </c>
      <c r="AW328" t="str">
        <f>IF(SUM(Table5[[#This Row],[D7]:[F9]])=0,"",SUM(Table5[[#This Row],[D7]:[F9]]))</f>
        <v/>
      </c>
      <c r="AX32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2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2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2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2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2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28" t="str">
        <f>IF(COUNTIF(Table5[[#This Row],[English Language]:[Electrical/ Electronics]],"WITHHELD")=0,"",COUNTIF(Table5[[#This Row],[English Language]:[Electrical/ Electronics]],"WITHHELD"))</f>
        <v/>
      </c>
      <c r="BE328" t="str">
        <f>IF(SUM(Table5[[#This Row],[NO OF CREDITS]:[BELOW CREDITS]])=0,"",SUM(Table5[[#This Row],[NO OF CREDITS]:[BELOW CREDITS]]))</f>
        <v/>
      </c>
    </row>
    <row r="329" spans="1:57" x14ac:dyDescent="0.3">
      <c r="A329" t="str">
        <f>IF(B329&lt;&gt;"",COUNTA($B$6:B329),"")</f>
        <v/>
      </c>
      <c r="B329" t="str">
        <f>IF(Result_Database!A325="","",Result_Database!A325)</f>
        <v/>
      </c>
      <c r="C329" t="str">
        <f>_xlfn.LET(
_xlpm.result,_xlfn.XLOOKUP($B329,Result_Database!$A$2:$A$500,Result_Database!$B$2:$B$500),
_xlfn.IFNA(_xlpm.result,"")
)</f>
        <v/>
      </c>
      <c r="D329" t="str">
        <f>_xlfn.LET(
  _xlpm.result, _xlfn.XLOOKUP($B329, Result_Database!$A$2:$A$500, Result_Database!C$2:C$500),
  _xlfn.IFNA(_xlpm.result, "")
)</f>
        <v/>
      </c>
      <c r="E329" t="str">
        <f>_xlfn.LET(
  _xlpm.result, _xlfn.XLOOKUP($B329, Result_Database!$A$2:$A$500, Result_Database!D$2:D$500),
  _xlfn.IFNA(_xlpm.result, "")
)</f>
        <v/>
      </c>
      <c r="F329" t="str">
        <f>_xlfn.LET(
  _xlpm.result, _xlfn.XLOOKUP($B329, Result_Database!$A$2:$A$500, Result_Database!E$2:E$500),
  _xlfn.IFNA(_xlpm.result, "")
)</f>
        <v/>
      </c>
      <c r="G329" t="str">
        <f>_xlfn.LET(
  _xlpm.result, _xlfn.XLOOKUP($B329, Result_Database!$A$2:$A$500, Result_Database!F$2:F$500),
  _xlfn.IFNA(_xlpm.result, "")
)</f>
        <v/>
      </c>
      <c r="H329" t="str">
        <f>_xlfn.LET(
  _xlpm.result, _xlfn.XLOOKUP($B329, Result_Database!$A$2:$A$500, Result_Database!G$2:G$500),
  _xlfn.IFNA(_xlpm.result, "")
)</f>
        <v/>
      </c>
      <c r="I329" t="str">
        <f>_xlfn.LET(
  _xlpm.result, _xlfn.XLOOKUP($B329, Result_Database!$A$2:$A$500, Result_Database!H$2:H$500),
  _xlfn.IFNA(_xlpm.result, "")
)</f>
        <v/>
      </c>
      <c r="J329" t="str">
        <f>_xlfn.LET(
  _xlpm.result, _xlfn.XLOOKUP($B329, Result_Database!$A$2:$A$500, Result_Database!I$2:I$500),
  _xlfn.IFNA(_xlpm.result, "")
)</f>
        <v/>
      </c>
      <c r="K329" t="str">
        <f>_xlfn.LET(
  _xlpm.result, _xlfn.XLOOKUP($B329, Result_Database!$A$2:$A$500, Result_Database!J$2:J$500),
  _xlfn.IFNA(_xlpm.result, "")
)</f>
        <v/>
      </c>
      <c r="L329" t="str">
        <f>_xlfn.LET(
  _xlpm.result, _xlfn.XLOOKUP($B329, Result_Database!$A$2:$A$500, Result_Database!K$2:K$500),
  _xlfn.IFNA(_xlpm.result, "")
)</f>
        <v/>
      </c>
      <c r="M329" t="str">
        <f>_xlfn.LET(
  _xlpm.result, _xlfn.XLOOKUP($B329, Result_Database!$A$2:$A$500, Result_Database!L$2:L$500),
  _xlfn.IFNA(_xlpm.result, "")
)</f>
        <v/>
      </c>
      <c r="N329" t="str">
        <f>_xlfn.LET(
  _xlpm.result, _xlfn.XLOOKUP($B329, Result_Database!$A$2:$A$500, Result_Database!M$2:M$500),
  _xlfn.IFNA(_xlpm.result, "")
)</f>
        <v/>
      </c>
      <c r="O329" t="str">
        <f>_xlfn.LET(
  _xlpm.result, _xlfn.XLOOKUP($B329, Result_Database!$A$2:$A$500, Result_Database!N$2:N$500),
  _xlfn.IFNA(_xlpm.result, "")
)</f>
        <v/>
      </c>
      <c r="P329" t="str">
        <f>_xlfn.LET(
  _xlpm.result, _xlfn.XLOOKUP($B329, Result_Database!$A$2:$A$500, Result_Database!O$2:O$500),
  _xlfn.IFNA(_xlpm.result, "")
)</f>
        <v/>
      </c>
      <c r="Q329" t="str">
        <f>_xlfn.LET(
  _xlpm.result, _xlfn.XLOOKUP($B329, Result_Database!$A$2:$A$500, Result_Database!P$2:P$500),
  _xlfn.IFNA(_xlpm.result, "")
)</f>
        <v/>
      </c>
      <c r="R329" t="str">
        <f>_xlfn.LET(
  _xlpm.result, _xlfn.XLOOKUP($B329, Result_Database!$A$2:$A$500, Result_Database!Q$2:Q$500),
  _xlfn.IFNA(_xlpm.result, "")
)</f>
        <v/>
      </c>
      <c r="S329" t="str">
        <f>_xlfn.LET(
  _xlpm.result, _xlfn.XLOOKUP($B329, Result_Database!$A$2:$A$500, Result_Database!R$2:R$500),
  _xlfn.IFNA(_xlpm.result, "")
)</f>
        <v/>
      </c>
      <c r="T329" t="str">
        <f>_xlfn.LET(
  _xlpm.result, _xlfn.XLOOKUP($B329, Result_Database!$A$2:$A$500, Result_Database!S$2:S$500),
  _xlfn.IFNA(_xlpm.result, "")
)</f>
        <v/>
      </c>
      <c r="U329" t="str">
        <f>_xlfn.LET(
  _xlpm.result, _xlfn.XLOOKUP($B329, Result_Database!$A$2:$A$500, Result_Database!T$2:T$500),
  _xlfn.IFNA(_xlpm.result, "")
)</f>
        <v/>
      </c>
      <c r="V329" t="str">
        <f>_xlfn.LET(
  _xlpm.result, _xlfn.XLOOKUP($B329, Result_Database!$A$2:$A$500, Result_Database!U$2:U$500),
  _xlfn.IFNA(_xlpm.result, "")
)</f>
        <v/>
      </c>
      <c r="W329" t="str">
        <f>_xlfn.LET(
  _xlpm.result, _xlfn.XLOOKUP($B329, Result_Database!$A$2:$A$500, Result_Database!V$2:V$500),
  _xlfn.IFNA(_xlpm.result, "")
)</f>
        <v/>
      </c>
      <c r="X329" t="str">
        <f>_xlfn.LET(
  _xlpm.result, _xlfn.XLOOKUP($B329, Result_Database!$A$2:$A$500, Result_Database!W$2:W$500),
  _xlfn.IFNA(_xlpm.result, "")
)</f>
        <v/>
      </c>
      <c r="Y329" t="str">
        <f>_xlfn.LET(
  _xlpm.result, _xlfn.XLOOKUP($B329, Result_Database!$A$2:$A$500, Result_Database!X$2:X$500),
  _xlfn.IFNA(_xlpm.result, "")
)</f>
        <v/>
      </c>
      <c r="Z329" t="str">
        <f>_xlfn.LET(
  _xlpm.result, _xlfn.XLOOKUP($B329, Result_Database!$A$2:$A$500, Result_Database!Y$2:Y$500),
  _xlfn.IFNA(_xlpm.result, "")
)</f>
        <v/>
      </c>
      <c r="AA329" t="str">
        <f>_xlfn.LET(
  _xlpm.result, _xlfn.XLOOKUP($B329, Result_Database!$A$2:$A$500, Result_Database!Z$2:Z$500),
  _xlfn.IFNA(_xlpm.result, "")
)</f>
        <v/>
      </c>
      <c r="AB329" t="str">
        <f>_xlfn.LET(
  _xlpm.result, _xlfn.XLOOKUP($B329, Result_Database!$A$2:$A$500, Result_Database!AA$2:AA$500),
  _xlfn.IFNA(_xlpm.result, "")
)</f>
        <v/>
      </c>
      <c r="AC329" t="str">
        <f>_xlfn.LET(
  _xlpm.result, _xlfn.XLOOKUP($B329, Result_Database!$A$2:$A$500, Result_Database!AB$2:AB$500),
  _xlfn.IFNA(_xlpm.result, "")
)</f>
        <v/>
      </c>
      <c r="AD329" t="str">
        <f>_xlfn.LET(
  _xlpm.result, _xlfn.XLOOKUP($B329, Result_Database!$A$2:$A$500, Result_Database!AC$2:AC$500),
  _xlfn.IFNA(_xlpm.result, "")
)</f>
        <v/>
      </c>
      <c r="AE329" t="str">
        <f>_xlfn.LET(
  _xlpm.result, _xlfn.XLOOKUP($B329, Result_Database!$A$2:$A$500, Result_Database!AD$2:AD$500),
  _xlfn.IFNA(_xlpm.result, "")
)</f>
        <v/>
      </c>
      <c r="AF329" t="str">
        <f>_xlfn.LET(
  _xlpm.result, _xlfn.XLOOKUP($B329, Result_Database!$A$2:$A$500, Result_Database!AE$2:AE$500),
  _xlfn.IFNA(_xlpm.result, "")
)</f>
        <v/>
      </c>
      <c r="AG329" t="str">
        <f>_xlfn.LET(
  _xlpm.result, _xlfn.XLOOKUP($B329, Result_Database!$A$2:$A$500, Result_Database!AF$2:AF$500),
  _xlfn.IFNA(_xlpm.result, "")
)</f>
        <v/>
      </c>
      <c r="AH329" t="str">
        <f>_xlfn.LET(
  _xlpm.result, _xlfn.XLOOKUP($B329, Result_Database!$A$2:$A$500, Result_Database!AG$2:AG$500),
  _xlfn.IFNA(_xlpm.result, "")
)</f>
        <v/>
      </c>
      <c r="AI329" t="str">
        <f>_xlfn.LET(
  _xlpm.result, _xlfn.XLOOKUP($B329, Result_Database!$A$2:$A$500, Result_Database!AH$2:AH$500),
  _xlfn.IFNA(_xlpm.result, "")
)</f>
        <v/>
      </c>
      <c r="AJ329" t="str">
        <f>_xlfn.LET(
  _xlpm.result, _xlfn.XLOOKUP($B329, Result_Database!$A$2:$A$500, Result_Database!AI$2:AI$500),
  _xlfn.IFNA(_xlpm.result, "")
)</f>
        <v/>
      </c>
      <c r="AK329" t="str">
        <f>_xlfn.LET(
  _xlpm.result, _xlfn.XLOOKUP($B329, Result_Database!$A$2:$A$500, Result_Database!AJ$2:AJ$500),
  _xlfn.IFNA(_xlpm.result, "")
)</f>
        <v/>
      </c>
      <c r="AL329" t="str">
        <f>_xlfn.LET(
  _xlpm.result, _xlfn.XLOOKUP($B329, Result_Database!$A$2:$A$500, Result_Database!AK$2:AK$500),
  _xlfn.IFNA(_xlpm.result, "")
)</f>
        <v/>
      </c>
      <c r="AM32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2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2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2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2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2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2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2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2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29" t="str">
        <f>IF(SUM(Table5[[#This Row],[A1]:[C6]])&lt;&gt;0,SUM(Table5[[#This Row],[A1]:[C6]]),"")</f>
        <v/>
      </c>
      <c r="AW329" t="str">
        <f>IF(SUM(Table5[[#This Row],[D7]:[F9]])=0,"",SUM(Table5[[#This Row],[D7]:[F9]]))</f>
        <v/>
      </c>
      <c r="AX32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2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2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2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2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2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29" t="str">
        <f>IF(COUNTIF(Table5[[#This Row],[English Language]:[Electrical/ Electronics]],"WITHHELD")=0,"",COUNTIF(Table5[[#This Row],[English Language]:[Electrical/ Electronics]],"WITHHELD"))</f>
        <v/>
      </c>
      <c r="BE329" t="str">
        <f>IF(SUM(Table5[[#This Row],[NO OF CREDITS]:[BELOW CREDITS]])=0,"",SUM(Table5[[#This Row],[NO OF CREDITS]:[BELOW CREDITS]]))</f>
        <v/>
      </c>
    </row>
    <row r="330" spans="1:57" x14ac:dyDescent="0.3">
      <c r="A330" t="str">
        <f>IF(B330&lt;&gt;"",COUNTA($B$6:B330),"")</f>
        <v/>
      </c>
      <c r="B330" t="str">
        <f>IF(Result_Database!A326="","",Result_Database!A326)</f>
        <v/>
      </c>
      <c r="C330" t="str">
        <f>_xlfn.LET(
_xlpm.result,_xlfn.XLOOKUP($B330,Result_Database!$A$2:$A$500,Result_Database!$B$2:$B$500),
_xlfn.IFNA(_xlpm.result,"")
)</f>
        <v/>
      </c>
      <c r="D330" t="str">
        <f>_xlfn.LET(
  _xlpm.result, _xlfn.XLOOKUP($B330, Result_Database!$A$2:$A$500, Result_Database!C$2:C$500),
  _xlfn.IFNA(_xlpm.result, "")
)</f>
        <v/>
      </c>
      <c r="E330" t="str">
        <f>_xlfn.LET(
  _xlpm.result, _xlfn.XLOOKUP($B330, Result_Database!$A$2:$A$500, Result_Database!D$2:D$500),
  _xlfn.IFNA(_xlpm.result, "")
)</f>
        <v/>
      </c>
      <c r="F330" t="str">
        <f>_xlfn.LET(
  _xlpm.result, _xlfn.XLOOKUP($B330, Result_Database!$A$2:$A$500, Result_Database!E$2:E$500),
  _xlfn.IFNA(_xlpm.result, "")
)</f>
        <v/>
      </c>
      <c r="G330" t="str">
        <f>_xlfn.LET(
  _xlpm.result, _xlfn.XLOOKUP($B330, Result_Database!$A$2:$A$500, Result_Database!F$2:F$500),
  _xlfn.IFNA(_xlpm.result, "")
)</f>
        <v/>
      </c>
      <c r="H330" t="str">
        <f>_xlfn.LET(
  _xlpm.result, _xlfn.XLOOKUP($B330, Result_Database!$A$2:$A$500, Result_Database!G$2:G$500),
  _xlfn.IFNA(_xlpm.result, "")
)</f>
        <v/>
      </c>
      <c r="I330" t="str">
        <f>_xlfn.LET(
  _xlpm.result, _xlfn.XLOOKUP($B330, Result_Database!$A$2:$A$500, Result_Database!H$2:H$500),
  _xlfn.IFNA(_xlpm.result, "")
)</f>
        <v/>
      </c>
      <c r="J330" t="str">
        <f>_xlfn.LET(
  _xlpm.result, _xlfn.XLOOKUP($B330, Result_Database!$A$2:$A$500, Result_Database!I$2:I$500),
  _xlfn.IFNA(_xlpm.result, "")
)</f>
        <v/>
      </c>
      <c r="K330" t="str">
        <f>_xlfn.LET(
  _xlpm.result, _xlfn.XLOOKUP($B330, Result_Database!$A$2:$A$500, Result_Database!J$2:J$500),
  _xlfn.IFNA(_xlpm.result, "")
)</f>
        <v/>
      </c>
      <c r="L330" t="str">
        <f>_xlfn.LET(
  _xlpm.result, _xlfn.XLOOKUP($B330, Result_Database!$A$2:$A$500, Result_Database!K$2:K$500),
  _xlfn.IFNA(_xlpm.result, "")
)</f>
        <v/>
      </c>
      <c r="M330" t="str">
        <f>_xlfn.LET(
  _xlpm.result, _xlfn.XLOOKUP($B330, Result_Database!$A$2:$A$500, Result_Database!L$2:L$500),
  _xlfn.IFNA(_xlpm.result, "")
)</f>
        <v/>
      </c>
      <c r="N330" t="str">
        <f>_xlfn.LET(
  _xlpm.result, _xlfn.XLOOKUP($B330, Result_Database!$A$2:$A$500, Result_Database!M$2:M$500),
  _xlfn.IFNA(_xlpm.result, "")
)</f>
        <v/>
      </c>
      <c r="O330" t="str">
        <f>_xlfn.LET(
  _xlpm.result, _xlfn.XLOOKUP($B330, Result_Database!$A$2:$A$500, Result_Database!N$2:N$500),
  _xlfn.IFNA(_xlpm.result, "")
)</f>
        <v/>
      </c>
      <c r="P330" t="str">
        <f>_xlfn.LET(
  _xlpm.result, _xlfn.XLOOKUP($B330, Result_Database!$A$2:$A$500, Result_Database!O$2:O$500),
  _xlfn.IFNA(_xlpm.result, "")
)</f>
        <v/>
      </c>
      <c r="Q330" t="str">
        <f>_xlfn.LET(
  _xlpm.result, _xlfn.XLOOKUP($B330, Result_Database!$A$2:$A$500, Result_Database!P$2:P$500),
  _xlfn.IFNA(_xlpm.result, "")
)</f>
        <v/>
      </c>
      <c r="R330" t="str">
        <f>_xlfn.LET(
  _xlpm.result, _xlfn.XLOOKUP($B330, Result_Database!$A$2:$A$500, Result_Database!Q$2:Q$500),
  _xlfn.IFNA(_xlpm.result, "")
)</f>
        <v/>
      </c>
      <c r="S330" t="str">
        <f>_xlfn.LET(
  _xlpm.result, _xlfn.XLOOKUP($B330, Result_Database!$A$2:$A$500, Result_Database!R$2:R$500),
  _xlfn.IFNA(_xlpm.result, "")
)</f>
        <v/>
      </c>
      <c r="T330" t="str">
        <f>_xlfn.LET(
  _xlpm.result, _xlfn.XLOOKUP($B330, Result_Database!$A$2:$A$500, Result_Database!S$2:S$500),
  _xlfn.IFNA(_xlpm.result, "")
)</f>
        <v/>
      </c>
      <c r="U330" t="str">
        <f>_xlfn.LET(
  _xlpm.result, _xlfn.XLOOKUP($B330, Result_Database!$A$2:$A$500, Result_Database!T$2:T$500),
  _xlfn.IFNA(_xlpm.result, "")
)</f>
        <v/>
      </c>
      <c r="V330" t="str">
        <f>_xlfn.LET(
  _xlpm.result, _xlfn.XLOOKUP($B330, Result_Database!$A$2:$A$500, Result_Database!U$2:U$500),
  _xlfn.IFNA(_xlpm.result, "")
)</f>
        <v/>
      </c>
      <c r="W330" t="str">
        <f>_xlfn.LET(
  _xlpm.result, _xlfn.XLOOKUP($B330, Result_Database!$A$2:$A$500, Result_Database!V$2:V$500),
  _xlfn.IFNA(_xlpm.result, "")
)</f>
        <v/>
      </c>
      <c r="X330" t="str">
        <f>_xlfn.LET(
  _xlpm.result, _xlfn.XLOOKUP($B330, Result_Database!$A$2:$A$500, Result_Database!W$2:W$500),
  _xlfn.IFNA(_xlpm.result, "")
)</f>
        <v/>
      </c>
      <c r="Y330" t="str">
        <f>_xlfn.LET(
  _xlpm.result, _xlfn.XLOOKUP($B330, Result_Database!$A$2:$A$500, Result_Database!X$2:X$500),
  _xlfn.IFNA(_xlpm.result, "")
)</f>
        <v/>
      </c>
      <c r="Z330" t="str">
        <f>_xlfn.LET(
  _xlpm.result, _xlfn.XLOOKUP($B330, Result_Database!$A$2:$A$500, Result_Database!Y$2:Y$500),
  _xlfn.IFNA(_xlpm.result, "")
)</f>
        <v/>
      </c>
      <c r="AA330" t="str">
        <f>_xlfn.LET(
  _xlpm.result, _xlfn.XLOOKUP($B330, Result_Database!$A$2:$A$500, Result_Database!Z$2:Z$500),
  _xlfn.IFNA(_xlpm.result, "")
)</f>
        <v/>
      </c>
      <c r="AB330" t="str">
        <f>_xlfn.LET(
  _xlpm.result, _xlfn.XLOOKUP($B330, Result_Database!$A$2:$A$500, Result_Database!AA$2:AA$500),
  _xlfn.IFNA(_xlpm.result, "")
)</f>
        <v/>
      </c>
      <c r="AC330" t="str">
        <f>_xlfn.LET(
  _xlpm.result, _xlfn.XLOOKUP($B330, Result_Database!$A$2:$A$500, Result_Database!AB$2:AB$500),
  _xlfn.IFNA(_xlpm.result, "")
)</f>
        <v/>
      </c>
      <c r="AD330" t="str">
        <f>_xlfn.LET(
  _xlpm.result, _xlfn.XLOOKUP($B330, Result_Database!$A$2:$A$500, Result_Database!AC$2:AC$500),
  _xlfn.IFNA(_xlpm.result, "")
)</f>
        <v/>
      </c>
      <c r="AE330" t="str">
        <f>_xlfn.LET(
  _xlpm.result, _xlfn.XLOOKUP($B330, Result_Database!$A$2:$A$500, Result_Database!AD$2:AD$500),
  _xlfn.IFNA(_xlpm.result, "")
)</f>
        <v/>
      </c>
      <c r="AF330" t="str">
        <f>_xlfn.LET(
  _xlpm.result, _xlfn.XLOOKUP($B330, Result_Database!$A$2:$A$500, Result_Database!AE$2:AE$500),
  _xlfn.IFNA(_xlpm.result, "")
)</f>
        <v/>
      </c>
      <c r="AG330" t="str">
        <f>_xlfn.LET(
  _xlpm.result, _xlfn.XLOOKUP($B330, Result_Database!$A$2:$A$500, Result_Database!AF$2:AF$500),
  _xlfn.IFNA(_xlpm.result, "")
)</f>
        <v/>
      </c>
      <c r="AH330" t="str">
        <f>_xlfn.LET(
  _xlpm.result, _xlfn.XLOOKUP($B330, Result_Database!$A$2:$A$500, Result_Database!AG$2:AG$500),
  _xlfn.IFNA(_xlpm.result, "")
)</f>
        <v/>
      </c>
      <c r="AI330" t="str">
        <f>_xlfn.LET(
  _xlpm.result, _xlfn.XLOOKUP($B330, Result_Database!$A$2:$A$500, Result_Database!AH$2:AH$500),
  _xlfn.IFNA(_xlpm.result, "")
)</f>
        <v/>
      </c>
      <c r="AJ330" t="str">
        <f>_xlfn.LET(
  _xlpm.result, _xlfn.XLOOKUP($B330, Result_Database!$A$2:$A$500, Result_Database!AI$2:AI$500),
  _xlfn.IFNA(_xlpm.result, "")
)</f>
        <v/>
      </c>
      <c r="AK330" t="str">
        <f>_xlfn.LET(
  _xlpm.result, _xlfn.XLOOKUP($B330, Result_Database!$A$2:$A$500, Result_Database!AJ$2:AJ$500),
  _xlfn.IFNA(_xlpm.result, "")
)</f>
        <v/>
      </c>
      <c r="AL330" t="str">
        <f>_xlfn.LET(
  _xlpm.result, _xlfn.XLOOKUP($B330, Result_Database!$A$2:$A$500, Result_Database!AK$2:AK$500),
  _xlfn.IFNA(_xlpm.result, "")
)</f>
        <v/>
      </c>
      <c r="AM33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3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3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3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3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3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3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3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3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30" t="str">
        <f>IF(SUM(Table5[[#This Row],[A1]:[C6]])&lt;&gt;0,SUM(Table5[[#This Row],[A1]:[C6]]),"")</f>
        <v/>
      </c>
      <c r="AW330" t="str">
        <f>IF(SUM(Table5[[#This Row],[D7]:[F9]])=0,"",SUM(Table5[[#This Row],[D7]:[F9]]))</f>
        <v/>
      </c>
      <c r="AX33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3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3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3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3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3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30" t="str">
        <f>IF(COUNTIF(Table5[[#This Row],[English Language]:[Electrical/ Electronics]],"WITHHELD")=0,"",COUNTIF(Table5[[#This Row],[English Language]:[Electrical/ Electronics]],"WITHHELD"))</f>
        <v/>
      </c>
      <c r="BE330" t="str">
        <f>IF(SUM(Table5[[#This Row],[NO OF CREDITS]:[BELOW CREDITS]])=0,"",SUM(Table5[[#This Row],[NO OF CREDITS]:[BELOW CREDITS]]))</f>
        <v/>
      </c>
    </row>
    <row r="331" spans="1:57" x14ac:dyDescent="0.3">
      <c r="A331" t="str">
        <f>IF(B331&lt;&gt;"",COUNTA($B$6:B331),"")</f>
        <v/>
      </c>
      <c r="B331" t="str">
        <f>IF(Result_Database!A327="","",Result_Database!A327)</f>
        <v/>
      </c>
      <c r="C331" t="str">
        <f>_xlfn.LET(
_xlpm.result,_xlfn.XLOOKUP($B331,Result_Database!$A$2:$A$500,Result_Database!$B$2:$B$500),
_xlfn.IFNA(_xlpm.result,"")
)</f>
        <v/>
      </c>
      <c r="D331" t="str">
        <f>_xlfn.LET(
  _xlpm.result, _xlfn.XLOOKUP($B331, Result_Database!$A$2:$A$500, Result_Database!C$2:C$500),
  _xlfn.IFNA(_xlpm.result, "")
)</f>
        <v/>
      </c>
      <c r="E331" t="str">
        <f>_xlfn.LET(
  _xlpm.result, _xlfn.XLOOKUP($B331, Result_Database!$A$2:$A$500, Result_Database!D$2:D$500),
  _xlfn.IFNA(_xlpm.result, "")
)</f>
        <v/>
      </c>
      <c r="F331" t="str">
        <f>_xlfn.LET(
  _xlpm.result, _xlfn.XLOOKUP($B331, Result_Database!$A$2:$A$500, Result_Database!E$2:E$500),
  _xlfn.IFNA(_xlpm.result, "")
)</f>
        <v/>
      </c>
      <c r="G331" t="str">
        <f>_xlfn.LET(
  _xlpm.result, _xlfn.XLOOKUP($B331, Result_Database!$A$2:$A$500, Result_Database!F$2:F$500),
  _xlfn.IFNA(_xlpm.result, "")
)</f>
        <v/>
      </c>
      <c r="H331" t="str">
        <f>_xlfn.LET(
  _xlpm.result, _xlfn.XLOOKUP($B331, Result_Database!$A$2:$A$500, Result_Database!G$2:G$500),
  _xlfn.IFNA(_xlpm.result, "")
)</f>
        <v/>
      </c>
      <c r="I331" t="str">
        <f>_xlfn.LET(
  _xlpm.result, _xlfn.XLOOKUP($B331, Result_Database!$A$2:$A$500, Result_Database!H$2:H$500),
  _xlfn.IFNA(_xlpm.result, "")
)</f>
        <v/>
      </c>
      <c r="J331" t="str">
        <f>_xlfn.LET(
  _xlpm.result, _xlfn.XLOOKUP($B331, Result_Database!$A$2:$A$500, Result_Database!I$2:I$500),
  _xlfn.IFNA(_xlpm.result, "")
)</f>
        <v/>
      </c>
      <c r="K331" t="str">
        <f>_xlfn.LET(
  _xlpm.result, _xlfn.XLOOKUP($B331, Result_Database!$A$2:$A$500, Result_Database!J$2:J$500),
  _xlfn.IFNA(_xlpm.result, "")
)</f>
        <v/>
      </c>
      <c r="L331" t="str">
        <f>_xlfn.LET(
  _xlpm.result, _xlfn.XLOOKUP($B331, Result_Database!$A$2:$A$500, Result_Database!K$2:K$500),
  _xlfn.IFNA(_xlpm.result, "")
)</f>
        <v/>
      </c>
      <c r="M331" t="str">
        <f>_xlfn.LET(
  _xlpm.result, _xlfn.XLOOKUP($B331, Result_Database!$A$2:$A$500, Result_Database!L$2:L$500),
  _xlfn.IFNA(_xlpm.result, "")
)</f>
        <v/>
      </c>
      <c r="N331" t="str">
        <f>_xlfn.LET(
  _xlpm.result, _xlfn.XLOOKUP($B331, Result_Database!$A$2:$A$500, Result_Database!M$2:M$500),
  _xlfn.IFNA(_xlpm.result, "")
)</f>
        <v/>
      </c>
      <c r="O331" t="str">
        <f>_xlfn.LET(
  _xlpm.result, _xlfn.XLOOKUP($B331, Result_Database!$A$2:$A$500, Result_Database!N$2:N$500),
  _xlfn.IFNA(_xlpm.result, "")
)</f>
        <v/>
      </c>
      <c r="P331" t="str">
        <f>_xlfn.LET(
  _xlpm.result, _xlfn.XLOOKUP($B331, Result_Database!$A$2:$A$500, Result_Database!O$2:O$500),
  _xlfn.IFNA(_xlpm.result, "")
)</f>
        <v/>
      </c>
      <c r="Q331" t="str">
        <f>_xlfn.LET(
  _xlpm.result, _xlfn.XLOOKUP($B331, Result_Database!$A$2:$A$500, Result_Database!P$2:P$500),
  _xlfn.IFNA(_xlpm.result, "")
)</f>
        <v/>
      </c>
      <c r="R331" t="str">
        <f>_xlfn.LET(
  _xlpm.result, _xlfn.XLOOKUP($B331, Result_Database!$A$2:$A$500, Result_Database!Q$2:Q$500),
  _xlfn.IFNA(_xlpm.result, "")
)</f>
        <v/>
      </c>
      <c r="S331" t="str">
        <f>_xlfn.LET(
  _xlpm.result, _xlfn.XLOOKUP($B331, Result_Database!$A$2:$A$500, Result_Database!R$2:R$500),
  _xlfn.IFNA(_xlpm.result, "")
)</f>
        <v/>
      </c>
      <c r="T331" t="str">
        <f>_xlfn.LET(
  _xlpm.result, _xlfn.XLOOKUP($B331, Result_Database!$A$2:$A$500, Result_Database!S$2:S$500),
  _xlfn.IFNA(_xlpm.result, "")
)</f>
        <v/>
      </c>
      <c r="U331" t="str">
        <f>_xlfn.LET(
  _xlpm.result, _xlfn.XLOOKUP($B331, Result_Database!$A$2:$A$500, Result_Database!T$2:T$500),
  _xlfn.IFNA(_xlpm.result, "")
)</f>
        <v/>
      </c>
      <c r="V331" t="str">
        <f>_xlfn.LET(
  _xlpm.result, _xlfn.XLOOKUP($B331, Result_Database!$A$2:$A$500, Result_Database!U$2:U$500),
  _xlfn.IFNA(_xlpm.result, "")
)</f>
        <v/>
      </c>
      <c r="W331" t="str">
        <f>_xlfn.LET(
  _xlpm.result, _xlfn.XLOOKUP($B331, Result_Database!$A$2:$A$500, Result_Database!V$2:V$500),
  _xlfn.IFNA(_xlpm.result, "")
)</f>
        <v/>
      </c>
      <c r="X331" t="str">
        <f>_xlfn.LET(
  _xlpm.result, _xlfn.XLOOKUP($B331, Result_Database!$A$2:$A$500, Result_Database!W$2:W$500),
  _xlfn.IFNA(_xlpm.result, "")
)</f>
        <v/>
      </c>
      <c r="Y331" t="str">
        <f>_xlfn.LET(
  _xlpm.result, _xlfn.XLOOKUP($B331, Result_Database!$A$2:$A$500, Result_Database!X$2:X$500),
  _xlfn.IFNA(_xlpm.result, "")
)</f>
        <v/>
      </c>
      <c r="Z331" t="str">
        <f>_xlfn.LET(
  _xlpm.result, _xlfn.XLOOKUP($B331, Result_Database!$A$2:$A$500, Result_Database!Y$2:Y$500),
  _xlfn.IFNA(_xlpm.result, "")
)</f>
        <v/>
      </c>
      <c r="AA331" t="str">
        <f>_xlfn.LET(
  _xlpm.result, _xlfn.XLOOKUP($B331, Result_Database!$A$2:$A$500, Result_Database!Z$2:Z$500),
  _xlfn.IFNA(_xlpm.result, "")
)</f>
        <v/>
      </c>
      <c r="AB331" t="str">
        <f>_xlfn.LET(
  _xlpm.result, _xlfn.XLOOKUP($B331, Result_Database!$A$2:$A$500, Result_Database!AA$2:AA$500),
  _xlfn.IFNA(_xlpm.result, "")
)</f>
        <v/>
      </c>
      <c r="AC331" t="str">
        <f>_xlfn.LET(
  _xlpm.result, _xlfn.XLOOKUP($B331, Result_Database!$A$2:$A$500, Result_Database!AB$2:AB$500),
  _xlfn.IFNA(_xlpm.result, "")
)</f>
        <v/>
      </c>
      <c r="AD331" t="str">
        <f>_xlfn.LET(
  _xlpm.result, _xlfn.XLOOKUP($B331, Result_Database!$A$2:$A$500, Result_Database!AC$2:AC$500),
  _xlfn.IFNA(_xlpm.result, "")
)</f>
        <v/>
      </c>
      <c r="AE331" t="str">
        <f>_xlfn.LET(
  _xlpm.result, _xlfn.XLOOKUP($B331, Result_Database!$A$2:$A$500, Result_Database!AD$2:AD$500),
  _xlfn.IFNA(_xlpm.result, "")
)</f>
        <v/>
      </c>
      <c r="AF331" t="str">
        <f>_xlfn.LET(
  _xlpm.result, _xlfn.XLOOKUP($B331, Result_Database!$A$2:$A$500, Result_Database!AE$2:AE$500),
  _xlfn.IFNA(_xlpm.result, "")
)</f>
        <v/>
      </c>
      <c r="AG331" t="str">
        <f>_xlfn.LET(
  _xlpm.result, _xlfn.XLOOKUP($B331, Result_Database!$A$2:$A$500, Result_Database!AF$2:AF$500),
  _xlfn.IFNA(_xlpm.result, "")
)</f>
        <v/>
      </c>
      <c r="AH331" t="str">
        <f>_xlfn.LET(
  _xlpm.result, _xlfn.XLOOKUP($B331, Result_Database!$A$2:$A$500, Result_Database!AG$2:AG$500),
  _xlfn.IFNA(_xlpm.result, "")
)</f>
        <v/>
      </c>
      <c r="AI331" t="str">
        <f>_xlfn.LET(
  _xlpm.result, _xlfn.XLOOKUP($B331, Result_Database!$A$2:$A$500, Result_Database!AH$2:AH$500),
  _xlfn.IFNA(_xlpm.result, "")
)</f>
        <v/>
      </c>
      <c r="AJ331" t="str">
        <f>_xlfn.LET(
  _xlpm.result, _xlfn.XLOOKUP($B331, Result_Database!$A$2:$A$500, Result_Database!AI$2:AI$500),
  _xlfn.IFNA(_xlpm.result, "")
)</f>
        <v/>
      </c>
      <c r="AK331" t="str">
        <f>_xlfn.LET(
  _xlpm.result, _xlfn.XLOOKUP($B331, Result_Database!$A$2:$A$500, Result_Database!AJ$2:AJ$500),
  _xlfn.IFNA(_xlpm.result, "")
)</f>
        <v/>
      </c>
      <c r="AL331" t="str">
        <f>_xlfn.LET(
  _xlpm.result, _xlfn.XLOOKUP($B331, Result_Database!$A$2:$A$500, Result_Database!AK$2:AK$500),
  _xlfn.IFNA(_xlpm.result, "")
)</f>
        <v/>
      </c>
      <c r="AM33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3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3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3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3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3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3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3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3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31" t="str">
        <f>IF(SUM(Table5[[#This Row],[A1]:[C6]])&lt;&gt;0,SUM(Table5[[#This Row],[A1]:[C6]]),"")</f>
        <v/>
      </c>
      <c r="AW331" t="str">
        <f>IF(SUM(Table5[[#This Row],[D7]:[F9]])=0,"",SUM(Table5[[#This Row],[D7]:[F9]]))</f>
        <v/>
      </c>
      <c r="AX33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3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3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3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3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3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31" t="str">
        <f>IF(COUNTIF(Table5[[#This Row],[English Language]:[Electrical/ Electronics]],"WITHHELD")=0,"",COUNTIF(Table5[[#This Row],[English Language]:[Electrical/ Electronics]],"WITHHELD"))</f>
        <v/>
      </c>
      <c r="BE331" t="str">
        <f>IF(SUM(Table5[[#This Row],[NO OF CREDITS]:[BELOW CREDITS]])=0,"",SUM(Table5[[#This Row],[NO OF CREDITS]:[BELOW CREDITS]]))</f>
        <v/>
      </c>
    </row>
    <row r="332" spans="1:57" x14ac:dyDescent="0.3">
      <c r="A332" t="str">
        <f>IF(B332&lt;&gt;"",COUNTA($B$6:B332),"")</f>
        <v/>
      </c>
      <c r="B332" t="str">
        <f>IF(Result_Database!A328="","",Result_Database!A328)</f>
        <v/>
      </c>
      <c r="C332" t="str">
        <f>_xlfn.LET(
_xlpm.result,_xlfn.XLOOKUP($B332,Result_Database!$A$2:$A$500,Result_Database!$B$2:$B$500),
_xlfn.IFNA(_xlpm.result,"")
)</f>
        <v/>
      </c>
      <c r="D332" t="str">
        <f>_xlfn.LET(
  _xlpm.result, _xlfn.XLOOKUP($B332, Result_Database!$A$2:$A$500, Result_Database!C$2:C$500),
  _xlfn.IFNA(_xlpm.result, "")
)</f>
        <v/>
      </c>
      <c r="E332" t="str">
        <f>_xlfn.LET(
  _xlpm.result, _xlfn.XLOOKUP($B332, Result_Database!$A$2:$A$500, Result_Database!D$2:D$500),
  _xlfn.IFNA(_xlpm.result, "")
)</f>
        <v/>
      </c>
      <c r="F332" t="str">
        <f>_xlfn.LET(
  _xlpm.result, _xlfn.XLOOKUP($B332, Result_Database!$A$2:$A$500, Result_Database!E$2:E$500),
  _xlfn.IFNA(_xlpm.result, "")
)</f>
        <v/>
      </c>
      <c r="G332" t="str">
        <f>_xlfn.LET(
  _xlpm.result, _xlfn.XLOOKUP($B332, Result_Database!$A$2:$A$500, Result_Database!F$2:F$500),
  _xlfn.IFNA(_xlpm.result, "")
)</f>
        <v/>
      </c>
      <c r="H332" t="str">
        <f>_xlfn.LET(
  _xlpm.result, _xlfn.XLOOKUP($B332, Result_Database!$A$2:$A$500, Result_Database!G$2:G$500),
  _xlfn.IFNA(_xlpm.result, "")
)</f>
        <v/>
      </c>
      <c r="I332" t="str">
        <f>_xlfn.LET(
  _xlpm.result, _xlfn.XLOOKUP($B332, Result_Database!$A$2:$A$500, Result_Database!H$2:H$500),
  _xlfn.IFNA(_xlpm.result, "")
)</f>
        <v/>
      </c>
      <c r="J332" t="str">
        <f>_xlfn.LET(
  _xlpm.result, _xlfn.XLOOKUP($B332, Result_Database!$A$2:$A$500, Result_Database!I$2:I$500),
  _xlfn.IFNA(_xlpm.result, "")
)</f>
        <v/>
      </c>
      <c r="K332" t="str">
        <f>_xlfn.LET(
  _xlpm.result, _xlfn.XLOOKUP($B332, Result_Database!$A$2:$A$500, Result_Database!J$2:J$500),
  _xlfn.IFNA(_xlpm.result, "")
)</f>
        <v/>
      </c>
      <c r="L332" t="str">
        <f>_xlfn.LET(
  _xlpm.result, _xlfn.XLOOKUP($B332, Result_Database!$A$2:$A$500, Result_Database!K$2:K$500),
  _xlfn.IFNA(_xlpm.result, "")
)</f>
        <v/>
      </c>
      <c r="M332" t="str">
        <f>_xlfn.LET(
  _xlpm.result, _xlfn.XLOOKUP($B332, Result_Database!$A$2:$A$500, Result_Database!L$2:L$500),
  _xlfn.IFNA(_xlpm.result, "")
)</f>
        <v/>
      </c>
      <c r="N332" t="str">
        <f>_xlfn.LET(
  _xlpm.result, _xlfn.XLOOKUP($B332, Result_Database!$A$2:$A$500, Result_Database!M$2:M$500),
  _xlfn.IFNA(_xlpm.result, "")
)</f>
        <v/>
      </c>
      <c r="O332" t="str">
        <f>_xlfn.LET(
  _xlpm.result, _xlfn.XLOOKUP($B332, Result_Database!$A$2:$A$500, Result_Database!N$2:N$500),
  _xlfn.IFNA(_xlpm.result, "")
)</f>
        <v/>
      </c>
      <c r="P332" t="str">
        <f>_xlfn.LET(
  _xlpm.result, _xlfn.XLOOKUP($B332, Result_Database!$A$2:$A$500, Result_Database!O$2:O$500),
  _xlfn.IFNA(_xlpm.result, "")
)</f>
        <v/>
      </c>
      <c r="Q332" t="str">
        <f>_xlfn.LET(
  _xlpm.result, _xlfn.XLOOKUP($B332, Result_Database!$A$2:$A$500, Result_Database!P$2:P$500),
  _xlfn.IFNA(_xlpm.result, "")
)</f>
        <v/>
      </c>
      <c r="R332" t="str">
        <f>_xlfn.LET(
  _xlpm.result, _xlfn.XLOOKUP($B332, Result_Database!$A$2:$A$500, Result_Database!Q$2:Q$500),
  _xlfn.IFNA(_xlpm.result, "")
)</f>
        <v/>
      </c>
      <c r="S332" t="str">
        <f>_xlfn.LET(
  _xlpm.result, _xlfn.XLOOKUP($B332, Result_Database!$A$2:$A$500, Result_Database!R$2:R$500),
  _xlfn.IFNA(_xlpm.result, "")
)</f>
        <v/>
      </c>
      <c r="T332" t="str">
        <f>_xlfn.LET(
  _xlpm.result, _xlfn.XLOOKUP($B332, Result_Database!$A$2:$A$500, Result_Database!S$2:S$500),
  _xlfn.IFNA(_xlpm.result, "")
)</f>
        <v/>
      </c>
      <c r="U332" t="str">
        <f>_xlfn.LET(
  _xlpm.result, _xlfn.XLOOKUP($B332, Result_Database!$A$2:$A$500, Result_Database!T$2:T$500),
  _xlfn.IFNA(_xlpm.result, "")
)</f>
        <v/>
      </c>
      <c r="V332" t="str">
        <f>_xlfn.LET(
  _xlpm.result, _xlfn.XLOOKUP($B332, Result_Database!$A$2:$A$500, Result_Database!U$2:U$500),
  _xlfn.IFNA(_xlpm.result, "")
)</f>
        <v/>
      </c>
      <c r="W332" t="str">
        <f>_xlfn.LET(
  _xlpm.result, _xlfn.XLOOKUP($B332, Result_Database!$A$2:$A$500, Result_Database!V$2:V$500),
  _xlfn.IFNA(_xlpm.result, "")
)</f>
        <v/>
      </c>
      <c r="X332" t="str">
        <f>_xlfn.LET(
  _xlpm.result, _xlfn.XLOOKUP($B332, Result_Database!$A$2:$A$500, Result_Database!W$2:W$500),
  _xlfn.IFNA(_xlpm.result, "")
)</f>
        <v/>
      </c>
      <c r="Y332" t="str">
        <f>_xlfn.LET(
  _xlpm.result, _xlfn.XLOOKUP($B332, Result_Database!$A$2:$A$500, Result_Database!X$2:X$500),
  _xlfn.IFNA(_xlpm.result, "")
)</f>
        <v/>
      </c>
      <c r="Z332" t="str">
        <f>_xlfn.LET(
  _xlpm.result, _xlfn.XLOOKUP($B332, Result_Database!$A$2:$A$500, Result_Database!Y$2:Y$500),
  _xlfn.IFNA(_xlpm.result, "")
)</f>
        <v/>
      </c>
      <c r="AA332" t="str">
        <f>_xlfn.LET(
  _xlpm.result, _xlfn.XLOOKUP($B332, Result_Database!$A$2:$A$500, Result_Database!Z$2:Z$500),
  _xlfn.IFNA(_xlpm.result, "")
)</f>
        <v/>
      </c>
      <c r="AB332" t="str">
        <f>_xlfn.LET(
  _xlpm.result, _xlfn.XLOOKUP($B332, Result_Database!$A$2:$A$500, Result_Database!AA$2:AA$500),
  _xlfn.IFNA(_xlpm.result, "")
)</f>
        <v/>
      </c>
      <c r="AC332" t="str">
        <f>_xlfn.LET(
  _xlpm.result, _xlfn.XLOOKUP($B332, Result_Database!$A$2:$A$500, Result_Database!AB$2:AB$500),
  _xlfn.IFNA(_xlpm.result, "")
)</f>
        <v/>
      </c>
      <c r="AD332" t="str">
        <f>_xlfn.LET(
  _xlpm.result, _xlfn.XLOOKUP($B332, Result_Database!$A$2:$A$500, Result_Database!AC$2:AC$500),
  _xlfn.IFNA(_xlpm.result, "")
)</f>
        <v/>
      </c>
      <c r="AE332" t="str">
        <f>_xlfn.LET(
  _xlpm.result, _xlfn.XLOOKUP($B332, Result_Database!$A$2:$A$500, Result_Database!AD$2:AD$500),
  _xlfn.IFNA(_xlpm.result, "")
)</f>
        <v/>
      </c>
      <c r="AF332" t="str">
        <f>_xlfn.LET(
  _xlpm.result, _xlfn.XLOOKUP($B332, Result_Database!$A$2:$A$500, Result_Database!AE$2:AE$500),
  _xlfn.IFNA(_xlpm.result, "")
)</f>
        <v/>
      </c>
      <c r="AG332" t="str">
        <f>_xlfn.LET(
  _xlpm.result, _xlfn.XLOOKUP($B332, Result_Database!$A$2:$A$500, Result_Database!AF$2:AF$500),
  _xlfn.IFNA(_xlpm.result, "")
)</f>
        <v/>
      </c>
      <c r="AH332" t="str">
        <f>_xlfn.LET(
  _xlpm.result, _xlfn.XLOOKUP($B332, Result_Database!$A$2:$A$500, Result_Database!AG$2:AG$500),
  _xlfn.IFNA(_xlpm.result, "")
)</f>
        <v/>
      </c>
      <c r="AI332" t="str">
        <f>_xlfn.LET(
  _xlpm.result, _xlfn.XLOOKUP($B332, Result_Database!$A$2:$A$500, Result_Database!AH$2:AH$500),
  _xlfn.IFNA(_xlpm.result, "")
)</f>
        <v/>
      </c>
      <c r="AJ332" t="str">
        <f>_xlfn.LET(
  _xlpm.result, _xlfn.XLOOKUP($B332, Result_Database!$A$2:$A$500, Result_Database!AI$2:AI$500),
  _xlfn.IFNA(_xlpm.result, "")
)</f>
        <v/>
      </c>
      <c r="AK332" t="str">
        <f>_xlfn.LET(
  _xlpm.result, _xlfn.XLOOKUP($B332, Result_Database!$A$2:$A$500, Result_Database!AJ$2:AJ$500),
  _xlfn.IFNA(_xlpm.result, "")
)</f>
        <v/>
      </c>
      <c r="AL332" t="str">
        <f>_xlfn.LET(
  _xlpm.result, _xlfn.XLOOKUP($B332, Result_Database!$A$2:$A$500, Result_Database!AK$2:AK$500),
  _xlfn.IFNA(_xlpm.result, "")
)</f>
        <v/>
      </c>
      <c r="AM33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3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3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3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3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3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3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3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3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32" t="str">
        <f>IF(SUM(Table5[[#This Row],[A1]:[C6]])&lt;&gt;0,SUM(Table5[[#This Row],[A1]:[C6]]),"")</f>
        <v/>
      </c>
      <c r="AW332" t="str">
        <f>IF(SUM(Table5[[#This Row],[D7]:[F9]])=0,"",SUM(Table5[[#This Row],[D7]:[F9]]))</f>
        <v/>
      </c>
      <c r="AX33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3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3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3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3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3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32" t="str">
        <f>IF(COUNTIF(Table5[[#This Row],[English Language]:[Electrical/ Electronics]],"WITHHELD")=0,"",COUNTIF(Table5[[#This Row],[English Language]:[Electrical/ Electronics]],"WITHHELD"))</f>
        <v/>
      </c>
      <c r="BE332" t="str">
        <f>IF(SUM(Table5[[#This Row],[NO OF CREDITS]:[BELOW CREDITS]])=0,"",SUM(Table5[[#This Row],[NO OF CREDITS]:[BELOW CREDITS]]))</f>
        <v/>
      </c>
    </row>
    <row r="333" spans="1:57" x14ac:dyDescent="0.3">
      <c r="A333" t="str">
        <f>IF(B333&lt;&gt;"",COUNTA($B$6:B333),"")</f>
        <v/>
      </c>
      <c r="B333" t="str">
        <f>IF(Result_Database!A329="","",Result_Database!A329)</f>
        <v/>
      </c>
      <c r="C333" t="str">
        <f>_xlfn.LET(
_xlpm.result,_xlfn.XLOOKUP($B333,Result_Database!$A$2:$A$500,Result_Database!$B$2:$B$500),
_xlfn.IFNA(_xlpm.result,"")
)</f>
        <v/>
      </c>
      <c r="D333" t="str">
        <f>_xlfn.LET(
  _xlpm.result, _xlfn.XLOOKUP($B333, Result_Database!$A$2:$A$500, Result_Database!C$2:C$500),
  _xlfn.IFNA(_xlpm.result, "")
)</f>
        <v/>
      </c>
      <c r="E333" t="str">
        <f>_xlfn.LET(
  _xlpm.result, _xlfn.XLOOKUP($B333, Result_Database!$A$2:$A$500, Result_Database!D$2:D$500),
  _xlfn.IFNA(_xlpm.result, "")
)</f>
        <v/>
      </c>
      <c r="F333" t="str">
        <f>_xlfn.LET(
  _xlpm.result, _xlfn.XLOOKUP($B333, Result_Database!$A$2:$A$500, Result_Database!E$2:E$500),
  _xlfn.IFNA(_xlpm.result, "")
)</f>
        <v/>
      </c>
      <c r="G333" t="str">
        <f>_xlfn.LET(
  _xlpm.result, _xlfn.XLOOKUP($B333, Result_Database!$A$2:$A$500, Result_Database!F$2:F$500),
  _xlfn.IFNA(_xlpm.result, "")
)</f>
        <v/>
      </c>
      <c r="H333" t="str">
        <f>_xlfn.LET(
  _xlpm.result, _xlfn.XLOOKUP($B333, Result_Database!$A$2:$A$500, Result_Database!G$2:G$500),
  _xlfn.IFNA(_xlpm.result, "")
)</f>
        <v/>
      </c>
      <c r="I333" t="str">
        <f>_xlfn.LET(
  _xlpm.result, _xlfn.XLOOKUP($B333, Result_Database!$A$2:$A$500, Result_Database!H$2:H$500),
  _xlfn.IFNA(_xlpm.result, "")
)</f>
        <v/>
      </c>
      <c r="J333" t="str">
        <f>_xlfn.LET(
  _xlpm.result, _xlfn.XLOOKUP($B333, Result_Database!$A$2:$A$500, Result_Database!I$2:I$500),
  _xlfn.IFNA(_xlpm.result, "")
)</f>
        <v/>
      </c>
      <c r="K333" t="str">
        <f>_xlfn.LET(
  _xlpm.result, _xlfn.XLOOKUP($B333, Result_Database!$A$2:$A$500, Result_Database!J$2:J$500),
  _xlfn.IFNA(_xlpm.result, "")
)</f>
        <v/>
      </c>
      <c r="L333" t="str">
        <f>_xlfn.LET(
  _xlpm.result, _xlfn.XLOOKUP($B333, Result_Database!$A$2:$A$500, Result_Database!K$2:K$500),
  _xlfn.IFNA(_xlpm.result, "")
)</f>
        <v/>
      </c>
      <c r="M333" t="str">
        <f>_xlfn.LET(
  _xlpm.result, _xlfn.XLOOKUP($B333, Result_Database!$A$2:$A$500, Result_Database!L$2:L$500),
  _xlfn.IFNA(_xlpm.result, "")
)</f>
        <v/>
      </c>
      <c r="N333" t="str">
        <f>_xlfn.LET(
  _xlpm.result, _xlfn.XLOOKUP($B333, Result_Database!$A$2:$A$500, Result_Database!M$2:M$500),
  _xlfn.IFNA(_xlpm.result, "")
)</f>
        <v/>
      </c>
      <c r="O333" t="str">
        <f>_xlfn.LET(
  _xlpm.result, _xlfn.XLOOKUP($B333, Result_Database!$A$2:$A$500, Result_Database!N$2:N$500),
  _xlfn.IFNA(_xlpm.result, "")
)</f>
        <v/>
      </c>
      <c r="P333" t="str">
        <f>_xlfn.LET(
  _xlpm.result, _xlfn.XLOOKUP($B333, Result_Database!$A$2:$A$500, Result_Database!O$2:O$500),
  _xlfn.IFNA(_xlpm.result, "")
)</f>
        <v/>
      </c>
      <c r="Q333" t="str">
        <f>_xlfn.LET(
  _xlpm.result, _xlfn.XLOOKUP($B333, Result_Database!$A$2:$A$500, Result_Database!P$2:P$500),
  _xlfn.IFNA(_xlpm.result, "")
)</f>
        <v/>
      </c>
      <c r="R333" t="str">
        <f>_xlfn.LET(
  _xlpm.result, _xlfn.XLOOKUP($B333, Result_Database!$A$2:$A$500, Result_Database!Q$2:Q$500),
  _xlfn.IFNA(_xlpm.result, "")
)</f>
        <v/>
      </c>
      <c r="S333" t="str">
        <f>_xlfn.LET(
  _xlpm.result, _xlfn.XLOOKUP($B333, Result_Database!$A$2:$A$500, Result_Database!R$2:R$500),
  _xlfn.IFNA(_xlpm.result, "")
)</f>
        <v/>
      </c>
      <c r="T333" t="str">
        <f>_xlfn.LET(
  _xlpm.result, _xlfn.XLOOKUP($B333, Result_Database!$A$2:$A$500, Result_Database!S$2:S$500),
  _xlfn.IFNA(_xlpm.result, "")
)</f>
        <v/>
      </c>
      <c r="U333" t="str">
        <f>_xlfn.LET(
  _xlpm.result, _xlfn.XLOOKUP($B333, Result_Database!$A$2:$A$500, Result_Database!T$2:T$500),
  _xlfn.IFNA(_xlpm.result, "")
)</f>
        <v/>
      </c>
      <c r="V333" t="str">
        <f>_xlfn.LET(
  _xlpm.result, _xlfn.XLOOKUP($B333, Result_Database!$A$2:$A$500, Result_Database!U$2:U$500),
  _xlfn.IFNA(_xlpm.result, "")
)</f>
        <v/>
      </c>
      <c r="W333" t="str">
        <f>_xlfn.LET(
  _xlpm.result, _xlfn.XLOOKUP($B333, Result_Database!$A$2:$A$500, Result_Database!V$2:V$500),
  _xlfn.IFNA(_xlpm.result, "")
)</f>
        <v/>
      </c>
      <c r="X333" t="str">
        <f>_xlfn.LET(
  _xlpm.result, _xlfn.XLOOKUP($B333, Result_Database!$A$2:$A$500, Result_Database!W$2:W$500),
  _xlfn.IFNA(_xlpm.result, "")
)</f>
        <v/>
      </c>
      <c r="Y333" t="str">
        <f>_xlfn.LET(
  _xlpm.result, _xlfn.XLOOKUP($B333, Result_Database!$A$2:$A$500, Result_Database!X$2:X$500),
  _xlfn.IFNA(_xlpm.result, "")
)</f>
        <v/>
      </c>
      <c r="Z333" t="str">
        <f>_xlfn.LET(
  _xlpm.result, _xlfn.XLOOKUP($B333, Result_Database!$A$2:$A$500, Result_Database!Y$2:Y$500),
  _xlfn.IFNA(_xlpm.result, "")
)</f>
        <v/>
      </c>
      <c r="AA333" t="str">
        <f>_xlfn.LET(
  _xlpm.result, _xlfn.XLOOKUP($B333, Result_Database!$A$2:$A$500, Result_Database!Z$2:Z$500),
  _xlfn.IFNA(_xlpm.result, "")
)</f>
        <v/>
      </c>
      <c r="AB333" t="str">
        <f>_xlfn.LET(
  _xlpm.result, _xlfn.XLOOKUP($B333, Result_Database!$A$2:$A$500, Result_Database!AA$2:AA$500),
  _xlfn.IFNA(_xlpm.result, "")
)</f>
        <v/>
      </c>
      <c r="AC333" t="str">
        <f>_xlfn.LET(
  _xlpm.result, _xlfn.XLOOKUP($B333, Result_Database!$A$2:$A$500, Result_Database!AB$2:AB$500),
  _xlfn.IFNA(_xlpm.result, "")
)</f>
        <v/>
      </c>
      <c r="AD333" t="str">
        <f>_xlfn.LET(
  _xlpm.result, _xlfn.XLOOKUP($B333, Result_Database!$A$2:$A$500, Result_Database!AC$2:AC$500),
  _xlfn.IFNA(_xlpm.result, "")
)</f>
        <v/>
      </c>
      <c r="AE333" t="str">
        <f>_xlfn.LET(
  _xlpm.result, _xlfn.XLOOKUP($B333, Result_Database!$A$2:$A$500, Result_Database!AD$2:AD$500),
  _xlfn.IFNA(_xlpm.result, "")
)</f>
        <v/>
      </c>
      <c r="AF333" t="str">
        <f>_xlfn.LET(
  _xlpm.result, _xlfn.XLOOKUP($B333, Result_Database!$A$2:$A$500, Result_Database!AE$2:AE$500),
  _xlfn.IFNA(_xlpm.result, "")
)</f>
        <v/>
      </c>
      <c r="AG333" t="str">
        <f>_xlfn.LET(
  _xlpm.result, _xlfn.XLOOKUP($B333, Result_Database!$A$2:$A$500, Result_Database!AF$2:AF$500),
  _xlfn.IFNA(_xlpm.result, "")
)</f>
        <v/>
      </c>
      <c r="AH333" t="str">
        <f>_xlfn.LET(
  _xlpm.result, _xlfn.XLOOKUP($B333, Result_Database!$A$2:$A$500, Result_Database!AG$2:AG$500),
  _xlfn.IFNA(_xlpm.result, "")
)</f>
        <v/>
      </c>
      <c r="AI333" t="str">
        <f>_xlfn.LET(
  _xlpm.result, _xlfn.XLOOKUP($B333, Result_Database!$A$2:$A$500, Result_Database!AH$2:AH$500),
  _xlfn.IFNA(_xlpm.result, "")
)</f>
        <v/>
      </c>
      <c r="AJ333" t="str">
        <f>_xlfn.LET(
  _xlpm.result, _xlfn.XLOOKUP($B333, Result_Database!$A$2:$A$500, Result_Database!AI$2:AI$500),
  _xlfn.IFNA(_xlpm.result, "")
)</f>
        <v/>
      </c>
      <c r="AK333" t="str">
        <f>_xlfn.LET(
  _xlpm.result, _xlfn.XLOOKUP($B333, Result_Database!$A$2:$A$500, Result_Database!AJ$2:AJ$500),
  _xlfn.IFNA(_xlpm.result, "")
)</f>
        <v/>
      </c>
      <c r="AL333" t="str">
        <f>_xlfn.LET(
  _xlpm.result, _xlfn.XLOOKUP($B333, Result_Database!$A$2:$A$500, Result_Database!AK$2:AK$500),
  _xlfn.IFNA(_xlpm.result, "")
)</f>
        <v/>
      </c>
      <c r="AM33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3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3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3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3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3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3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3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3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33" t="str">
        <f>IF(SUM(Table5[[#This Row],[A1]:[C6]])&lt;&gt;0,SUM(Table5[[#This Row],[A1]:[C6]]),"")</f>
        <v/>
      </c>
      <c r="AW333" t="str">
        <f>IF(SUM(Table5[[#This Row],[D7]:[F9]])=0,"",SUM(Table5[[#This Row],[D7]:[F9]]))</f>
        <v/>
      </c>
      <c r="AX33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3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3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3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3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3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33" t="str">
        <f>IF(COUNTIF(Table5[[#This Row],[English Language]:[Electrical/ Electronics]],"WITHHELD")=0,"",COUNTIF(Table5[[#This Row],[English Language]:[Electrical/ Electronics]],"WITHHELD"))</f>
        <v/>
      </c>
      <c r="BE333" t="str">
        <f>IF(SUM(Table5[[#This Row],[NO OF CREDITS]:[BELOW CREDITS]])=0,"",SUM(Table5[[#This Row],[NO OF CREDITS]:[BELOW CREDITS]]))</f>
        <v/>
      </c>
    </row>
    <row r="334" spans="1:57" x14ac:dyDescent="0.3">
      <c r="A334" t="str">
        <f>IF(B334&lt;&gt;"",COUNTA($B$6:B334),"")</f>
        <v/>
      </c>
      <c r="B334" t="str">
        <f>IF(Result_Database!A330="","",Result_Database!A330)</f>
        <v/>
      </c>
      <c r="C334" t="str">
        <f>_xlfn.LET(
_xlpm.result,_xlfn.XLOOKUP($B334,Result_Database!$A$2:$A$500,Result_Database!$B$2:$B$500),
_xlfn.IFNA(_xlpm.result,"")
)</f>
        <v/>
      </c>
      <c r="D334" t="str">
        <f>_xlfn.LET(
  _xlpm.result, _xlfn.XLOOKUP($B334, Result_Database!$A$2:$A$500, Result_Database!C$2:C$500),
  _xlfn.IFNA(_xlpm.result, "")
)</f>
        <v/>
      </c>
      <c r="E334" t="str">
        <f>_xlfn.LET(
  _xlpm.result, _xlfn.XLOOKUP($B334, Result_Database!$A$2:$A$500, Result_Database!D$2:D$500),
  _xlfn.IFNA(_xlpm.result, "")
)</f>
        <v/>
      </c>
      <c r="F334" t="str">
        <f>_xlfn.LET(
  _xlpm.result, _xlfn.XLOOKUP($B334, Result_Database!$A$2:$A$500, Result_Database!E$2:E$500),
  _xlfn.IFNA(_xlpm.result, "")
)</f>
        <v/>
      </c>
      <c r="G334" t="str">
        <f>_xlfn.LET(
  _xlpm.result, _xlfn.XLOOKUP($B334, Result_Database!$A$2:$A$500, Result_Database!F$2:F$500),
  _xlfn.IFNA(_xlpm.result, "")
)</f>
        <v/>
      </c>
      <c r="H334" t="str">
        <f>_xlfn.LET(
  _xlpm.result, _xlfn.XLOOKUP($B334, Result_Database!$A$2:$A$500, Result_Database!G$2:G$500),
  _xlfn.IFNA(_xlpm.result, "")
)</f>
        <v/>
      </c>
      <c r="I334" t="str">
        <f>_xlfn.LET(
  _xlpm.result, _xlfn.XLOOKUP($B334, Result_Database!$A$2:$A$500, Result_Database!H$2:H$500),
  _xlfn.IFNA(_xlpm.result, "")
)</f>
        <v/>
      </c>
      <c r="J334" t="str">
        <f>_xlfn.LET(
  _xlpm.result, _xlfn.XLOOKUP($B334, Result_Database!$A$2:$A$500, Result_Database!I$2:I$500),
  _xlfn.IFNA(_xlpm.result, "")
)</f>
        <v/>
      </c>
      <c r="K334" t="str">
        <f>_xlfn.LET(
  _xlpm.result, _xlfn.XLOOKUP($B334, Result_Database!$A$2:$A$500, Result_Database!J$2:J$500),
  _xlfn.IFNA(_xlpm.result, "")
)</f>
        <v/>
      </c>
      <c r="L334" t="str">
        <f>_xlfn.LET(
  _xlpm.result, _xlfn.XLOOKUP($B334, Result_Database!$A$2:$A$500, Result_Database!K$2:K$500),
  _xlfn.IFNA(_xlpm.result, "")
)</f>
        <v/>
      </c>
      <c r="M334" t="str">
        <f>_xlfn.LET(
  _xlpm.result, _xlfn.XLOOKUP($B334, Result_Database!$A$2:$A$500, Result_Database!L$2:L$500),
  _xlfn.IFNA(_xlpm.result, "")
)</f>
        <v/>
      </c>
      <c r="N334" t="str">
        <f>_xlfn.LET(
  _xlpm.result, _xlfn.XLOOKUP($B334, Result_Database!$A$2:$A$500, Result_Database!M$2:M$500),
  _xlfn.IFNA(_xlpm.result, "")
)</f>
        <v/>
      </c>
      <c r="O334" t="str">
        <f>_xlfn.LET(
  _xlpm.result, _xlfn.XLOOKUP($B334, Result_Database!$A$2:$A$500, Result_Database!N$2:N$500),
  _xlfn.IFNA(_xlpm.result, "")
)</f>
        <v/>
      </c>
      <c r="P334" t="str">
        <f>_xlfn.LET(
  _xlpm.result, _xlfn.XLOOKUP($B334, Result_Database!$A$2:$A$500, Result_Database!O$2:O$500),
  _xlfn.IFNA(_xlpm.result, "")
)</f>
        <v/>
      </c>
      <c r="Q334" t="str">
        <f>_xlfn.LET(
  _xlpm.result, _xlfn.XLOOKUP($B334, Result_Database!$A$2:$A$500, Result_Database!P$2:P$500),
  _xlfn.IFNA(_xlpm.result, "")
)</f>
        <v/>
      </c>
      <c r="R334" t="str">
        <f>_xlfn.LET(
  _xlpm.result, _xlfn.XLOOKUP($B334, Result_Database!$A$2:$A$500, Result_Database!Q$2:Q$500),
  _xlfn.IFNA(_xlpm.result, "")
)</f>
        <v/>
      </c>
      <c r="S334" t="str">
        <f>_xlfn.LET(
  _xlpm.result, _xlfn.XLOOKUP($B334, Result_Database!$A$2:$A$500, Result_Database!R$2:R$500),
  _xlfn.IFNA(_xlpm.result, "")
)</f>
        <v/>
      </c>
      <c r="T334" t="str">
        <f>_xlfn.LET(
  _xlpm.result, _xlfn.XLOOKUP($B334, Result_Database!$A$2:$A$500, Result_Database!S$2:S$500),
  _xlfn.IFNA(_xlpm.result, "")
)</f>
        <v/>
      </c>
      <c r="U334" t="str">
        <f>_xlfn.LET(
  _xlpm.result, _xlfn.XLOOKUP($B334, Result_Database!$A$2:$A$500, Result_Database!T$2:T$500),
  _xlfn.IFNA(_xlpm.result, "")
)</f>
        <v/>
      </c>
      <c r="V334" t="str">
        <f>_xlfn.LET(
  _xlpm.result, _xlfn.XLOOKUP($B334, Result_Database!$A$2:$A$500, Result_Database!U$2:U$500),
  _xlfn.IFNA(_xlpm.result, "")
)</f>
        <v/>
      </c>
      <c r="W334" t="str">
        <f>_xlfn.LET(
  _xlpm.result, _xlfn.XLOOKUP($B334, Result_Database!$A$2:$A$500, Result_Database!V$2:V$500),
  _xlfn.IFNA(_xlpm.result, "")
)</f>
        <v/>
      </c>
      <c r="X334" t="str">
        <f>_xlfn.LET(
  _xlpm.result, _xlfn.XLOOKUP($B334, Result_Database!$A$2:$A$500, Result_Database!W$2:W$500),
  _xlfn.IFNA(_xlpm.result, "")
)</f>
        <v/>
      </c>
      <c r="Y334" t="str">
        <f>_xlfn.LET(
  _xlpm.result, _xlfn.XLOOKUP($B334, Result_Database!$A$2:$A$500, Result_Database!X$2:X$500),
  _xlfn.IFNA(_xlpm.result, "")
)</f>
        <v/>
      </c>
      <c r="Z334" t="str">
        <f>_xlfn.LET(
  _xlpm.result, _xlfn.XLOOKUP($B334, Result_Database!$A$2:$A$500, Result_Database!Y$2:Y$500),
  _xlfn.IFNA(_xlpm.result, "")
)</f>
        <v/>
      </c>
      <c r="AA334" t="str">
        <f>_xlfn.LET(
  _xlpm.result, _xlfn.XLOOKUP($B334, Result_Database!$A$2:$A$500, Result_Database!Z$2:Z$500),
  _xlfn.IFNA(_xlpm.result, "")
)</f>
        <v/>
      </c>
      <c r="AB334" t="str">
        <f>_xlfn.LET(
  _xlpm.result, _xlfn.XLOOKUP($B334, Result_Database!$A$2:$A$500, Result_Database!AA$2:AA$500),
  _xlfn.IFNA(_xlpm.result, "")
)</f>
        <v/>
      </c>
      <c r="AC334" t="str">
        <f>_xlfn.LET(
  _xlpm.result, _xlfn.XLOOKUP($B334, Result_Database!$A$2:$A$500, Result_Database!AB$2:AB$500),
  _xlfn.IFNA(_xlpm.result, "")
)</f>
        <v/>
      </c>
      <c r="AD334" t="str">
        <f>_xlfn.LET(
  _xlpm.result, _xlfn.XLOOKUP($B334, Result_Database!$A$2:$A$500, Result_Database!AC$2:AC$500),
  _xlfn.IFNA(_xlpm.result, "")
)</f>
        <v/>
      </c>
      <c r="AE334" t="str">
        <f>_xlfn.LET(
  _xlpm.result, _xlfn.XLOOKUP($B334, Result_Database!$A$2:$A$500, Result_Database!AD$2:AD$500),
  _xlfn.IFNA(_xlpm.result, "")
)</f>
        <v/>
      </c>
      <c r="AF334" t="str">
        <f>_xlfn.LET(
  _xlpm.result, _xlfn.XLOOKUP($B334, Result_Database!$A$2:$A$500, Result_Database!AE$2:AE$500),
  _xlfn.IFNA(_xlpm.result, "")
)</f>
        <v/>
      </c>
      <c r="AG334" t="str">
        <f>_xlfn.LET(
  _xlpm.result, _xlfn.XLOOKUP($B334, Result_Database!$A$2:$A$500, Result_Database!AF$2:AF$500),
  _xlfn.IFNA(_xlpm.result, "")
)</f>
        <v/>
      </c>
      <c r="AH334" t="str">
        <f>_xlfn.LET(
  _xlpm.result, _xlfn.XLOOKUP($B334, Result_Database!$A$2:$A$500, Result_Database!AG$2:AG$500),
  _xlfn.IFNA(_xlpm.result, "")
)</f>
        <v/>
      </c>
      <c r="AI334" t="str">
        <f>_xlfn.LET(
  _xlpm.result, _xlfn.XLOOKUP($B334, Result_Database!$A$2:$A$500, Result_Database!AH$2:AH$500),
  _xlfn.IFNA(_xlpm.result, "")
)</f>
        <v/>
      </c>
      <c r="AJ334" t="str">
        <f>_xlfn.LET(
  _xlpm.result, _xlfn.XLOOKUP($B334, Result_Database!$A$2:$A$500, Result_Database!AI$2:AI$500),
  _xlfn.IFNA(_xlpm.result, "")
)</f>
        <v/>
      </c>
      <c r="AK334" t="str">
        <f>_xlfn.LET(
  _xlpm.result, _xlfn.XLOOKUP($B334, Result_Database!$A$2:$A$500, Result_Database!AJ$2:AJ$500),
  _xlfn.IFNA(_xlpm.result, "")
)</f>
        <v/>
      </c>
      <c r="AL334" t="str">
        <f>_xlfn.LET(
  _xlpm.result, _xlfn.XLOOKUP($B334, Result_Database!$A$2:$A$500, Result_Database!AK$2:AK$500),
  _xlfn.IFNA(_xlpm.result, "")
)</f>
        <v/>
      </c>
      <c r="AM33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3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3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3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3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3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3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3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3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34" t="str">
        <f>IF(SUM(Table5[[#This Row],[A1]:[C6]])&lt;&gt;0,SUM(Table5[[#This Row],[A1]:[C6]]),"")</f>
        <v/>
      </c>
      <c r="AW334" t="str">
        <f>IF(SUM(Table5[[#This Row],[D7]:[F9]])=0,"",SUM(Table5[[#This Row],[D7]:[F9]]))</f>
        <v/>
      </c>
      <c r="AX33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3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3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3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3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3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34" t="str">
        <f>IF(COUNTIF(Table5[[#This Row],[English Language]:[Electrical/ Electronics]],"WITHHELD")=0,"",COUNTIF(Table5[[#This Row],[English Language]:[Electrical/ Electronics]],"WITHHELD"))</f>
        <v/>
      </c>
      <c r="BE334" t="str">
        <f>IF(SUM(Table5[[#This Row],[NO OF CREDITS]:[BELOW CREDITS]])=0,"",SUM(Table5[[#This Row],[NO OF CREDITS]:[BELOW CREDITS]]))</f>
        <v/>
      </c>
    </row>
    <row r="335" spans="1:57" x14ac:dyDescent="0.3">
      <c r="A335" t="str">
        <f>IF(B335&lt;&gt;"",COUNTA($B$6:B335),"")</f>
        <v/>
      </c>
      <c r="B335" t="str">
        <f>IF(Result_Database!A331="","",Result_Database!A331)</f>
        <v/>
      </c>
      <c r="C335" t="str">
        <f>_xlfn.LET(
_xlpm.result,_xlfn.XLOOKUP($B335,Result_Database!$A$2:$A$500,Result_Database!$B$2:$B$500),
_xlfn.IFNA(_xlpm.result,"")
)</f>
        <v/>
      </c>
      <c r="D335" t="str">
        <f>_xlfn.LET(
  _xlpm.result, _xlfn.XLOOKUP($B335, Result_Database!$A$2:$A$500, Result_Database!C$2:C$500),
  _xlfn.IFNA(_xlpm.result, "")
)</f>
        <v/>
      </c>
      <c r="E335" t="str">
        <f>_xlfn.LET(
  _xlpm.result, _xlfn.XLOOKUP($B335, Result_Database!$A$2:$A$500, Result_Database!D$2:D$500),
  _xlfn.IFNA(_xlpm.result, "")
)</f>
        <v/>
      </c>
      <c r="F335" t="str">
        <f>_xlfn.LET(
  _xlpm.result, _xlfn.XLOOKUP($B335, Result_Database!$A$2:$A$500, Result_Database!E$2:E$500),
  _xlfn.IFNA(_xlpm.result, "")
)</f>
        <v/>
      </c>
      <c r="G335" t="str">
        <f>_xlfn.LET(
  _xlpm.result, _xlfn.XLOOKUP($B335, Result_Database!$A$2:$A$500, Result_Database!F$2:F$500),
  _xlfn.IFNA(_xlpm.result, "")
)</f>
        <v/>
      </c>
      <c r="H335" t="str">
        <f>_xlfn.LET(
  _xlpm.result, _xlfn.XLOOKUP($B335, Result_Database!$A$2:$A$500, Result_Database!G$2:G$500),
  _xlfn.IFNA(_xlpm.result, "")
)</f>
        <v/>
      </c>
      <c r="I335" t="str">
        <f>_xlfn.LET(
  _xlpm.result, _xlfn.XLOOKUP($B335, Result_Database!$A$2:$A$500, Result_Database!H$2:H$500),
  _xlfn.IFNA(_xlpm.result, "")
)</f>
        <v/>
      </c>
      <c r="J335" t="str">
        <f>_xlfn.LET(
  _xlpm.result, _xlfn.XLOOKUP($B335, Result_Database!$A$2:$A$500, Result_Database!I$2:I$500),
  _xlfn.IFNA(_xlpm.result, "")
)</f>
        <v/>
      </c>
      <c r="K335" t="str">
        <f>_xlfn.LET(
  _xlpm.result, _xlfn.XLOOKUP($B335, Result_Database!$A$2:$A$500, Result_Database!J$2:J$500),
  _xlfn.IFNA(_xlpm.result, "")
)</f>
        <v/>
      </c>
      <c r="L335" t="str">
        <f>_xlfn.LET(
  _xlpm.result, _xlfn.XLOOKUP($B335, Result_Database!$A$2:$A$500, Result_Database!K$2:K$500),
  _xlfn.IFNA(_xlpm.result, "")
)</f>
        <v/>
      </c>
      <c r="M335" t="str">
        <f>_xlfn.LET(
  _xlpm.result, _xlfn.XLOOKUP($B335, Result_Database!$A$2:$A$500, Result_Database!L$2:L$500),
  _xlfn.IFNA(_xlpm.result, "")
)</f>
        <v/>
      </c>
      <c r="N335" t="str">
        <f>_xlfn.LET(
  _xlpm.result, _xlfn.XLOOKUP($B335, Result_Database!$A$2:$A$500, Result_Database!M$2:M$500),
  _xlfn.IFNA(_xlpm.result, "")
)</f>
        <v/>
      </c>
      <c r="O335" t="str">
        <f>_xlfn.LET(
  _xlpm.result, _xlfn.XLOOKUP($B335, Result_Database!$A$2:$A$500, Result_Database!N$2:N$500),
  _xlfn.IFNA(_xlpm.result, "")
)</f>
        <v/>
      </c>
      <c r="P335" t="str">
        <f>_xlfn.LET(
  _xlpm.result, _xlfn.XLOOKUP($B335, Result_Database!$A$2:$A$500, Result_Database!O$2:O$500),
  _xlfn.IFNA(_xlpm.result, "")
)</f>
        <v/>
      </c>
      <c r="Q335" t="str">
        <f>_xlfn.LET(
  _xlpm.result, _xlfn.XLOOKUP($B335, Result_Database!$A$2:$A$500, Result_Database!P$2:P$500),
  _xlfn.IFNA(_xlpm.result, "")
)</f>
        <v/>
      </c>
      <c r="R335" t="str">
        <f>_xlfn.LET(
  _xlpm.result, _xlfn.XLOOKUP($B335, Result_Database!$A$2:$A$500, Result_Database!Q$2:Q$500),
  _xlfn.IFNA(_xlpm.result, "")
)</f>
        <v/>
      </c>
      <c r="S335" t="str">
        <f>_xlfn.LET(
  _xlpm.result, _xlfn.XLOOKUP($B335, Result_Database!$A$2:$A$500, Result_Database!R$2:R$500),
  _xlfn.IFNA(_xlpm.result, "")
)</f>
        <v/>
      </c>
      <c r="T335" t="str">
        <f>_xlfn.LET(
  _xlpm.result, _xlfn.XLOOKUP($B335, Result_Database!$A$2:$A$500, Result_Database!S$2:S$500),
  _xlfn.IFNA(_xlpm.result, "")
)</f>
        <v/>
      </c>
      <c r="U335" t="str">
        <f>_xlfn.LET(
  _xlpm.result, _xlfn.XLOOKUP($B335, Result_Database!$A$2:$A$500, Result_Database!T$2:T$500),
  _xlfn.IFNA(_xlpm.result, "")
)</f>
        <v/>
      </c>
      <c r="V335" t="str">
        <f>_xlfn.LET(
  _xlpm.result, _xlfn.XLOOKUP($B335, Result_Database!$A$2:$A$500, Result_Database!U$2:U$500),
  _xlfn.IFNA(_xlpm.result, "")
)</f>
        <v/>
      </c>
      <c r="W335" t="str">
        <f>_xlfn.LET(
  _xlpm.result, _xlfn.XLOOKUP($B335, Result_Database!$A$2:$A$500, Result_Database!V$2:V$500),
  _xlfn.IFNA(_xlpm.result, "")
)</f>
        <v/>
      </c>
      <c r="X335" t="str">
        <f>_xlfn.LET(
  _xlpm.result, _xlfn.XLOOKUP($B335, Result_Database!$A$2:$A$500, Result_Database!W$2:W$500),
  _xlfn.IFNA(_xlpm.result, "")
)</f>
        <v/>
      </c>
      <c r="Y335" t="str">
        <f>_xlfn.LET(
  _xlpm.result, _xlfn.XLOOKUP($B335, Result_Database!$A$2:$A$500, Result_Database!X$2:X$500),
  _xlfn.IFNA(_xlpm.result, "")
)</f>
        <v/>
      </c>
      <c r="Z335" t="str">
        <f>_xlfn.LET(
  _xlpm.result, _xlfn.XLOOKUP($B335, Result_Database!$A$2:$A$500, Result_Database!Y$2:Y$500),
  _xlfn.IFNA(_xlpm.result, "")
)</f>
        <v/>
      </c>
      <c r="AA335" t="str">
        <f>_xlfn.LET(
  _xlpm.result, _xlfn.XLOOKUP($B335, Result_Database!$A$2:$A$500, Result_Database!Z$2:Z$500),
  _xlfn.IFNA(_xlpm.result, "")
)</f>
        <v/>
      </c>
      <c r="AB335" t="str">
        <f>_xlfn.LET(
  _xlpm.result, _xlfn.XLOOKUP($B335, Result_Database!$A$2:$A$500, Result_Database!AA$2:AA$500),
  _xlfn.IFNA(_xlpm.result, "")
)</f>
        <v/>
      </c>
      <c r="AC335" t="str">
        <f>_xlfn.LET(
  _xlpm.result, _xlfn.XLOOKUP($B335, Result_Database!$A$2:$A$500, Result_Database!AB$2:AB$500),
  _xlfn.IFNA(_xlpm.result, "")
)</f>
        <v/>
      </c>
      <c r="AD335" t="str">
        <f>_xlfn.LET(
  _xlpm.result, _xlfn.XLOOKUP($B335, Result_Database!$A$2:$A$500, Result_Database!AC$2:AC$500),
  _xlfn.IFNA(_xlpm.result, "")
)</f>
        <v/>
      </c>
      <c r="AE335" t="str">
        <f>_xlfn.LET(
  _xlpm.result, _xlfn.XLOOKUP($B335, Result_Database!$A$2:$A$500, Result_Database!AD$2:AD$500),
  _xlfn.IFNA(_xlpm.result, "")
)</f>
        <v/>
      </c>
      <c r="AF335" t="str">
        <f>_xlfn.LET(
  _xlpm.result, _xlfn.XLOOKUP($B335, Result_Database!$A$2:$A$500, Result_Database!AE$2:AE$500),
  _xlfn.IFNA(_xlpm.result, "")
)</f>
        <v/>
      </c>
      <c r="AG335" t="str">
        <f>_xlfn.LET(
  _xlpm.result, _xlfn.XLOOKUP($B335, Result_Database!$A$2:$A$500, Result_Database!AF$2:AF$500),
  _xlfn.IFNA(_xlpm.result, "")
)</f>
        <v/>
      </c>
      <c r="AH335" t="str">
        <f>_xlfn.LET(
  _xlpm.result, _xlfn.XLOOKUP($B335, Result_Database!$A$2:$A$500, Result_Database!AG$2:AG$500),
  _xlfn.IFNA(_xlpm.result, "")
)</f>
        <v/>
      </c>
      <c r="AI335" t="str">
        <f>_xlfn.LET(
  _xlpm.result, _xlfn.XLOOKUP($B335, Result_Database!$A$2:$A$500, Result_Database!AH$2:AH$500),
  _xlfn.IFNA(_xlpm.result, "")
)</f>
        <v/>
      </c>
      <c r="AJ335" t="str">
        <f>_xlfn.LET(
  _xlpm.result, _xlfn.XLOOKUP($B335, Result_Database!$A$2:$A$500, Result_Database!AI$2:AI$500),
  _xlfn.IFNA(_xlpm.result, "")
)</f>
        <v/>
      </c>
      <c r="AK335" t="str">
        <f>_xlfn.LET(
  _xlpm.result, _xlfn.XLOOKUP($B335, Result_Database!$A$2:$A$500, Result_Database!AJ$2:AJ$500),
  _xlfn.IFNA(_xlpm.result, "")
)</f>
        <v/>
      </c>
      <c r="AL335" t="str">
        <f>_xlfn.LET(
  _xlpm.result, _xlfn.XLOOKUP($B335, Result_Database!$A$2:$A$500, Result_Database!AK$2:AK$500),
  _xlfn.IFNA(_xlpm.result, "")
)</f>
        <v/>
      </c>
      <c r="AM33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3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3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3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3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3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3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3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3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35" t="str">
        <f>IF(SUM(Table5[[#This Row],[A1]:[C6]])&lt;&gt;0,SUM(Table5[[#This Row],[A1]:[C6]]),"")</f>
        <v/>
      </c>
      <c r="AW335" t="str">
        <f>IF(SUM(Table5[[#This Row],[D7]:[F9]])=0,"",SUM(Table5[[#This Row],[D7]:[F9]]))</f>
        <v/>
      </c>
      <c r="AX33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3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3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3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3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3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35" t="str">
        <f>IF(COUNTIF(Table5[[#This Row],[English Language]:[Electrical/ Electronics]],"WITHHELD")=0,"",COUNTIF(Table5[[#This Row],[English Language]:[Electrical/ Electronics]],"WITHHELD"))</f>
        <v/>
      </c>
      <c r="BE335" t="str">
        <f>IF(SUM(Table5[[#This Row],[NO OF CREDITS]:[BELOW CREDITS]])=0,"",SUM(Table5[[#This Row],[NO OF CREDITS]:[BELOW CREDITS]]))</f>
        <v/>
      </c>
    </row>
    <row r="336" spans="1:57" x14ac:dyDescent="0.3">
      <c r="A336" t="str">
        <f>IF(B336&lt;&gt;"",COUNTA($B$6:B336),"")</f>
        <v/>
      </c>
      <c r="B336" t="str">
        <f>IF(Result_Database!A332="","",Result_Database!A332)</f>
        <v/>
      </c>
      <c r="C336" t="str">
        <f>_xlfn.LET(
_xlpm.result,_xlfn.XLOOKUP($B336,Result_Database!$A$2:$A$500,Result_Database!$B$2:$B$500),
_xlfn.IFNA(_xlpm.result,"")
)</f>
        <v/>
      </c>
      <c r="D336" t="str">
        <f>_xlfn.LET(
  _xlpm.result, _xlfn.XLOOKUP($B336, Result_Database!$A$2:$A$500, Result_Database!C$2:C$500),
  _xlfn.IFNA(_xlpm.result, "")
)</f>
        <v/>
      </c>
      <c r="E336" t="str">
        <f>_xlfn.LET(
  _xlpm.result, _xlfn.XLOOKUP($B336, Result_Database!$A$2:$A$500, Result_Database!D$2:D$500),
  _xlfn.IFNA(_xlpm.result, "")
)</f>
        <v/>
      </c>
      <c r="F336" t="str">
        <f>_xlfn.LET(
  _xlpm.result, _xlfn.XLOOKUP($B336, Result_Database!$A$2:$A$500, Result_Database!E$2:E$500),
  _xlfn.IFNA(_xlpm.result, "")
)</f>
        <v/>
      </c>
      <c r="G336" t="str">
        <f>_xlfn.LET(
  _xlpm.result, _xlfn.XLOOKUP($B336, Result_Database!$A$2:$A$500, Result_Database!F$2:F$500),
  _xlfn.IFNA(_xlpm.result, "")
)</f>
        <v/>
      </c>
      <c r="H336" t="str">
        <f>_xlfn.LET(
  _xlpm.result, _xlfn.XLOOKUP($B336, Result_Database!$A$2:$A$500, Result_Database!G$2:G$500),
  _xlfn.IFNA(_xlpm.result, "")
)</f>
        <v/>
      </c>
      <c r="I336" t="str">
        <f>_xlfn.LET(
  _xlpm.result, _xlfn.XLOOKUP($B336, Result_Database!$A$2:$A$500, Result_Database!H$2:H$500),
  _xlfn.IFNA(_xlpm.result, "")
)</f>
        <v/>
      </c>
      <c r="J336" t="str">
        <f>_xlfn.LET(
  _xlpm.result, _xlfn.XLOOKUP($B336, Result_Database!$A$2:$A$500, Result_Database!I$2:I$500),
  _xlfn.IFNA(_xlpm.result, "")
)</f>
        <v/>
      </c>
      <c r="K336" t="str">
        <f>_xlfn.LET(
  _xlpm.result, _xlfn.XLOOKUP($B336, Result_Database!$A$2:$A$500, Result_Database!J$2:J$500),
  _xlfn.IFNA(_xlpm.result, "")
)</f>
        <v/>
      </c>
      <c r="L336" t="str">
        <f>_xlfn.LET(
  _xlpm.result, _xlfn.XLOOKUP($B336, Result_Database!$A$2:$A$500, Result_Database!K$2:K$500),
  _xlfn.IFNA(_xlpm.result, "")
)</f>
        <v/>
      </c>
      <c r="M336" t="str">
        <f>_xlfn.LET(
  _xlpm.result, _xlfn.XLOOKUP($B336, Result_Database!$A$2:$A$500, Result_Database!L$2:L$500),
  _xlfn.IFNA(_xlpm.result, "")
)</f>
        <v/>
      </c>
      <c r="N336" t="str">
        <f>_xlfn.LET(
  _xlpm.result, _xlfn.XLOOKUP($B336, Result_Database!$A$2:$A$500, Result_Database!M$2:M$500),
  _xlfn.IFNA(_xlpm.result, "")
)</f>
        <v/>
      </c>
      <c r="O336" t="str">
        <f>_xlfn.LET(
  _xlpm.result, _xlfn.XLOOKUP($B336, Result_Database!$A$2:$A$500, Result_Database!N$2:N$500),
  _xlfn.IFNA(_xlpm.result, "")
)</f>
        <v/>
      </c>
      <c r="P336" t="str">
        <f>_xlfn.LET(
  _xlpm.result, _xlfn.XLOOKUP($B336, Result_Database!$A$2:$A$500, Result_Database!O$2:O$500),
  _xlfn.IFNA(_xlpm.result, "")
)</f>
        <v/>
      </c>
      <c r="Q336" t="str">
        <f>_xlfn.LET(
  _xlpm.result, _xlfn.XLOOKUP($B336, Result_Database!$A$2:$A$500, Result_Database!P$2:P$500),
  _xlfn.IFNA(_xlpm.result, "")
)</f>
        <v/>
      </c>
      <c r="R336" t="str">
        <f>_xlfn.LET(
  _xlpm.result, _xlfn.XLOOKUP($B336, Result_Database!$A$2:$A$500, Result_Database!Q$2:Q$500),
  _xlfn.IFNA(_xlpm.result, "")
)</f>
        <v/>
      </c>
      <c r="S336" t="str">
        <f>_xlfn.LET(
  _xlpm.result, _xlfn.XLOOKUP($B336, Result_Database!$A$2:$A$500, Result_Database!R$2:R$500),
  _xlfn.IFNA(_xlpm.result, "")
)</f>
        <v/>
      </c>
      <c r="T336" t="str">
        <f>_xlfn.LET(
  _xlpm.result, _xlfn.XLOOKUP($B336, Result_Database!$A$2:$A$500, Result_Database!S$2:S$500),
  _xlfn.IFNA(_xlpm.result, "")
)</f>
        <v/>
      </c>
      <c r="U336" t="str">
        <f>_xlfn.LET(
  _xlpm.result, _xlfn.XLOOKUP($B336, Result_Database!$A$2:$A$500, Result_Database!T$2:T$500),
  _xlfn.IFNA(_xlpm.result, "")
)</f>
        <v/>
      </c>
      <c r="V336" t="str">
        <f>_xlfn.LET(
  _xlpm.result, _xlfn.XLOOKUP($B336, Result_Database!$A$2:$A$500, Result_Database!U$2:U$500),
  _xlfn.IFNA(_xlpm.result, "")
)</f>
        <v/>
      </c>
      <c r="W336" t="str">
        <f>_xlfn.LET(
  _xlpm.result, _xlfn.XLOOKUP($B336, Result_Database!$A$2:$A$500, Result_Database!V$2:V$500),
  _xlfn.IFNA(_xlpm.result, "")
)</f>
        <v/>
      </c>
      <c r="X336" t="str">
        <f>_xlfn.LET(
  _xlpm.result, _xlfn.XLOOKUP($B336, Result_Database!$A$2:$A$500, Result_Database!W$2:W$500),
  _xlfn.IFNA(_xlpm.result, "")
)</f>
        <v/>
      </c>
      <c r="Y336" t="str">
        <f>_xlfn.LET(
  _xlpm.result, _xlfn.XLOOKUP($B336, Result_Database!$A$2:$A$500, Result_Database!X$2:X$500),
  _xlfn.IFNA(_xlpm.result, "")
)</f>
        <v/>
      </c>
      <c r="Z336" t="str">
        <f>_xlfn.LET(
  _xlpm.result, _xlfn.XLOOKUP($B336, Result_Database!$A$2:$A$500, Result_Database!Y$2:Y$500),
  _xlfn.IFNA(_xlpm.result, "")
)</f>
        <v/>
      </c>
      <c r="AA336" t="str">
        <f>_xlfn.LET(
  _xlpm.result, _xlfn.XLOOKUP($B336, Result_Database!$A$2:$A$500, Result_Database!Z$2:Z$500),
  _xlfn.IFNA(_xlpm.result, "")
)</f>
        <v/>
      </c>
      <c r="AB336" t="str">
        <f>_xlfn.LET(
  _xlpm.result, _xlfn.XLOOKUP($B336, Result_Database!$A$2:$A$500, Result_Database!AA$2:AA$500),
  _xlfn.IFNA(_xlpm.result, "")
)</f>
        <v/>
      </c>
      <c r="AC336" t="str">
        <f>_xlfn.LET(
  _xlpm.result, _xlfn.XLOOKUP($B336, Result_Database!$A$2:$A$500, Result_Database!AB$2:AB$500),
  _xlfn.IFNA(_xlpm.result, "")
)</f>
        <v/>
      </c>
      <c r="AD336" t="str">
        <f>_xlfn.LET(
  _xlpm.result, _xlfn.XLOOKUP($B336, Result_Database!$A$2:$A$500, Result_Database!AC$2:AC$500),
  _xlfn.IFNA(_xlpm.result, "")
)</f>
        <v/>
      </c>
      <c r="AE336" t="str">
        <f>_xlfn.LET(
  _xlpm.result, _xlfn.XLOOKUP($B336, Result_Database!$A$2:$A$500, Result_Database!AD$2:AD$500),
  _xlfn.IFNA(_xlpm.result, "")
)</f>
        <v/>
      </c>
      <c r="AF336" t="str">
        <f>_xlfn.LET(
  _xlpm.result, _xlfn.XLOOKUP($B336, Result_Database!$A$2:$A$500, Result_Database!AE$2:AE$500),
  _xlfn.IFNA(_xlpm.result, "")
)</f>
        <v/>
      </c>
      <c r="AG336" t="str">
        <f>_xlfn.LET(
  _xlpm.result, _xlfn.XLOOKUP($B336, Result_Database!$A$2:$A$500, Result_Database!AF$2:AF$500),
  _xlfn.IFNA(_xlpm.result, "")
)</f>
        <v/>
      </c>
      <c r="AH336" t="str">
        <f>_xlfn.LET(
  _xlpm.result, _xlfn.XLOOKUP($B336, Result_Database!$A$2:$A$500, Result_Database!AG$2:AG$500),
  _xlfn.IFNA(_xlpm.result, "")
)</f>
        <v/>
      </c>
      <c r="AI336" t="str">
        <f>_xlfn.LET(
  _xlpm.result, _xlfn.XLOOKUP($B336, Result_Database!$A$2:$A$500, Result_Database!AH$2:AH$500),
  _xlfn.IFNA(_xlpm.result, "")
)</f>
        <v/>
      </c>
      <c r="AJ336" t="str">
        <f>_xlfn.LET(
  _xlpm.result, _xlfn.XLOOKUP($B336, Result_Database!$A$2:$A$500, Result_Database!AI$2:AI$500),
  _xlfn.IFNA(_xlpm.result, "")
)</f>
        <v/>
      </c>
      <c r="AK336" t="str">
        <f>_xlfn.LET(
  _xlpm.result, _xlfn.XLOOKUP($B336, Result_Database!$A$2:$A$500, Result_Database!AJ$2:AJ$500),
  _xlfn.IFNA(_xlpm.result, "")
)</f>
        <v/>
      </c>
      <c r="AL336" t="str">
        <f>_xlfn.LET(
  _xlpm.result, _xlfn.XLOOKUP($B336, Result_Database!$A$2:$A$500, Result_Database!AK$2:AK$500),
  _xlfn.IFNA(_xlpm.result, "")
)</f>
        <v/>
      </c>
      <c r="AM33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3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3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3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3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3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3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3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3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36" t="str">
        <f>IF(SUM(Table5[[#This Row],[A1]:[C6]])&lt;&gt;0,SUM(Table5[[#This Row],[A1]:[C6]]),"")</f>
        <v/>
      </c>
      <c r="AW336" t="str">
        <f>IF(SUM(Table5[[#This Row],[D7]:[F9]])=0,"",SUM(Table5[[#This Row],[D7]:[F9]]))</f>
        <v/>
      </c>
      <c r="AX33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3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3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3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3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3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36" t="str">
        <f>IF(COUNTIF(Table5[[#This Row],[English Language]:[Electrical/ Electronics]],"WITHHELD")=0,"",COUNTIF(Table5[[#This Row],[English Language]:[Electrical/ Electronics]],"WITHHELD"))</f>
        <v/>
      </c>
      <c r="BE336" t="str">
        <f>IF(SUM(Table5[[#This Row],[NO OF CREDITS]:[BELOW CREDITS]])=0,"",SUM(Table5[[#This Row],[NO OF CREDITS]:[BELOW CREDITS]]))</f>
        <v/>
      </c>
    </row>
    <row r="337" spans="1:57" x14ac:dyDescent="0.3">
      <c r="A337" t="str">
        <f>IF(B337&lt;&gt;"",COUNTA($B$6:B337),"")</f>
        <v/>
      </c>
      <c r="B337" t="str">
        <f>IF(Result_Database!A333="","",Result_Database!A333)</f>
        <v/>
      </c>
      <c r="C337" t="str">
        <f>_xlfn.LET(
_xlpm.result,_xlfn.XLOOKUP($B337,Result_Database!$A$2:$A$500,Result_Database!$B$2:$B$500),
_xlfn.IFNA(_xlpm.result,"")
)</f>
        <v/>
      </c>
      <c r="D337" t="str">
        <f>_xlfn.LET(
  _xlpm.result, _xlfn.XLOOKUP($B337, Result_Database!$A$2:$A$500, Result_Database!C$2:C$500),
  _xlfn.IFNA(_xlpm.result, "")
)</f>
        <v/>
      </c>
      <c r="E337" t="str">
        <f>_xlfn.LET(
  _xlpm.result, _xlfn.XLOOKUP($B337, Result_Database!$A$2:$A$500, Result_Database!D$2:D$500),
  _xlfn.IFNA(_xlpm.result, "")
)</f>
        <v/>
      </c>
      <c r="F337" t="str">
        <f>_xlfn.LET(
  _xlpm.result, _xlfn.XLOOKUP($B337, Result_Database!$A$2:$A$500, Result_Database!E$2:E$500),
  _xlfn.IFNA(_xlpm.result, "")
)</f>
        <v/>
      </c>
      <c r="G337" t="str">
        <f>_xlfn.LET(
  _xlpm.result, _xlfn.XLOOKUP($B337, Result_Database!$A$2:$A$500, Result_Database!F$2:F$500),
  _xlfn.IFNA(_xlpm.result, "")
)</f>
        <v/>
      </c>
      <c r="H337" t="str">
        <f>_xlfn.LET(
  _xlpm.result, _xlfn.XLOOKUP($B337, Result_Database!$A$2:$A$500, Result_Database!G$2:G$500),
  _xlfn.IFNA(_xlpm.result, "")
)</f>
        <v/>
      </c>
      <c r="I337" t="str">
        <f>_xlfn.LET(
  _xlpm.result, _xlfn.XLOOKUP($B337, Result_Database!$A$2:$A$500, Result_Database!H$2:H$500),
  _xlfn.IFNA(_xlpm.result, "")
)</f>
        <v/>
      </c>
      <c r="J337" t="str">
        <f>_xlfn.LET(
  _xlpm.result, _xlfn.XLOOKUP($B337, Result_Database!$A$2:$A$500, Result_Database!I$2:I$500),
  _xlfn.IFNA(_xlpm.result, "")
)</f>
        <v/>
      </c>
      <c r="K337" t="str">
        <f>_xlfn.LET(
  _xlpm.result, _xlfn.XLOOKUP($B337, Result_Database!$A$2:$A$500, Result_Database!J$2:J$500),
  _xlfn.IFNA(_xlpm.result, "")
)</f>
        <v/>
      </c>
      <c r="L337" t="str">
        <f>_xlfn.LET(
  _xlpm.result, _xlfn.XLOOKUP($B337, Result_Database!$A$2:$A$500, Result_Database!K$2:K$500),
  _xlfn.IFNA(_xlpm.result, "")
)</f>
        <v/>
      </c>
      <c r="M337" t="str">
        <f>_xlfn.LET(
  _xlpm.result, _xlfn.XLOOKUP($B337, Result_Database!$A$2:$A$500, Result_Database!L$2:L$500),
  _xlfn.IFNA(_xlpm.result, "")
)</f>
        <v/>
      </c>
      <c r="N337" t="str">
        <f>_xlfn.LET(
  _xlpm.result, _xlfn.XLOOKUP($B337, Result_Database!$A$2:$A$500, Result_Database!M$2:M$500),
  _xlfn.IFNA(_xlpm.result, "")
)</f>
        <v/>
      </c>
      <c r="O337" t="str">
        <f>_xlfn.LET(
  _xlpm.result, _xlfn.XLOOKUP($B337, Result_Database!$A$2:$A$500, Result_Database!N$2:N$500),
  _xlfn.IFNA(_xlpm.result, "")
)</f>
        <v/>
      </c>
      <c r="P337" t="str">
        <f>_xlfn.LET(
  _xlpm.result, _xlfn.XLOOKUP($B337, Result_Database!$A$2:$A$500, Result_Database!O$2:O$500),
  _xlfn.IFNA(_xlpm.result, "")
)</f>
        <v/>
      </c>
      <c r="Q337" t="str">
        <f>_xlfn.LET(
  _xlpm.result, _xlfn.XLOOKUP($B337, Result_Database!$A$2:$A$500, Result_Database!P$2:P$500),
  _xlfn.IFNA(_xlpm.result, "")
)</f>
        <v/>
      </c>
      <c r="R337" t="str">
        <f>_xlfn.LET(
  _xlpm.result, _xlfn.XLOOKUP($B337, Result_Database!$A$2:$A$500, Result_Database!Q$2:Q$500),
  _xlfn.IFNA(_xlpm.result, "")
)</f>
        <v/>
      </c>
      <c r="S337" t="str">
        <f>_xlfn.LET(
  _xlpm.result, _xlfn.XLOOKUP($B337, Result_Database!$A$2:$A$500, Result_Database!R$2:R$500),
  _xlfn.IFNA(_xlpm.result, "")
)</f>
        <v/>
      </c>
      <c r="T337" t="str">
        <f>_xlfn.LET(
  _xlpm.result, _xlfn.XLOOKUP($B337, Result_Database!$A$2:$A$500, Result_Database!S$2:S$500),
  _xlfn.IFNA(_xlpm.result, "")
)</f>
        <v/>
      </c>
      <c r="U337" t="str">
        <f>_xlfn.LET(
  _xlpm.result, _xlfn.XLOOKUP($B337, Result_Database!$A$2:$A$500, Result_Database!T$2:T$500),
  _xlfn.IFNA(_xlpm.result, "")
)</f>
        <v/>
      </c>
      <c r="V337" t="str">
        <f>_xlfn.LET(
  _xlpm.result, _xlfn.XLOOKUP($B337, Result_Database!$A$2:$A$500, Result_Database!U$2:U$500),
  _xlfn.IFNA(_xlpm.result, "")
)</f>
        <v/>
      </c>
      <c r="W337" t="str">
        <f>_xlfn.LET(
  _xlpm.result, _xlfn.XLOOKUP($B337, Result_Database!$A$2:$A$500, Result_Database!V$2:V$500),
  _xlfn.IFNA(_xlpm.result, "")
)</f>
        <v/>
      </c>
      <c r="X337" t="str">
        <f>_xlfn.LET(
  _xlpm.result, _xlfn.XLOOKUP($B337, Result_Database!$A$2:$A$500, Result_Database!W$2:W$500),
  _xlfn.IFNA(_xlpm.result, "")
)</f>
        <v/>
      </c>
      <c r="Y337" t="str">
        <f>_xlfn.LET(
  _xlpm.result, _xlfn.XLOOKUP($B337, Result_Database!$A$2:$A$500, Result_Database!X$2:X$500),
  _xlfn.IFNA(_xlpm.result, "")
)</f>
        <v/>
      </c>
      <c r="Z337" t="str">
        <f>_xlfn.LET(
  _xlpm.result, _xlfn.XLOOKUP($B337, Result_Database!$A$2:$A$500, Result_Database!Y$2:Y$500),
  _xlfn.IFNA(_xlpm.result, "")
)</f>
        <v/>
      </c>
      <c r="AA337" t="str">
        <f>_xlfn.LET(
  _xlpm.result, _xlfn.XLOOKUP($B337, Result_Database!$A$2:$A$500, Result_Database!Z$2:Z$500),
  _xlfn.IFNA(_xlpm.result, "")
)</f>
        <v/>
      </c>
      <c r="AB337" t="str">
        <f>_xlfn.LET(
  _xlpm.result, _xlfn.XLOOKUP($B337, Result_Database!$A$2:$A$500, Result_Database!AA$2:AA$500),
  _xlfn.IFNA(_xlpm.result, "")
)</f>
        <v/>
      </c>
      <c r="AC337" t="str">
        <f>_xlfn.LET(
  _xlpm.result, _xlfn.XLOOKUP($B337, Result_Database!$A$2:$A$500, Result_Database!AB$2:AB$500),
  _xlfn.IFNA(_xlpm.result, "")
)</f>
        <v/>
      </c>
      <c r="AD337" t="str">
        <f>_xlfn.LET(
  _xlpm.result, _xlfn.XLOOKUP($B337, Result_Database!$A$2:$A$500, Result_Database!AC$2:AC$500),
  _xlfn.IFNA(_xlpm.result, "")
)</f>
        <v/>
      </c>
      <c r="AE337" t="str">
        <f>_xlfn.LET(
  _xlpm.result, _xlfn.XLOOKUP($B337, Result_Database!$A$2:$A$500, Result_Database!AD$2:AD$500),
  _xlfn.IFNA(_xlpm.result, "")
)</f>
        <v/>
      </c>
      <c r="AF337" t="str">
        <f>_xlfn.LET(
  _xlpm.result, _xlfn.XLOOKUP($B337, Result_Database!$A$2:$A$500, Result_Database!AE$2:AE$500),
  _xlfn.IFNA(_xlpm.result, "")
)</f>
        <v/>
      </c>
      <c r="AG337" t="str">
        <f>_xlfn.LET(
  _xlpm.result, _xlfn.XLOOKUP($B337, Result_Database!$A$2:$A$500, Result_Database!AF$2:AF$500),
  _xlfn.IFNA(_xlpm.result, "")
)</f>
        <v/>
      </c>
      <c r="AH337" t="str">
        <f>_xlfn.LET(
  _xlpm.result, _xlfn.XLOOKUP($B337, Result_Database!$A$2:$A$500, Result_Database!AG$2:AG$500),
  _xlfn.IFNA(_xlpm.result, "")
)</f>
        <v/>
      </c>
      <c r="AI337" t="str">
        <f>_xlfn.LET(
  _xlpm.result, _xlfn.XLOOKUP($B337, Result_Database!$A$2:$A$500, Result_Database!AH$2:AH$500),
  _xlfn.IFNA(_xlpm.result, "")
)</f>
        <v/>
      </c>
      <c r="AJ337" t="str">
        <f>_xlfn.LET(
  _xlpm.result, _xlfn.XLOOKUP($B337, Result_Database!$A$2:$A$500, Result_Database!AI$2:AI$500),
  _xlfn.IFNA(_xlpm.result, "")
)</f>
        <v/>
      </c>
      <c r="AK337" t="str">
        <f>_xlfn.LET(
  _xlpm.result, _xlfn.XLOOKUP($B337, Result_Database!$A$2:$A$500, Result_Database!AJ$2:AJ$500),
  _xlfn.IFNA(_xlpm.result, "")
)</f>
        <v/>
      </c>
      <c r="AL337" t="str">
        <f>_xlfn.LET(
  _xlpm.result, _xlfn.XLOOKUP($B337, Result_Database!$A$2:$A$500, Result_Database!AK$2:AK$500),
  _xlfn.IFNA(_xlpm.result, "")
)</f>
        <v/>
      </c>
      <c r="AM33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3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3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3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3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3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3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3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3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37" t="str">
        <f>IF(SUM(Table5[[#This Row],[A1]:[C6]])&lt;&gt;0,SUM(Table5[[#This Row],[A1]:[C6]]),"")</f>
        <v/>
      </c>
      <c r="AW337" t="str">
        <f>IF(SUM(Table5[[#This Row],[D7]:[F9]])=0,"",SUM(Table5[[#This Row],[D7]:[F9]]))</f>
        <v/>
      </c>
      <c r="AX33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3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3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3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3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3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37" t="str">
        <f>IF(COUNTIF(Table5[[#This Row],[English Language]:[Electrical/ Electronics]],"WITHHELD")=0,"",COUNTIF(Table5[[#This Row],[English Language]:[Electrical/ Electronics]],"WITHHELD"))</f>
        <v/>
      </c>
      <c r="BE337" t="str">
        <f>IF(SUM(Table5[[#This Row],[NO OF CREDITS]:[BELOW CREDITS]])=0,"",SUM(Table5[[#This Row],[NO OF CREDITS]:[BELOW CREDITS]]))</f>
        <v/>
      </c>
    </row>
    <row r="338" spans="1:57" x14ac:dyDescent="0.3">
      <c r="A338" t="str">
        <f>IF(B338&lt;&gt;"",COUNTA($B$6:B338),"")</f>
        <v/>
      </c>
      <c r="B338" t="str">
        <f>IF(Result_Database!A334="","",Result_Database!A334)</f>
        <v/>
      </c>
      <c r="C338" t="str">
        <f>_xlfn.LET(
_xlpm.result,_xlfn.XLOOKUP($B338,Result_Database!$A$2:$A$500,Result_Database!$B$2:$B$500),
_xlfn.IFNA(_xlpm.result,"")
)</f>
        <v/>
      </c>
      <c r="D338" t="str">
        <f>_xlfn.LET(
  _xlpm.result, _xlfn.XLOOKUP($B338, Result_Database!$A$2:$A$500, Result_Database!C$2:C$500),
  _xlfn.IFNA(_xlpm.result, "")
)</f>
        <v/>
      </c>
      <c r="E338" t="str">
        <f>_xlfn.LET(
  _xlpm.result, _xlfn.XLOOKUP($B338, Result_Database!$A$2:$A$500, Result_Database!D$2:D$500),
  _xlfn.IFNA(_xlpm.result, "")
)</f>
        <v/>
      </c>
      <c r="F338" t="str">
        <f>_xlfn.LET(
  _xlpm.result, _xlfn.XLOOKUP($B338, Result_Database!$A$2:$A$500, Result_Database!E$2:E$500),
  _xlfn.IFNA(_xlpm.result, "")
)</f>
        <v/>
      </c>
      <c r="G338" t="str">
        <f>_xlfn.LET(
  _xlpm.result, _xlfn.XLOOKUP($B338, Result_Database!$A$2:$A$500, Result_Database!F$2:F$500),
  _xlfn.IFNA(_xlpm.result, "")
)</f>
        <v/>
      </c>
      <c r="H338" t="str">
        <f>_xlfn.LET(
  _xlpm.result, _xlfn.XLOOKUP($B338, Result_Database!$A$2:$A$500, Result_Database!G$2:G$500),
  _xlfn.IFNA(_xlpm.result, "")
)</f>
        <v/>
      </c>
      <c r="I338" t="str">
        <f>_xlfn.LET(
  _xlpm.result, _xlfn.XLOOKUP($B338, Result_Database!$A$2:$A$500, Result_Database!H$2:H$500),
  _xlfn.IFNA(_xlpm.result, "")
)</f>
        <v/>
      </c>
      <c r="J338" t="str">
        <f>_xlfn.LET(
  _xlpm.result, _xlfn.XLOOKUP($B338, Result_Database!$A$2:$A$500, Result_Database!I$2:I$500),
  _xlfn.IFNA(_xlpm.result, "")
)</f>
        <v/>
      </c>
      <c r="K338" t="str">
        <f>_xlfn.LET(
  _xlpm.result, _xlfn.XLOOKUP($B338, Result_Database!$A$2:$A$500, Result_Database!J$2:J$500),
  _xlfn.IFNA(_xlpm.result, "")
)</f>
        <v/>
      </c>
      <c r="L338" t="str">
        <f>_xlfn.LET(
  _xlpm.result, _xlfn.XLOOKUP($B338, Result_Database!$A$2:$A$500, Result_Database!K$2:K$500),
  _xlfn.IFNA(_xlpm.result, "")
)</f>
        <v/>
      </c>
      <c r="M338" t="str">
        <f>_xlfn.LET(
  _xlpm.result, _xlfn.XLOOKUP($B338, Result_Database!$A$2:$A$500, Result_Database!L$2:L$500),
  _xlfn.IFNA(_xlpm.result, "")
)</f>
        <v/>
      </c>
      <c r="N338" t="str">
        <f>_xlfn.LET(
  _xlpm.result, _xlfn.XLOOKUP($B338, Result_Database!$A$2:$A$500, Result_Database!M$2:M$500),
  _xlfn.IFNA(_xlpm.result, "")
)</f>
        <v/>
      </c>
      <c r="O338" t="str">
        <f>_xlfn.LET(
  _xlpm.result, _xlfn.XLOOKUP($B338, Result_Database!$A$2:$A$500, Result_Database!N$2:N$500),
  _xlfn.IFNA(_xlpm.result, "")
)</f>
        <v/>
      </c>
      <c r="P338" t="str">
        <f>_xlfn.LET(
  _xlpm.result, _xlfn.XLOOKUP($B338, Result_Database!$A$2:$A$500, Result_Database!O$2:O$500),
  _xlfn.IFNA(_xlpm.result, "")
)</f>
        <v/>
      </c>
      <c r="Q338" t="str">
        <f>_xlfn.LET(
  _xlpm.result, _xlfn.XLOOKUP($B338, Result_Database!$A$2:$A$500, Result_Database!P$2:P$500),
  _xlfn.IFNA(_xlpm.result, "")
)</f>
        <v/>
      </c>
      <c r="R338" t="str">
        <f>_xlfn.LET(
  _xlpm.result, _xlfn.XLOOKUP($B338, Result_Database!$A$2:$A$500, Result_Database!Q$2:Q$500),
  _xlfn.IFNA(_xlpm.result, "")
)</f>
        <v/>
      </c>
      <c r="S338" t="str">
        <f>_xlfn.LET(
  _xlpm.result, _xlfn.XLOOKUP($B338, Result_Database!$A$2:$A$500, Result_Database!R$2:R$500),
  _xlfn.IFNA(_xlpm.result, "")
)</f>
        <v/>
      </c>
      <c r="T338" t="str">
        <f>_xlfn.LET(
  _xlpm.result, _xlfn.XLOOKUP($B338, Result_Database!$A$2:$A$500, Result_Database!S$2:S$500),
  _xlfn.IFNA(_xlpm.result, "")
)</f>
        <v/>
      </c>
      <c r="U338" t="str">
        <f>_xlfn.LET(
  _xlpm.result, _xlfn.XLOOKUP($B338, Result_Database!$A$2:$A$500, Result_Database!T$2:T$500),
  _xlfn.IFNA(_xlpm.result, "")
)</f>
        <v/>
      </c>
      <c r="V338" t="str">
        <f>_xlfn.LET(
  _xlpm.result, _xlfn.XLOOKUP($B338, Result_Database!$A$2:$A$500, Result_Database!U$2:U$500),
  _xlfn.IFNA(_xlpm.result, "")
)</f>
        <v/>
      </c>
      <c r="W338" t="str">
        <f>_xlfn.LET(
  _xlpm.result, _xlfn.XLOOKUP($B338, Result_Database!$A$2:$A$500, Result_Database!V$2:V$500),
  _xlfn.IFNA(_xlpm.result, "")
)</f>
        <v/>
      </c>
      <c r="X338" t="str">
        <f>_xlfn.LET(
  _xlpm.result, _xlfn.XLOOKUP($B338, Result_Database!$A$2:$A$500, Result_Database!W$2:W$500),
  _xlfn.IFNA(_xlpm.result, "")
)</f>
        <v/>
      </c>
      <c r="Y338" t="str">
        <f>_xlfn.LET(
  _xlpm.result, _xlfn.XLOOKUP($B338, Result_Database!$A$2:$A$500, Result_Database!X$2:X$500),
  _xlfn.IFNA(_xlpm.result, "")
)</f>
        <v/>
      </c>
      <c r="Z338" t="str">
        <f>_xlfn.LET(
  _xlpm.result, _xlfn.XLOOKUP($B338, Result_Database!$A$2:$A$500, Result_Database!Y$2:Y$500),
  _xlfn.IFNA(_xlpm.result, "")
)</f>
        <v/>
      </c>
      <c r="AA338" t="str">
        <f>_xlfn.LET(
  _xlpm.result, _xlfn.XLOOKUP($B338, Result_Database!$A$2:$A$500, Result_Database!Z$2:Z$500),
  _xlfn.IFNA(_xlpm.result, "")
)</f>
        <v/>
      </c>
      <c r="AB338" t="str">
        <f>_xlfn.LET(
  _xlpm.result, _xlfn.XLOOKUP($B338, Result_Database!$A$2:$A$500, Result_Database!AA$2:AA$500),
  _xlfn.IFNA(_xlpm.result, "")
)</f>
        <v/>
      </c>
      <c r="AC338" t="str">
        <f>_xlfn.LET(
  _xlpm.result, _xlfn.XLOOKUP($B338, Result_Database!$A$2:$A$500, Result_Database!AB$2:AB$500),
  _xlfn.IFNA(_xlpm.result, "")
)</f>
        <v/>
      </c>
      <c r="AD338" t="str">
        <f>_xlfn.LET(
  _xlpm.result, _xlfn.XLOOKUP($B338, Result_Database!$A$2:$A$500, Result_Database!AC$2:AC$500),
  _xlfn.IFNA(_xlpm.result, "")
)</f>
        <v/>
      </c>
      <c r="AE338" t="str">
        <f>_xlfn.LET(
  _xlpm.result, _xlfn.XLOOKUP($B338, Result_Database!$A$2:$A$500, Result_Database!AD$2:AD$500),
  _xlfn.IFNA(_xlpm.result, "")
)</f>
        <v/>
      </c>
      <c r="AF338" t="str">
        <f>_xlfn.LET(
  _xlpm.result, _xlfn.XLOOKUP($B338, Result_Database!$A$2:$A$500, Result_Database!AE$2:AE$500),
  _xlfn.IFNA(_xlpm.result, "")
)</f>
        <v/>
      </c>
      <c r="AG338" t="str">
        <f>_xlfn.LET(
  _xlpm.result, _xlfn.XLOOKUP($B338, Result_Database!$A$2:$A$500, Result_Database!AF$2:AF$500),
  _xlfn.IFNA(_xlpm.result, "")
)</f>
        <v/>
      </c>
      <c r="AH338" t="str">
        <f>_xlfn.LET(
  _xlpm.result, _xlfn.XLOOKUP($B338, Result_Database!$A$2:$A$500, Result_Database!AG$2:AG$500),
  _xlfn.IFNA(_xlpm.result, "")
)</f>
        <v/>
      </c>
      <c r="AI338" t="str">
        <f>_xlfn.LET(
  _xlpm.result, _xlfn.XLOOKUP($B338, Result_Database!$A$2:$A$500, Result_Database!AH$2:AH$500),
  _xlfn.IFNA(_xlpm.result, "")
)</f>
        <v/>
      </c>
      <c r="AJ338" t="str">
        <f>_xlfn.LET(
  _xlpm.result, _xlfn.XLOOKUP($B338, Result_Database!$A$2:$A$500, Result_Database!AI$2:AI$500),
  _xlfn.IFNA(_xlpm.result, "")
)</f>
        <v/>
      </c>
      <c r="AK338" t="str">
        <f>_xlfn.LET(
  _xlpm.result, _xlfn.XLOOKUP($B338, Result_Database!$A$2:$A$500, Result_Database!AJ$2:AJ$500),
  _xlfn.IFNA(_xlpm.result, "")
)</f>
        <v/>
      </c>
      <c r="AL338" t="str">
        <f>_xlfn.LET(
  _xlpm.result, _xlfn.XLOOKUP($B338, Result_Database!$A$2:$A$500, Result_Database!AK$2:AK$500),
  _xlfn.IFNA(_xlpm.result, "")
)</f>
        <v/>
      </c>
      <c r="AM33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3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3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3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3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3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3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3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3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38" t="str">
        <f>IF(SUM(Table5[[#This Row],[A1]:[C6]])&lt;&gt;0,SUM(Table5[[#This Row],[A1]:[C6]]),"")</f>
        <v/>
      </c>
      <c r="AW338" t="str">
        <f>IF(SUM(Table5[[#This Row],[D7]:[F9]])=0,"",SUM(Table5[[#This Row],[D7]:[F9]]))</f>
        <v/>
      </c>
      <c r="AX33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3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3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3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3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3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38" t="str">
        <f>IF(COUNTIF(Table5[[#This Row],[English Language]:[Electrical/ Electronics]],"WITHHELD")=0,"",COUNTIF(Table5[[#This Row],[English Language]:[Electrical/ Electronics]],"WITHHELD"))</f>
        <v/>
      </c>
      <c r="BE338" t="str">
        <f>IF(SUM(Table5[[#This Row],[NO OF CREDITS]:[BELOW CREDITS]])=0,"",SUM(Table5[[#This Row],[NO OF CREDITS]:[BELOW CREDITS]]))</f>
        <v/>
      </c>
    </row>
    <row r="339" spans="1:57" x14ac:dyDescent="0.3">
      <c r="A339" t="str">
        <f>IF(B339&lt;&gt;"",COUNTA($B$6:B339),"")</f>
        <v/>
      </c>
      <c r="B339" t="str">
        <f>IF(Result_Database!A335="","",Result_Database!A335)</f>
        <v/>
      </c>
      <c r="C339" t="str">
        <f>_xlfn.LET(
_xlpm.result,_xlfn.XLOOKUP($B339,Result_Database!$A$2:$A$500,Result_Database!$B$2:$B$500),
_xlfn.IFNA(_xlpm.result,"")
)</f>
        <v/>
      </c>
      <c r="D339" t="str">
        <f>_xlfn.LET(
  _xlpm.result, _xlfn.XLOOKUP($B339, Result_Database!$A$2:$A$500, Result_Database!C$2:C$500),
  _xlfn.IFNA(_xlpm.result, "")
)</f>
        <v/>
      </c>
      <c r="E339" t="str">
        <f>_xlfn.LET(
  _xlpm.result, _xlfn.XLOOKUP($B339, Result_Database!$A$2:$A$500, Result_Database!D$2:D$500),
  _xlfn.IFNA(_xlpm.result, "")
)</f>
        <v/>
      </c>
      <c r="F339" t="str">
        <f>_xlfn.LET(
  _xlpm.result, _xlfn.XLOOKUP($B339, Result_Database!$A$2:$A$500, Result_Database!E$2:E$500),
  _xlfn.IFNA(_xlpm.result, "")
)</f>
        <v/>
      </c>
      <c r="G339" t="str">
        <f>_xlfn.LET(
  _xlpm.result, _xlfn.XLOOKUP($B339, Result_Database!$A$2:$A$500, Result_Database!F$2:F$500),
  _xlfn.IFNA(_xlpm.result, "")
)</f>
        <v/>
      </c>
      <c r="H339" t="str">
        <f>_xlfn.LET(
  _xlpm.result, _xlfn.XLOOKUP($B339, Result_Database!$A$2:$A$500, Result_Database!G$2:G$500),
  _xlfn.IFNA(_xlpm.result, "")
)</f>
        <v/>
      </c>
      <c r="I339" t="str">
        <f>_xlfn.LET(
  _xlpm.result, _xlfn.XLOOKUP($B339, Result_Database!$A$2:$A$500, Result_Database!H$2:H$500),
  _xlfn.IFNA(_xlpm.result, "")
)</f>
        <v/>
      </c>
      <c r="J339" t="str">
        <f>_xlfn.LET(
  _xlpm.result, _xlfn.XLOOKUP($B339, Result_Database!$A$2:$A$500, Result_Database!I$2:I$500),
  _xlfn.IFNA(_xlpm.result, "")
)</f>
        <v/>
      </c>
      <c r="K339" t="str">
        <f>_xlfn.LET(
  _xlpm.result, _xlfn.XLOOKUP($B339, Result_Database!$A$2:$A$500, Result_Database!J$2:J$500),
  _xlfn.IFNA(_xlpm.result, "")
)</f>
        <v/>
      </c>
      <c r="L339" t="str">
        <f>_xlfn.LET(
  _xlpm.result, _xlfn.XLOOKUP($B339, Result_Database!$A$2:$A$500, Result_Database!K$2:K$500),
  _xlfn.IFNA(_xlpm.result, "")
)</f>
        <v/>
      </c>
      <c r="M339" t="str">
        <f>_xlfn.LET(
  _xlpm.result, _xlfn.XLOOKUP($B339, Result_Database!$A$2:$A$500, Result_Database!L$2:L$500),
  _xlfn.IFNA(_xlpm.result, "")
)</f>
        <v/>
      </c>
      <c r="N339" t="str">
        <f>_xlfn.LET(
  _xlpm.result, _xlfn.XLOOKUP($B339, Result_Database!$A$2:$A$500, Result_Database!M$2:M$500),
  _xlfn.IFNA(_xlpm.result, "")
)</f>
        <v/>
      </c>
      <c r="O339" t="str">
        <f>_xlfn.LET(
  _xlpm.result, _xlfn.XLOOKUP($B339, Result_Database!$A$2:$A$500, Result_Database!N$2:N$500),
  _xlfn.IFNA(_xlpm.result, "")
)</f>
        <v/>
      </c>
      <c r="P339" t="str">
        <f>_xlfn.LET(
  _xlpm.result, _xlfn.XLOOKUP($B339, Result_Database!$A$2:$A$500, Result_Database!O$2:O$500),
  _xlfn.IFNA(_xlpm.result, "")
)</f>
        <v/>
      </c>
      <c r="Q339" t="str">
        <f>_xlfn.LET(
  _xlpm.result, _xlfn.XLOOKUP($B339, Result_Database!$A$2:$A$500, Result_Database!P$2:P$500),
  _xlfn.IFNA(_xlpm.result, "")
)</f>
        <v/>
      </c>
      <c r="R339" t="str">
        <f>_xlfn.LET(
  _xlpm.result, _xlfn.XLOOKUP($B339, Result_Database!$A$2:$A$500, Result_Database!Q$2:Q$500),
  _xlfn.IFNA(_xlpm.result, "")
)</f>
        <v/>
      </c>
      <c r="S339" t="str">
        <f>_xlfn.LET(
  _xlpm.result, _xlfn.XLOOKUP($B339, Result_Database!$A$2:$A$500, Result_Database!R$2:R$500),
  _xlfn.IFNA(_xlpm.result, "")
)</f>
        <v/>
      </c>
      <c r="T339" t="str">
        <f>_xlfn.LET(
  _xlpm.result, _xlfn.XLOOKUP($B339, Result_Database!$A$2:$A$500, Result_Database!S$2:S$500),
  _xlfn.IFNA(_xlpm.result, "")
)</f>
        <v/>
      </c>
      <c r="U339" t="str">
        <f>_xlfn.LET(
  _xlpm.result, _xlfn.XLOOKUP($B339, Result_Database!$A$2:$A$500, Result_Database!T$2:T$500),
  _xlfn.IFNA(_xlpm.result, "")
)</f>
        <v/>
      </c>
      <c r="V339" t="str">
        <f>_xlfn.LET(
  _xlpm.result, _xlfn.XLOOKUP($B339, Result_Database!$A$2:$A$500, Result_Database!U$2:U$500),
  _xlfn.IFNA(_xlpm.result, "")
)</f>
        <v/>
      </c>
      <c r="W339" t="str">
        <f>_xlfn.LET(
  _xlpm.result, _xlfn.XLOOKUP($B339, Result_Database!$A$2:$A$500, Result_Database!V$2:V$500),
  _xlfn.IFNA(_xlpm.result, "")
)</f>
        <v/>
      </c>
      <c r="X339" t="str">
        <f>_xlfn.LET(
  _xlpm.result, _xlfn.XLOOKUP($B339, Result_Database!$A$2:$A$500, Result_Database!W$2:W$500),
  _xlfn.IFNA(_xlpm.result, "")
)</f>
        <v/>
      </c>
      <c r="Y339" t="str">
        <f>_xlfn.LET(
  _xlpm.result, _xlfn.XLOOKUP($B339, Result_Database!$A$2:$A$500, Result_Database!X$2:X$500),
  _xlfn.IFNA(_xlpm.result, "")
)</f>
        <v/>
      </c>
      <c r="Z339" t="str">
        <f>_xlfn.LET(
  _xlpm.result, _xlfn.XLOOKUP($B339, Result_Database!$A$2:$A$500, Result_Database!Y$2:Y$500),
  _xlfn.IFNA(_xlpm.result, "")
)</f>
        <v/>
      </c>
      <c r="AA339" t="str">
        <f>_xlfn.LET(
  _xlpm.result, _xlfn.XLOOKUP($B339, Result_Database!$A$2:$A$500, Result_Database!Z$2:Z$500),
  _xlfn.IFNA(_xlpm.result, "")
)</f>
        <v/>
      </c>
      <c r="AB339" t="str">
        <f>_xlfn.LET(
  _xlpm.result, _xlfn.XLOOKUP($B339, Result_Database!$A$2:$A$500, Result_Database!AA$2:AA$500),
  _xlfn.IFNA(_xlpm.result, "")
)</f>
        <v/>
      </c>
      <c r="AC339" t="str">
        <f>_xlfn.LET(
  _xlpm.result, _xlfn.XLOOKUP($B339, Result_Database!$A$2:$A$500, Result_Database!AB$2:AB$500),
  _xlfn.IFNA(_xlpm.result, "")
)</f>
        <v/>
      </c>
      <c r="AD339" t="str">
        <f>_xlfn.LET(
  _xlpm.result, _xlfn.XLOOKUP($B339, Result_Database!$A$2:$A$500, Result_Database!AC$2:AC$500),
  _xlfn.IFNA(_xlpm.result, "")
)</f>
        <v/>
      </c>
      <c r="AE339" t="str">
        <f>_xlfn.LET(
  _xlpm.result, _xlfn.XLOOKUP($B339, Result_Database!$A$2:$A$500, Result_Database!AD$2:AD$500),
  _xlfn.IFNA(_xlpm.result, "")
)</f>
        <v/>
      </c>
      <c r="AF339" t="str">
        <f>_xlfn.LET(
  _xlpm.result, _xlfn.XLOOKUP($B339, Result_Database!$A$2:$A$500, Result_Database!AE$2:AE$500),
  _xlfn.IFNA(_xlpm.result, "")
)</f>
        <v/>
      </c>
      <c r="AG339" t="str">
        <f>_xlfn.LET(
  _xlpm.result, _xlfn.XLOOKUP($B339, Result_Database!$A$2:$A$500, Result_Database!AF$2:AF$500),
  _xlfn.IFNA(_xlpm.result, "")
)</f>
        <v/>
      </c>
      <c r="AH339" t="str">
        <f>_xlfn.LET(
  _xlpm.result, _xlfn.XLOOKUP($B339, Result_Database!$A$2:$A$500, Result_Database!AG$2:AG$500),
  _xlfn.IFNA(_xlpm.result, "")
)</f>
        <v/>
      </c>
      <c r="AI339" t="str">
        <f>_xlfn.LET(
  _xlpm.result, _xlfn.XLOOKUP($B339, Result_Database!$A$2:$A$500, Result_Database!AH$2:AH$500),
  _xlfn.IFNA(_xlpm.result, "")
)</f>
        <v/>
      </c>
      <c r="AJ339" t="str">
        <f>_xlfn.LET(
  _xlpm.result, _xlfn.XLOOKUP($B339, Result_Database!$A$2:$A$500, Result_Database!AI$2:AI$500),
  _xlfn.IFNA(_xlpm.result, "")
)</f>
        <v/>
      </c>
      <c r="AK339" t="str">
        <f>_xlfn.LET(
  _xlpm.result, _xlfn.XLOOKUP($B339, Result_Database!$A$2:$A$500, Result_Database!AJ$2:AJ$500),
  _xlfn.IFNA(_xlpm.result, "")
)</f>
        <v/>
      </c>
      <c r="AL339" t="str">
        <f>_xlfn.LET(
  _xlpm.result, _xlfn.XLOOKUP($B339, Result_Database!$A$2:$A$500, Result_Database!AK$2:AK$500),
  _xlfn.IFNA(_xlpm.result, "")
)</f>
        <v/>
      </c>
      <c r="AM33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3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3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3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3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3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3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3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3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39" t="str">
        <f>IF(SUM(Table5[[#This Row],[A1]:[C6]])&lt;&gt;0,SUM(Table5[[#This Row],[A1]:[C6]]),"")</f>
        <v/>
      </c>
      <c r="AW339" t="str">
        <f>IF(SUM(Table5[[#This Row],[D7]:[F9]])=0,"",SUM(Table5[[#This Row],[D7]:[F9]]))</f>
        <v/>
      </c>
      <c r="AX33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3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3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3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3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3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39" t="str">
        <f>IF(COUNTIF(Table5[[#This Row],[English Language]:[Electrical/ Electronics]],"WITHHELD")=0,"",COUNTIF(Table5[[#This Row],[English Language]:[Electrical/ Electronics]],"WITHHELD"))</f>
        <v/>
      </c>
      <c r="BE339" t="str">
        <f>IF(SUM(Table5[[#This Row],[NO OF CREDITS]:[BELOW CREDITS]])=0,"",SUM(Table5[[#This Row],[NO OF CREDITS]:[BELOW CREDITS]]))</f>
        <v/>
      </c>
    </row>
    <row r="340" spans="1:57" x14ac:dyDescent="0.3">
      <c r="A340" t="str">
        <f>IF(B340&lt;&gt;"",COUNTA($B$6:B340),"")</f>
        <v/>
      </c>
      <c r="B340" t="str">
        <f>IF(Result_Database!A336="","",Result_Database!A336)</f>
        <v/>
      </c>
      <c r="C340" t="str">
        <f>_xlfn.LET(
_xlpm.result,_xlfn.XLOOKUP($B340,Result_Database!$A$2:$A$500,Result_Database!$B$2:$B$500),
_xlfn.IFNA(_xlpm.result,"")
)</f>
        <v/>
      </c>
      <c r="D340" t="str">
        <f>_xlfn.LET(
  _xlpm.result, _xlfn.XLOOKUP($B340, Result_Database!$A$2:$A$500, Result_Database!C$2:C$500),
  _xlfn.IFNA(_xlpm.result, "")
)</f>
        <v/>
      </c>
      <c r="E340" t="str">
        <f>_xlfn.LET(
  _xlpm.result, _xlfn.XLOOKUP($B340, Result_Database!$A$2:$A$500, Result_Database!D$2:D$500),
  _xlfn.IFNA(_xlpm.result, "")
)</f>
        <v/>
      </c>
      <c r="F340" t="str">
        <f>_xlfn.LET(
  _xlpm.result, _xlfn.XLOOKUP($B340, Result_Database!$A$2:$A$500, Result_Database!E$2:E$500),
  _xlfn.IFNA(_xlpm.result, "")
)</f>
        <v/>
      </c>
      <c r="G340" t="str">
        <f>_xlfn.LET(
  _xlpm.result, _xlfn.XLOOKUP($B340, Result_Database!$A$2:$A$500, Result_Database!F$2:F$500),
  _xlfn.IFNA(_xlpm.result, "")
)</f>
        <v/>
      </c>
      <c r="H340" t="str">
        <f>_xlfn.LET(
  _xlpm.result, _xlfn.XLOOKUP($B340, Result_Database!$A$2:$A$500, Result_Database!G$2:G$500),
  _xlfn.IFNA(_xlpm.result, "")
)</f>
        <v/>
      </c>
      <c r="I340" t="str">
        <f>_xlfn.LET(
  _xlpm.result, _xlfn.XLOOKUP($B340, Result_Database!$A$2:$A$500, Result_Database!H$2:H$500),
  _xlfn.IFNA(_xlpm.result, "")
)</f>
        <v/>
      </c>
      <c r="J340" t="str">
        <f>_xlfn.LET(
  _xlpm.result, _xlfn.XLOOKUP($B340, Result_Database!$A$2:$A$500, Result_Database!I$2:I$500),
  _xlfn.IFNA(_xlpm.result, "")
)</f>
        <v/>
      </c>
      <c r="K340" t="str">
        <f>_xlfn.LET(
  _xlpm.result, _xlfn.XLOOKUP($B340, Result_Database!$A$2:$A$500, Result_Database!J$2:J$500),
  _xlfn.IFNA(_xlpm.result, "")
)</f>
        <v/>
      </c>
      <c r="L340" t="str">
        <f>_xlfn.LET(
  _xlpm.result, _xlfn.XLOOKUP($B340, Result_Database!$A$2:$A$500, Result_Database!K$2:K$500),
  _xlfn.IFNA(_xlpm.result, "")
)</f>
        <v/>
      </c>
      <c r="M340" t="str">
        <f>_xlfn.LET(
  _xlpm.result, _xlfn.XLOOKUP($B340, Result_Database!$A$2:$A$500, Result_Database!L$2:L$500),
  _xlfn.IFNA(_xlpm.result, "")
)</f>
        <v/>
      </c>
      <c r="N340" t="str">
        <f>_xlfn.LET(
  _xlpm.result, _xlfn.XLOOKUP($B340, Result_Database!$A$2:$A$500, Result_Database!M$2:M$500),
  _xlfn.IFNA(_xlpm.result, "")
)</f>
        <v/>
      </c>
      <c r="O340" t="str">
        <f>_xlfn.LET(
  _xlpm.result, _xlfn.XLOOKUP($B340, Result_Database!$A$2:$A$500, Result_Database!N$2:N$500),
  _xlfn.IFNA(_xlpm.result, "")
)</f>
        <v/>
      </c>
      <c r="P340" t="str">
        <f>_xlfn.LET(
  _xlpm.result, _xlfn.XLOOKUP($B340, Result_Database!$A$2:$A$500, Result_Database!O$2:O$500),
  _xlfn.IFNA(_xlpm.result, "")
)</f>
        <v/>
      </c>
      <c r="Q340" t="str">
        <f>_xlfn.LET(
  _xlpm.result, _xlfn.XLOOKUP($B340, Result_Database!$A$2:$A$500, Result_Database!P$2:P$500),
  _xlfn.IFNA(_xlpm.result, "")
)</f>
        <v/>
      </c>
      <c r="R340" t="str">
        <f>_xlfn.LET(
  _xlpm.result, _xlfn.XLOOKUP($B340, Result_Database!$A$2:$A$500, Result_Database!Q$2:Q$500),
  _xlfn.IFNA(_xlpm.result, "")
)</f>
        <v/>
      </c>
      <c r="S340" t="str">
        <f>_xlfn.LET(
  _xlpm.result, _xlfn.XLOOKUP($B340, Result_Database!$A$2:$A$500, Result_Database!R$2:R$500),
  _xlfn.IFNA(_xlpm.result, "")
)</f>
        <v/>
      </c>
      <c r="T340" t="str">
        <f>_xlfn.LET(
  _xlpm.result, _xlfn.XLOOKUP($B340, Result_Database!$A$2:$A$500, Result_Database!S$2:S$500),
  _xlfn.IFNA(_xlpm.result, "")
)</f>
        <v/>
      </c>
      <c r="U340" t="str">
        <f>_xlfn.LET(
  _xlpm.result, _xlfn.XLOOKUP($B340, Result_Database!$A$2:$A$500, Result_Database!T$2:T$500),
  _xlfn.IFNA(_xlpm.result, "")
)</f>
        <v/>
      </c>
      <c r="V340" t="str">
        <f>_xlfn.LET(
  _xlpm.result, _xlfn.XLOOKUP($B340, Result_Database!$A$2:$A$500, Result_Database!U$2:U$500),
  _xlfn.IFNA(_xlpm.result, "")
)</f>
        <v/>
      </c>
      <c r="W340" t="str">
        <f>_xlfn.LET(
  _xlpm.result, _xlfn.XLOOKUP($B340, Result_Database!$A$2:$A$500, Result_Database!V$2:V$500),
  _xlfn.IFNA(_xlpm.result, "")
)</f>
        <v/>
      </c>
      <c r="X340" t="str">
        <f>_xlfn.LET(
  _xlpm.result, _xlfn.XLOOKUP($B340, Result_Database!$A$2:$A$500, Result_Database!W$2:W$500),
  _xlfn.IFNA(_xlpm.result, "")
)</f>
        <v/>
      </c>
      <c r="Y340" t="str">
        <f>_xlfn.LET(
  _xlpm.result, _xlfn.XLOOKUP($B340, Result_Database!$A$2:$A$500, Result_Database!X$2:X$500),
  _xlfn.IFNA(_xlpm.result, "")
)</f>
        <v/>
      </c>
      <c r="Z340" t="str">
        <f>_xlfn.LET(
  _xlpm.result, _xlfn.XLOOKUP($B340, Result_Database!$A$2:$A$500, Result_Database!Y$2:Y$500),
  _xlfn.IFNA(_xlpm.result, "")
)</f>
        <v/>
      </c>
      <c r="AA340" t="str">
        <f>_xlfn.LET(
  _xlpm.result, _xlfn.XLOOKUP($B340, Result_Database!$A$2:$A$500, Result_Database!Z$2:Z$500),
  _xlfn.IFNA(_xlpm.result, "")
)</f>
        <v/>
      </c>
      <c r="AB340" t="str">
        <f>_xlfn.LET(
  _xlpm.result, _xlfn.XLOOKUP($B340, Result_Database!$A$2:$A$500, Result_Database!AA$2:AA$500),
  _xlfn.IFNA(_xlpm.result, "")
)</f>
        <v/>
      </c>
      <c r="AC340" t="str">
        <f>_xlfn.LET(
  _xlpm.result, _xlfn.XLOOKUP($B340, Result_Database!$A$2:$A$500, Result_Database!AB$2:AB$500),
  _xlfn.IFNA(_xlpm.result, "")
)</f>
        <v/>
      </c>
      <c r="AD340" t="str">
        <f>_xlfn.LET(
  _xlpm.result, _xlfn.XLOOKUP($B340, Result_Database!$A$2:$A$500, Result_Database!AC$2:AC$500),
  _xlfn.IFNA(_xlpm.result, "")
)</f>
        <v/>
      </c>
      <c r="AE340" t="str">
        <f>_xlfn.LET(
  _xlpm.result, _xlfn.XLOOKUP($B340, Result_Database!$A$2:$A$500, Result_Database!AD$2:AD$500),
  _xlfn.IFNA(_xlpm.result, "")
)</f>
        <v/>
      </c>
      <c r="AF340" t="str">
        <f>_xlfn.LET(
  _xlpm.result, _xlfn.XLOOKUP($B340, Result_Database!$A$2:$A$500, Result_Database!AE$2:AE$500),
  _xlfn.IFNA(_xlpm.result, "")
)</f>
        <v/>
      </c>
      <c r="AG340" t="str">
        <f>_xlfn.LET(
  _xlpm.result, _xlfn.XLOOKUP($B340, Result_Database!$A$2:$A$500, Result_Database!AF$2:AF$500),
  _xlfn.IFNA(_xlpm.result, "")
)</f>
        <v/>
      </c>
      <c r="AH340" t="str">
        <f>_xlfn.LET(
  _xlpm.result, _xlfn.XLOOKUP($B340, Result_Database!$A$2:$A$500, Result_Database!AG$2:AG$500),
  _xlfn.IFNA(_xlpm.result, "")
)</f>
        <v/>
      </c>
      <c r="AI340" t="str">
        <f>_xlfn.LET(
  _xlpm.result, _xlfn.XLOOKUP($B340, Result_Database!$A$2:$A$500, Result_Database!AH$2:AH$500),
  _xlfn.IFNA(_xlpm.result, "")
)</f>
        <v/>
      </c>
      <c r="AJ340" t="str">
        <f>_xlfn.LET(
  _xlpm.result, _xlfn.XLOOKUP($B340, Result_Database!$A$2:$A$500, Result_Database!AI$2:AI$500),
  _xlfn.IFNA(_xlpm.result, "")
)</f>
        <v/>
      </c>
      <c r="AK340" t="str">
        <f>_xlfn.LET(
  _xlpm.result, _xlfn.XLOOKUP($B340, Result_Database!$A$2:$A$500, Result_Database!AJ$2:AJ$500),
  _xlfn.IFNA(_xlpm.result, "")
)</f>
        <v/>
      </c>
      <c r="AL340" t="str">
        <f>_xlfn.LET(
  _xlpm.result, _xlfn.XLOOKUP($B340, Result_Database!$A$2:$A$500, Result_Database!AK$2:AK$500),
  _xlfn.IFNA(_xlpm.result, "")
)</f>
        <v/>
      </c>
      <c r="AM34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4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4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4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4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4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4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4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4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40" t="str">
        <f>IF(SUM(Table5[[#This Row],[A1]:[C6]])&lt;&gt;0,SUM(Table5[[#This Row],[A1]:[C6]]),"")</f>
        <v/>
      </c>
      <c r="AW340" t="str">
        <f>IF(SUM(Table5[[#This Row],[D7]:[F9]])=0,"",SUM(Table5[[#This Row],[D7]:[F9]]))</f>
        <v/>
      </c>
      <c r="AX34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4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4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4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4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4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40" t="str">
        <f>IF(COUNTIF(Table5[[#This Row],[English Language]:[Electrical/ Electronics]],"WITHHELD")=0,"",COUNTIF(Table5[[#This Row],[English Language]:[Electrical/ Electronics]],"WITHHELD"))</f>
        <v/>
      </c>
      <c r="BE340" t="str">
        <f>IF(SUM(Table5[[#This Row],[NO OF CREDITS]:[BELOW CREDITS]])=0,"",SUM(Table5[[#This Row],[NO OF CREDITS]:[BELOW CREDITS]]))</f>
        <v/>
      </c>
    </row>
    <row r="341" spans="1:57" x14ac:dyDescent="0.3">
      <c r="A341" t="str">
        <f>IF(B341&lt;&gt;"",COUNTA($B$6:B341),"")</f>
        <v/>
      </c>
      <c r="B341" t="str">
        <f>IF(Result_Database!A337="","",Result_Database!A337)</f>
        <v/>
      </c>
      <c r="C341" t="str">
        <f>_xlfn.LET(
_xlpm.result,_xlfn.XLOOKUP($B341,Result_Database!$A$2:$A$500,Result_Database!$B$2:$B$500),
_xlfn.IFNA(_xlpm.result,"")
)</f>
        <v/>
      </c>
      <c r="D341" t="str">
        <f>_xlfn.LET(
  _xlpm.result, _xlfn.XLOOKUP($B341, Result_Database!$A$2:$A$500, Result_Database!C$2:C$500),
  _xlfn.IFNA(_xlpm.result, "")
)</f>
        <v/>
      </c>
      <c r="E341" t="str">
        <f>_xlfn.LET(
  _xlpm.result, _xlfn.XLOOKUP($B341, Result_Database!$A$2:$A$500, Result_Database!D$2:D$500),
  _xlfn.IFNA(_xlpm.result, "")
)</f>
        <v/>
      </c>
      <c r="F341" t="str">
        <f>_xlfn.LET(
  _xlpm.result, _xlfn.XLOOKUP($B341, Result_Database!$A$2:$A$500, Result_Database!E$2:E$500),
  _xlfn.IFNA(_xlpm.result, "")
)</f>
        <v/>
      </c>
      <c r="G341" t="str">
        <f>_xlfn.LET(
  _xlpm.result, _xlfn.XLOOKUP($B341, Result_Database!$A$2:$A$500, Result_Database!F$2:F$500),
  _xlfn.IFNA(_xlpm.result, "")
)</f>
        <v/>
      </c>
      <c r="H341" t="str">
        <f>_xlfn.LET(
  _xlpm.result, _xlfn.XLOOKUP($B341, Result_Database!$A$2:$A$500, Result_Database!G$2:G$500),
  _xlfn.IFNA(_xlpm.result, "")
)</f>
        <v/>
      </c>
      <c r="I341" t="str">
        <f>_xlfn.LET(
  _xlpm.result, _xlfn.XLOOKUP($B341, Result_Database!$A$2:$A$500, Result_Database!H$2:H$500),
  _xlfn.IFNA(_xlpm.result, "")
)</f>
        <v/>
      </c>
      <c r="J341" t="str">
        <f>_xlfn.LET(
  _xlpm.result, _xlfn.XLOOKUP($B341, Result_Database!$A$2:$A$500, Result_Database!I$2:I$500),
  _xlfn.IFNA(_xlpm.result, "")
)</f>
        <v/>
      </c>
      <c r="K341" t="str">
        <f>_xlfn.LET(
  _xlpm.result, _xlfn.XLOOKUP($B341, Result_Database!$A$2:$A$500, Result_Database!J$2:J$500),
  _xlfn.IFNA(_xlpm.result, "")
)</f>
        <v/>
      </c>
      <c r="L341" t="str">
        <f>_xlfn.LET(
  _xlpm.result, _xlfn.XLOOKUP($B341, Result_Database!$A$2:$A$500, Result_Database!K$2:K$500),
  _xlfn.IFNA(_xlpm.result, "")
)</f>
        <v/>
      </c>
      <c r="M341" t="str">
        <f>_xlfn.LET(
  _xlpm.result, _xlfn.XLOOKUP($B341, Result_Database!$A$2:$A$500, Result_Database!L$2:L$500),
  _xlfn.IFNA(_xlpm.result, "")
)</f>
        <v/>
      </c>
      <c r="N341" t="str">
        <f>_xlfn.LET(
  _xlpm.result, _xlfn.XLOOKUP($B341, Result_Database!$A$2:$A$500, Result_Database!M$2:M$500),
  _xlfn.IFNA(_xlpm.result, "")
)</f>
        <v/>
      </c>
      <c r="O341" t="str">
        <f>_xlfn.LET(
  _xlpm.result, _xlfn.XLOOKUP($B341, Result_Database!$A$2:$A$500, Result_Database!N$2:N$500),
  _xlfn.IFNA(_xlpm.result, "")
)</f>
        <v/>
      </c>
      <c r="P341" t="str">
        <f>_xlfn.LET(
  _xlpm.result, _xlfn.XLOOKUP($B341, Result_Database!$A$2:$A$500, Result_Database!O$2:O$500),
  _xlfn.IFNA(_xlpm.result, "")
)</f>
        <v/>
      </c>
      <c r="Q341" t="str">
        <f>_xlfn.LET(
  _xlpm.result, _xlfn.XLOOKUP($B341, Result_Database!$A$2:$A$500, Result_Database!P$2:P$500),
  _xlfn.IFNA(_xlpm.result, "")
)</f>
        <v/>
      </c>
      <c r="R341" t="str">
        <f>_xlfn.LET(
  _xlpm.result, _xlfn.XLOOKUP($B341, Result_Database!$A$2:$A$500, Result_Database!Q$2:Q$500),
  _xlfn.IFNA(_xlpm.result, "")
)</f>
        <v/>
      </c>
      <c r="S341" t="str">
        <f>_xlfn.LET(
  _xlpm.result, _xlfn.XLOOKUP($B341, Result_Database!$A$2:$A$500, Result_Database!R$2:R$500),
  _xlfn.IFNA(_xlpm.result, "")
)</f>
        <v/>
      </c>
      <c r="T341" t="str">
        <f>_xlfn.LET(
  _xlpm.result, _xlfn.XLOOKUP($B341, Result_Database!$A$2:$A$500, Result_Database!S$2:S$500),
  _xlfn.IFNA(_xlpm.result, "")
)</f>
        <v/>
      </c>
      <c r="U341" t="str">
        <f>_xlfn.LET(
  _xlpm.result, _xlfn.XLOOKUP($B341, Result_Database!$A$2:$A$500, Result_Database!T$2:T$500),
  _xlfn.IFNA(_xlpm.result, "")
)</f>
        <v/>
      </c>
      <c r="V341" t="str">
        <f>_xlfn.LET(
  _xlpm.result, _xlfn.XLOOKUP($B341, Result_Database!$A$2:$A$500, Result_Database!U$2:U$500),
  _xlfn.IFNA(_xlpm.result, "")
)</f>
        <v/>
      </c>
      <c r="W341" t="str">
        <f>_xlfn.LET(
  _xlpm.result, _xlfn.XLOOKUP($B341, Result_Database!$A$2:$A$500, Result_Database!V$2:V$500),
  _xlfn.IFNA(_xlpm.result, "")
)</f>
        <v/>
      </c>
      <c r="X341" t="str">
        <f>_xlfn.LET(
  _xlpm.result, _xlfn.XLOOKUP($B341, Result_Database!$A$2:$A$500, Result_Database!W$2:W$500),
  _xlfn.IFNA(_xlpm.result, "")
)</f>
        <v/>
      </c>
      <c r="Y341" t="str">
        <f>_xlfn.LET(
  _xlpm.result, _xlfn.XLOOKUP($B341, Result_Database!$A$2:$A$500, Result_Database!X$2:X$500),
  _xlfn.IFNA(_xlpm.result, "")
)</f>
        <v/>
      </c>
      <c r="Z341" t="str">
        <f>_xlfn.LET(
  _xlpm.result, _xlfn.XLOOKUP($B341, Result_Database!$A$2:$A$500, Result_Database!Y$2:Y$500),
  _xlfn.IFNA(_xlpm.result, "")
)</f>
        <v/>
      </c>
      <c r="AA341" t="str">
        <f>_xlfn.LET(
  _xlpm.result, _xlfn.XLOOKUP($B341, Result_Database!$A$2:$A$500, Result_Database!Z$2:Z$500),
  _xlfn.IFNA(_xlpm.result, "")
)</f>
        <v/>
      </c>
      <c r="AB341" t="str">
        <f>_xlfn.LET(
  _xlpm.result, _xlfn.XLOOKUP($B341, Result_Database!$A$2:$A$500, Result_Database!AA$2:AA$500),
  _xlfn.IFNA(_xlpm.result, "")
)</f>
        <v/>
      </c>
      <c r="AC341" t="str">
        <f>_xlfn.LET(
  _xlpm.result, _xlfn.XLOOKUP($B341, Result_Database!$A$2:$A$500, Result_Database!AB$2:AB$500),
  _xlfn.IFNA(_xlpm.result, "")
)</f>
        <v/>
      </c>
      <c r="AD341" t="str">
        <f>_xlfn.LET(
  _xlpm.result, _xlfn.XLOOKUP($B341, Result_Database!$A$2:$A$500, Result_Database!AC$2:AC$500),
  _xlfn.IFNA(_xlpm.result, "")
)</f>
        <v/>
      </c>
      <c r="AE341" t="str">
        <f>_xlfn.LET(
  _xlpm.result, _xlfn.XLOOKUP($B341, Result_Database!$A$2:$A$500, Result_Database!AD$2:AD$500),
  _xlfn.IFNA(_xlpm.result, "")
)</f>
        <v/>
      </c>
      <c r="AF341" t="str">
        <f>_xlfn.LET(
  _xlpm.result, _xlfn.XLOOKUP($B341, Result_Database!$A$2:$A$500, Result_Database!AE$2:AE$500),
  _xlfn.IFNA(_xlpm.result, "")
)</f>
        <v/>
      </c>
      <c r="AG341" t="str">
        <f>_xlfn.LET(
  _xlpm.result, _xlfn.XLOOKUP($B341, Result_Database!$A$2:$A$500, Result_Database!AF$2:AF$500),
  _xlfn.IFNA(_xlpm.result, "")
)</f>
        <v/>
      </c>
      <c r="AH341" t="str">
        <f>_xlfn.LET(
  _xlpm.result, _xlfn.XLOOKUP($B341, Result_Database!$A$2:$A$500, Result_Database!AG$2:AG$500),
  _xlfn.IFNA(_xlpm.result, "")
)</f>
        <v/>
      </c>
      <c r="AI341" t="str">
        <f>_xlfn.LET(
  _xlpm.result, _xlfn.XLOOKUP($B341, Result_Database!$A$2:$A$500, Result_Database!AH$2:AH$500),
  _xlfn.IFNA(_xlpm.result, "")
)</f>
        <v/>
      </c>
      <c r="AJ341" t="str">
        <f>_xlfn.LET(
  _xlpm.result, _xlfn.XLOOKUP($B341, Result_Database!$A$2:$A$500, Result_Database!AI$2:AI$500),
  _xlfn.IFNA(_xlpm.result, "")
)</f>
        <v/>
      </c>
      <c r="AK341" t="str">
        <f>_xlfn.LET(
  _xlpm.result, _xlfn.XLOOKUP($B341, Result_Database!$A$2:$A$500, Result_Database!AJ$2:AJ$500),
  _xlfn.IFNA(_xlpm.result, "")
)</f>
        <v/>
      </c>
      <c r="AL341" t="str">
        <f>_xlfn.LET(
  _xlpm.result, _xlfn.XLOOKUP($B341, Result_Database!$A$2:$A$500, Result_Database!AK$2:AK$500),
  _xlfn.IFNA(_xlpm.result, "")
)</f>
        <v/>
      </c>
      <c r="AM34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4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4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4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4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4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4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4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4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41" t="str">
        <f>IF(SUM(Table5[[#This Row],[A1]:[C6]])&lt;&gt;0,SUM(Table5[[#This Row],[A1]:[C6]]),"")</f>
        <v/>
      </c>
      <c r="AW341" t="str">
        <f>IF(SUM(Table5[[#This Row],[D7]:[F9]])=0,"",SUM(Table5[[#This Row],[D7]:[F9]]))</f>
        <v/>
      </c>
      <c r="AX34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4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4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4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4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4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41" t="str">
        <f>IF(COUNTIF(Table5[[#This Row],[English Language]:[Electrical/ Electronics]],"WITHHELD")=0,"",COUNTIF(Table5[[#This Row],[English Language]:[Electrical/ Electronics]],"WITHHELD"))</f>
        <v/>
      </c>
      <c r="BE341" t="str">
        <f>IF(SUM(Table5[[#This Row],[NO OF CREDITS]:[BELOW CREDITS]])=0,"",SUM(Table5[[#This Row],[NO OF CREDITS]:[BELOW CREDITS]]))</f>
        <v/>
      </c>
    </row>
    <row r="342" spans="1:57" x14ac:dyDescent="0.3">
      <c r="A342" t="str">
        <f>IF(B342&lt;&gt;"",COUNTA($B$6:B342),"")</f>
        <v/>
      </c>
      <c r="B342" t="str">
        <f>IF(Result_Database!A338="","",Result_Database!A338)</f>
        <v/>
      </c>
      <c r="C342" t="str">
        <f>_xlfn.LET(
_xlpm.result,_xlfn.XLOOKUP($B342,Result_Database!$A$2:$A$500,Result_Database!$B$2:$B$500),
_xlfn.IFNA(_xlpm.result,"")
)</f>
        <v/>
      </c>
      <c r="D342" t="str">
        <f>_xlfn.LET(
  _xlpm.result, _xlfn.XLOOKUP($B342, Result_Database!$A$2:$A$500, Result_Database!C$2:C$500),
  _xlfn.IFNA(_xlpm.result, "")
)</f>
        <v/>
      </c>
      <c r="E342" t="str">
        <f>_xlfn.LET(
  _xlpm.result, _xlfn.XLOOKUP($B342, Result_Database!$A$2:$A$500, Result_Database!D$2:D$500),
  _xlfn.IFNA(_xlpm.result, "")
)</f>
        <v/>
      </c>
      <c r="F342" t="str">
        <f>_xlfn.LET(
  _xlpm.result, _xlfn.XLOOKUP($B342, Result_Database!$A$2:$A$500, Result_Database!E$2:E$500),
  _xlfn.IFNA(_xlpm.result, "")
)</f>
        <v/>
      </c>
      <c r="G342" t="str">
        <f>_xlfn.LET(
  _xlpm.result, _xlfn.XLOOKUP($B342, Result_Database!$A$2:$A$500, Result_Database!F$2:F$500),
  _xlfn.IFNA(_xlpm.result, "")
)</f>
        <v/>
      </c>
      <c r="H342" t="str">
        <f>_xlfn.LET(
  _xlpm.result, _xlfn.XLOOKUP($B342, Result_Database!$A$2:$A$500, Result_Database!G$2:G$500),
  _xlfn.IFNA(_xlpm.result, "")
)</f>
        <v/>
      </c>
      <c r="I342" t="str">
        <f>_xlfn.LET(
  _xlpm.result, _xlfn.XLOOKUP($B342, Result_Database!$A$2:$A$500, Result_Database!H$2:H$500),
  _xlfn.IFNA(_xlpm.result, "")
)</f>
        <v/>
      </c>
      <c r="J342" t="str">
        <f>_xlfn.LET(
  _xlpm.result, _xlfn.XLOOKUP($B342, Result_Database!$A$2:$A$500, Result_Database!I$2:I$500),
  _xlfn.IFNA(_xlpm.result, "")
)</f>
        <v/>
      </c>
      <c r="K342" t="str">
        <f>_xlfn.LET(
  _xlpm.result, _xlfn.XLOOKUP($B342, Result_Database!$A$2:$A$500, Result_Database!J$2:J$500),
  _xlfn.IFNA(_xlpm.result, "")
)</f>
        <v/>
      </c>
      <c r="L342" t="str">
        <f>_xlfn.LET(
  _xlpm.result, _xlfn.XLOOKUP($B342, Result_Database!$A$2:$A$500, Result_Database!K$2:K$500),
  _xlfn.IFNA(_xlpm.result, "")
)</f>
        <v/>
      </c>
      <c r="M342" t="str">
        <f>_xlfn.LET(
  _xlpm.result, _xlfn.XLOOKUP($B342, Result_Database!$A$2:$A$500, Result_Database!L$2:L$500),
  _xlfn.IFNA(_xlpm.result, "")
)</f>
        <v/>
      </c>
      <c r="N342" t="str">
        <f>_xlfn.LET(
  _xlpm.result, _xlfn.XLOOKUP($B342, Result_Database!$A$2:$A$500, Result_Database!M$2:M$500),
  _xlfn.IFNA(_xlpm.result, "")
)</f>
        <v/>
      </c>
      <c r="O342" t="str">
        <f>_xlfn.LET(
  _xlpm.result, _xlfn.XLOOKUP($B342, Result_Database!$A$2:$A$500, Result_Database!N$2:N$500),
  _xlfn.IFNA(_xlpm.result, "")
)</f>
        <v/>
      </c>
      <c r="P342" t="str">
        <f>_xlfn.LET(
  _xlpm.result, _xlfn.XLOOKUP($B342, Result_Database!$A$2:$A$500, Result_Database!O$2:O$500),
  _xlfn.IFNA(_xlpm.result, "")
)</f>
        <v/>
      </c>
      <c r="Q342" t="str">
        <f>_xlfn.LET(
  _xlpm.result, _xlfn.XLOOKUP($B342, Result_Database!$A$2:$A$500, Result_Database!P$2:P$500),
  _xlfn.IFNA(_xlpm.result, "")
)</f>
        <v/>
      </c>
      <c r="R342" t="str">
        <f>_xlfn.LET(
  _xlpm.result, _xlfn.XLOOKUP($B342, Result_Database!$A$2:$A$500, Result_Database!Q$2:Q$500),
  _xlfn.IFNA(_xlpm.result, "")
)</f>
        <v/>
      </c>
      <c r="S342" t="str">
        <f>_xlfn.LET(
  _xlpm.result, _xlfn.XLOOKUP($B342, Result_Database!$A$2:$A$500, Result_Database!R$2:R$500),
  _xlfn.IFNA(_xlpm.result, "")
)</f>
        <v/>
      </c>
      <c r="T342" t="str">
        <f>_xlfn.LET(
  _xlpm.result, _xlfn.XLOOKUP($B342, Result_Database!$A$2:$A$500, Result_Database!S$2:S$500),
  _xlfn.IFNA(_xlpm.result, "")
)</f>
        <v/>
      </c>
      <c r="U342" t="str">
        <f>_xlfn.LET(
  _xlpm.result, _xlfn.XLOOKUP($B342, Result_Database!$A$2:$A$500, Result_Database!T$2:T$500),
  _xlfn.IFNA(_xlpm.result, "")
)</f>
        <v/>
      </c>
      <c r="V342" t="str">
        <f>_xlfn.LET(
  _xlpm.result, _xlfn.XLOOKUP($B342, Result_Database!$A$2:$A$500, Result_Database!U$2:U$500),
  _xlfn.IFNA(_xlpm.result, "")
)</f>
        <v/>
      </c>
      <c r="W342" t="str">
        <f>_xlfn.LET(
  _xlpm.result, _xlfn.XLOOKUP($B342, Result_Database!$A$2:$A$500, Result_Database!V$2:V$500),
  _xlfn.IFNA(_xlpm.result, "")
)</f>
        <v/>
      </c>
      <c r="X342" t="str">
        <f>_xlfn.LET(
  _xlpm.result, _xlfn.XLOOKUP($B342, Result_Database!$A$2:$A$500, Result_Database!W$2:W$500),
  _xlfn.IFNA(_xlpm.result, "")
)</f>
        <v/>
      </c>
      <c r="Y342" t="str">
        <f>_xlfn.LET(
  _xlpm.result, _xlfn.XLOOKUP($B342, Result_Database!$A$2:$A$500, Result_Database!X$2:X$500),
  _xlfn.IFNA(_xlpm.result, "")
)</f>
        <v/>
      </c>
      <c r="Z342" t="str">
        <f>_xlfn.LET(
  _xlpm.result, _xlfn.XLOOKUP($B342, Result_Database!$A$2:$A$500, Result_Database!Y$2:Y$500),
  _xlfn.IFNA(_xlpm.result, "")
)</f>
        <v/>
      </c>
      <c r="AA342" t="str">
        <f>_xlfn.LET(
  _xlpm.result, _xlfn.XLOOKUP($B342, Result_Database!$A$2:$A$500, Result_Database!Z$2:Z$500),
  _xlfn.IFNA(_xlpm.result, "")
)</f>
        <v/>
      </c>
      <c r="AB342" t="str">
        <f>_xlfn.LET(
  _xlpm.result, _xlfn.XLOOKUP($B342, Result_Database!$A$2:$A$500, Result_Database!AA$2:AA$500),
  _xlfn.IFNA(_xlpm.result, "")
)</f>
        <v/>
      </c>
      <c r="AC342" t="str">
        <f>_xlfn.LET(
  _xlpm.result, _xlfn.XLOOKUP($B342, Result_Database!$A$2:$A$500, Result_Database!AB$2:AB$500),
  _xlfn.IFNA(_xlpm.result, "")
)</f>
        <v/>
      </c>
      <c r="AD342" t="str">
        <f>_xlfn.LET(
  _xlpm.result, _xlfn.XLOOKUP($B342, Result_Database!$A$2:$A$500, Result_Database!AC$2:AC$500),
  _xlfn.IFNA(_xlpm.result, "")
)</f>
        <v/>
      </c>
      <c r="AE342" t="str">
        <f>_xlfn.LET(
  _xlpm.result, _xlfn.XLOOKUP($B342, Result_Database!$A$2:$A$500, Result_Database!AD$2:AD$500),
  _xlfn.IFNA(_xlpm.result, "")
)</f>
        <v/>
      </c>
      <c r="AF342" t="str">
        <f>_xlfn.LET(
  _xlpm.result, _xlfn.XLOOKUP($B342, Result_Database!$A$2:$A$500, Result_Database!AE$2:AE$500),
  _xlfn.IFNA(_xlpm.result, "")
)</f>
        <v/>
      </c>
      <c r="AG342" t="str">
        <f>_xlfn.LET(
  _xlpm.result, _xlfn.XLOOKUP($B342, Result_Database!$A$2:$A$500, Result_Database!AF$2:AF$500),
  _xlfn.IFNA(_xlpm.result, "")
)</f>
        <v/>
      </c>
      <c r="AH342" t="str">
        <f>_xlfn.LET(
  _xlpm.result, _xlfn.XLOOKUP($B342, Result_Database!$A$2:$A$500, Result_Database!AG$2:AG$500),
  _xlfn.IFNA(_xlpm.result, "")
)</f>
        <v/>
      </c>
      <c r="AI342" t="str">
        <f>_xlfn.LET(
  _xlpm.result, _xlfn.XLOOKUP($B342, Result_Database!$A$2:$A$500, Result_Database!AH$2:AH$500),
  _xlfn.IFNA(_xlpm.result, "")
)</f>
        <v/>
      </c>
      <c r="AJ342" t="str">
        <f>_xlfn.LET(
  _xlpm.result, _xlfn.XLOOKUP($B342, Result_Database!$A$2:$A$500, Result_Database!AI$2:AI$500),
  _xlfn.IFNA(_xlpm.result, "")
)</f>
        <v/>
      </c>
      <c r="AK342" t="str">
        <f>_xlfn.LET(
  _xlpm.result, _xlfn.XLOOKUP($B342, Result_Database!$A$2:$A$500, Result_Database!AJ$2:AJ$500),
  _xlfn.IFNA(_xlpm.result, "")
)</f>
        <v/>
      </c>
      <c r="AL342" t="str">
        <f>_xlfn.LET(
  _xlpm.result, _xlfn.XLOOKUP($B342, Result_Database!$A$2:$A$500, Result_Database!AK$2:AK$500),
  _xlfn.IFNA(_xlpm.result, "")
)</f>
        <v/>
      </c>
      <c r="AM34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4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4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4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4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4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4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4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4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42" t="str">
        <f>IF(SUM(Table5[[#This Row],[A1]:[C6]])&lt;&gt;0,SUM(Table5[[#This Row],[A1]:[C6]]),"")</f>
        <v/>
      </c>
      <c r="AW342" t="str">
        <f>IF(SUM(Table5[[#This Row],[D7]:[F9]])=0,"",SUM(Table5[[#This Row],[D7]:[F9]]))</f>
        <v/>
      </c>
      <c r="AX34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4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4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4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4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4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42" t="str">
        <f>IF(COUNTIF(Table5[[#This Row],[English Language]:[Electrical/ Electronics]],"WITHHELD")=0,"",COUNTIF(Table5[[#This Row],[English Language]:[Electrical/ Electronics]],"WITHHELD"))</f>
        <v/>
      </c>
      <c r="BE342" t="str">
        <f>IF(SUM(Table5[[#This Row],[NO OF CREDITS]:[BELOW CREDITS]])=0,"",SUM(Table5[[#This Row],[NO OF CREDITS]:[BELOW CREDITS]]))</f>
        <v/>
      </c>
    </row>
    <row r="343" spans="1:57" x14ac:dyDescent="0.3">
      <c r="A343" t="str">
        <f>IF(B343&lt;&gt;"",COUNTA($B$6:B343),"")</f>
        <v/>
      </c>
      <c r="B343" t="str">
        <f>IF(Result_Database!A339="","",Result_Database!A339)</f>
        <v/>
      </c>
      <c r="C343" t="str">
        <f>_xlfn.LET(
_xlpm.result,_xlfn.XLOOKUP($B343,Result_Database!$A$2:$A$500,Result_Database!$B$2:$B$500),
_xlfn.IFNA(_xlpm.result,"")
)</f>
        <v/>
      </c>
      <c r="D343" t="str">
        <f>_xlfn.LET(
  _xlpm.result, _xlfn.XLOOKUP($B343, Result_Database!$A$2:$A$500, Result_Database!C$2:C$500),
  _xlfn.IFNA(_xlpm.result, "")
)</f>
        <v/>
      </c>
      <c r="E343" t="str">
        <f>_xlfn.LET(
  _xlpm.result, _xlfn.XLOOKUP($B343, Result_Database!$A$2:$A$500, Result_Database!D$2:D$500),
  _xlfn.IFNA(_xlpm.result, "")
)</f>
        <v/>
      </c>
      <c r="F343" t="str">
        <f>_xlfn.LET(
  _xlpm.result, _xlfn.XLOOKUP($B343, Result_Database!$A$2:$A$500, Result_Database!E$2:E$500),
  _xlfn.IFNA(_xlpm.result, "")
)</f>
        <v/>
      </c>
      <c r="G343" t="str">
        <f>_xlfn.LET(
  _xlpm.result, _xlfn.XLOOKUP($B343, Result_Database!$A$2:$A$500, Result_Database!F$2:F$500),
  _xlfn.IFNA(_xlpm.result, "")
)</f>
        <v/>
      </c>
      <c r="H343" t="str">
        <f>_xlfn.LET(
  _xlpm.result, _xlfn.XLOOKUP($B343, Result_Database!$A$2:$A$500, Result_Database!G$2:G$500),
  _xlfn.IFNA(_xlpm.result, "")
)</f>
        <v/>
      </c>
      <c r="I343" t="str">
        <f>_xlfn.LET(
  _xlpm.result, _xlfn.XLOOKUP($B343, Result_Database!$A$2:$A$500, Result_Database!H$2:H$500),
  _xlfn.IFNA(_xlpm.result, "")
)</f>
        <v/>
      </c>
      <c r="J343" t="str">
        <f>_xlfn.LET(
  _xlpm.result, _xlfn.XLOOKUP($B343, Result_Database!$A$2:$A$500, Result_Database!I$2:I$500),
  _xlfn.IFNA(_xlpm.result, "")
)</f>
        <v/>
      </c>
      <c r="K343" t="str">
        <f>_xlfn.LET(
  _xlpm.result, _xlfn.XLOOKUP($B343, Result_Database!$A$2:$A$500, Result_Database!J$2:J$500),
  _xlfn.IFNA(_xlpm.result, "")
)</f>
        <v/>
      </c>
      <c r="L343" t="str">
        <f>_xlfn.LET(
  _xlpm.result, _xlfn.XLOOKUP($B343, Result_Database!$A$2:$A$500, Result_Database!K$2:K$500),
  _xlfn.IFNA(_xlpm.result, "")
)</f>
        <v/>
      </c>
      <c r="M343" t="str">
        <f>_xlfn.LET(
  _xlpm.result, _xlfn.XLOOKUP($B343, Result_Database!$A$2:$A$500, Result_Database!L$2:L$500),
  _xlfn.IFNA(_xlpm.result, "")
)</f>
        <v/>
      </c>
      <c r="N343" t="str">
        <f>_xlfn.LET(
  _xlpm.result, _xlfn.XLOOKUP($B343, Result_Database!$A$2:$A$500, Result_Database!M$2:M$500),
  _xlfn.IFNA(_xlpm.result, "")
)</f>
        <v/>
      </c>
      <c r="O343" t="str">
        <f>_xlfn.LET(
  _xlpm.result, _xlfn.XLOOKUP($B343, Result_Database!$A$2:$A$500, Result_Database!N$2:N$500),
  _xlfn.IFNA(_xlpm.result, "")
)</f>
        <v/>
      </c>
      <c r="P343" t="str">
        <f>_xlfn.LET(
  _xlpm.result, _xlfn.XLOOKUP($B343, Result_Database!$A$2:$A$500, Result_Database!O$2:O$500),
  _xlfn.IFNA(_xlpm.result, "")
)</f>
        <v/>
      </c>
      <c r="Q343" t="str">
        <f>_xlfn.LET(
  _xlpm.result, _xlfn.XLOOKUP($B343, Result_Database!$A$2:$A$500, Result_Database!P$2:P$500),
  _xlfn.IFNA(_xlpm.result, "")
)</f>
        <v/>
      </c>
      <c r="R343" t="str">
        <f>_xlfn.LET(
  _xlpm.result, _xlfn.XLOOKUP($B343, Result_Database!$A$2:$A$500, Result_Database!Q$2:Q$500),
  _xlfn.IFNA(_xlpm.result, "")
)</f>
        <v/>
      </c>
      <c r="S343" t="str">
        <f>_xlfn.LET(
  _xlpm.result, _xlfn.XLOOKUP($B343, Result_Database!$A$2:$A$500, Result_Database!R$2:R$500),
  _xlfn.IFNA(_xlpm.result, "")
)</f>
        <v/>
      </c>
      <c r="T343" t="str">
        <f>_xlfn.LET(
  _xlpm.result, _xlfn.XLOOKUP($B343, Result_Database!$A$2:$A$500, Result_Database!S$2:S$500),
  _xlfn.IFNA(_xlpm.result, "")
)</f>
        <v/>
      </c>
      <c r="U343" t="str">
        <f>_xlfn.LET(
  _xlpm.result, _xlfn.XLOOKUP($B343, Result_Database!$A$2:$A$500, Result_Database!T$2:T$500),
  _xlfn.IFNA(_xlpm.result, "")
)</f>
        <v/>
      </c>
      <c r="V343" t="str">
        <f>_xlfn.LET(
  _xlpm.result, _xlfn.XLOOKUP($B343, Result_Database!$A$2:$A$500, Result_Database!U$2:U$500),
  _xlfn.IFNA(_xlpm.result, "")
)</f>
        <v/>
      </c>
      <c r="W343" t="str">
        <f>_xlfn.LET(
  _xlpm.result, _xlfn.XLOOKUP($B343, Result_Database!$A$2:$A$500, Result_Database!V$2:V$500),
  _xlfn.IFNA(_xlpm.result, "")
)</f>
        <v/>
      </c>
      <c r="X343" t="str">
        <f>_xlfn.LET(
  _xlpm.result, _xlfn.XLOOKUP($B343, Result_Database!$A$2:$A$500, Result_Database!W$2:W$500),
  _xlfn.IFNA(_xlpm.result, "")
)</f>
        <v/>
      </c>
      <c r="Y343" t="str">
        <f>_xlfn.LET(
  _xlpm.result, _xlfn.XLOOKUP($B343, Result_Database!$A$2:$A$500, Result_Database!X$2:X$500),
  _xlfn.IFNA(_xlpm.result, "")
)</f>
        <v/>
      </c>
      <c r="Z343" t="str">
        <f>_xlfn.LET(
  _xlpm.result, _xlfn.XLOOKUP($B343, Result_Database!$A$2:$A$500, Result_Database!Y$2:Y$500),
  _xlfn.IFNA(_xlpm.result, "")
)</f>
        <v/>
      </c>
      <c r="AA343" t="str">
        <f>_xlfn.LET(
  _xlpm.result, _xlfn.XLOOKUP($B343, Result_Database!$A$2:$A$500, Result_Database!Z$2:Z$500),
  _xlfn.IFNA(_xlpm.result, "")
)</f>
        <v/>
      </c>
      <c r="AB343" t="str">
        <f>_xlfn.LET(
  _xlpm.result, _xlfn.XLOOKUP($B343, Result_Database!$A$2:$A$500, Result_Database!AA$2:AA$500),
  _xlfn.IFNA(_xlpm.result, "")
)</f>
        <v/>
      </c>
      <c r="AC343" t="str">
        <f>_xlfn.LET(
  _xlpm.result, _xlfn.XLOOKUP($B343, Result_Database!$A$2:$A$500, Result_Database!AB$2:AB$500),
  _xlfn.IFNA(_xlpm.result, "")
)</f>
        <v/>
      </c>
      <c r="AD343" t="str">
        <f>_xlfn.LET(
  _xlpm.result, _xlfn.XLOOKUP($B343, Result_Database!$A$2:$A$500, Result_Database!AC$2:AC$500),
  _xlfn.IFNA(_xlpm.result, "")
)</f>
        <v/>
      </c>
      <c r="AE343" t="str">
        <f>_xlfn.LET(
  _xlpm.result, _xlfn.XLOOKUP($B343, Result_Database!$A$2:$A$500, Result_Database!AD$2:AD$500),
  _xlfn.IFNA(_xlpm.result, "")
)</f>
        <v/>
      </c>
      <c r="AF343" t="str">
        <f>_xlfn.LET(
  _xlpm.result, _xlfn.XLOOKUP($B343, Result_Database!$A$2:$A$500, Result_Database!AE$2:AE$500),
  _xlfn.IFNA(_xlpm.result, "")
)</f>
        <v/>
      </c>
      <c r="AG343" t="str">
        <f>_xlfn.LET(
  _xlpm.result, _xlfn.XLOOKUP($B343, Result_Database!$A$2:$A$500, Result_Database!AF$2:AF$500),
  _xlfn.IFNA(_xlpm.result, "")
)</f>
        <v/>
      </c>
      <c r="AH343" t="str">
        <f>_xlfn.LET(
  _xlpm.result, _xlfn.XLOOKUP($B343, Result_Database!$A$2:$A$500, Result_Database!AG$2:AG$500),
  _xlfn.IFNA(_xlpm.result, "")
)</f>
        <v/>
      </c>
      <c r="AI343" t="str">
        <f>_xlfn.LET(
  _xlpm.result, _xlfn.XLOOKUP($B343, Result_Database!$A$2:$A$500, Result_Database!AH$2:AH$500),
  _xlfn.IFNA(_xlpm.result, "")
)</f>
        <v/>
      </c>
      <c r="AJ343" t="str">
        <f>_xlfn.LET(
  _xlpm.result, _xlfn.XLOOKUP($B343, Result_Database!$A$2:$A$500, Result_Database!AI$2:AI$500),
  _xlfn.IFNA(_xlpm.result, "")
)</f>
        <v/>
      </c>
      <c r="AK343" t="str">
        <f>_xlfn.LET(
  _xlpm.result, _xlfn.XLOOKUP($B343, Result_Database!$A$2:$A$500, Result_Database!AJ$2:AJ$500),
  _xlfn.IFNA(_xlpm.result, "")
)</f>
        <v/>
      </c>
      <c r="AL343" t="str">
        <f>_xlfn.LET(
  _xlpm.result, _xlfn.XLOOKUP($B343, Result_Database!$A$2:$A$500, Result_Database!AK$2:AK$500),
  _xlfn.IFNA(_xlpm.result, "")
)</f>
        <v/>
      </c>
      <c r="AM34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4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4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4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4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4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4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4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4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43" t="str">
        <f>IF(SUM(Table5[[#This Row],[A1]:[C6]])&lt;&gt;0,SUM(Table5[[#This Row],[A1]:[C6]]),"")</f>
        <v/>
      </c>
      <c r="AW343" t="str">
        <f>IF(SUM(Table5[[#This Row],[D7]:[F9]])=0,"",SUM(Table5[[#This Row],[D7]:[F9]]))</f>
        <v/>
      </c>
      <c r="AX34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4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4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4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4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4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43" t="str">
        <f>IF(COUNTIF(Table5[[#This Row],[English Language]:[Electrical/ Electronics]],"WITHHELD")=0,"",COUNTIF(Table5[[#This Row],[English Language]:[Electrical/ Electronics]],"WITHHELD"))</f>
        <v/>
      </c>
      <c r="BE343" t="str">
        <f>IF(SUM(Table5[[#This Row],[NO OF CREDITS]:[BELOW CREDITS]])=0,"",SUM(Table5[[#This Row],[NO OF CREDITS]:[BELOW CREDITS]]))</f>
        <v/>
      </c>
    </row>
    <row r="344" spans="1:57" x14ac:dyDescent="0.3">
      <c r="A344" t="str">
        <f>IF(B344&lt;&gt;"",COUNTA($B$6:B344),"")</f>
        <v/>
      </c>
      <c r="B344" t="str">
        <f>IF(Result_Database!A340="","",Result_Database!A340)</f>
        <v/>
      </c>
      <c r="C344" t="str">
        <f>_xlfn.LET(
_xlpm.result,_xlfn.XLOOKUP($B344,Result_Database!$A$2:$A$500,Result_Database!$B$2:$B$500),
_xlfn.IFNA(_xlpm.result,"")
)</f>
        <v/>
      </c>
      <c r="D344" t="str">
        <f>_xlfn.LET(
  _xlpm.result, _xlfn.XLOOKUP($B344, Result_Database!$A$2:$A$500, Result_Database!C$2:C$500),
  _xlfn.IFNA(_xlpm.result, "")
)</f>
        <v/>
      </c>
      <c r="E344" t="str">
        <f>_xlfn.LET(
  _xlpm.result, _xlfn.XLOOKUP($B344, Result_Database!$A$2:$A$500, Result_Database!D$2:D$500),
  _xlfn.IFNA(_xlpm.result, "")
)</f>
        <v/>
      </c>
      <c r="F344" t="str">
        <f>_xlfn.LET(
  _xlpm.result, _xlfn.XLOOKUP($B344, Result_Database!$A$2:$A$500, Result_Database!E$2:E$500),
  _xlfn.IFNA(_xlpm.result, "")
)</f>
        <v/>
      </c>
      <c r="G344" t="str">
        <f>_xlfn.LET(
  _xlpm.result, _xlfn.XLOOKUP($B344, Result_Database!$A$2:$A$500, Result_Database!F$2:F$500),
  _xlfn.IFNA(_xlpm.result, "")
)</f>
        <v/>
      </c>
      <c r="H344" t="str">
        <f>_xlfn.LET(
  _xlpm.result, _xlfn.XLOOKUP($B344, Result_Database!$A$2:$A$500, Result_Database!G$2:G$500),
  _xlfn.IFNA(_xlpm.result, "")
)</f>
        <v/>
      </c>
      <c r="I344" t="str">
        <f>_xlfn.LET(
  _xlpm.result, _xlfn.XLOOKUP($B344, Result_Database!$A$2:$A$500, Result_Database!H$2:H$500),
  _xlfn.IFNA(_xlpm.result, "")
)</f>
        <v/>
      </c>
      <c r="J344" t="str">
        <f>_xlfn.LET(
  _xlpm.result, _xlfn.XLOOKUP($B344, Result_Database!$A$2:$A$500, Result_Database!I$2:I$500),
  _xlfn.IFNA(_xlpm.result, "")
)</f>
        <v/>
      </c>
      <c r="K344" t="str">
        <f>_xlfn.LET(
  _xlpm.result, _xlfn.XLOOKUP($B344, Result_Database!$A$2:$A$500, Result_Database!J$2:J$500),
  _xlfn.IFNA(_xlpm.result, "")
)</f>
        <v/>
      </c>
      <c r="L344" t="str">
        <f>_xlfn.LET(
  _xlpm.result, _xlfn.XLOOKUP($B344, Result_Database!$A$2:$A$500, Result_Database!K$2:K$500),
  _xlfn.IFNA(_xlpm.result, "")
)</f>
        <v/>
      </c>
      <c r="M344" t="str">
        <f>_xlfn.LET(
  _xlpm.result, _xlfn.XLOOKUP($B344, Result_Database!$A$2:$A$500, Result_Database!L$2:L$500),
  _xlfn.IFNA(_xlpm.result, "")
)</f>
        <v/>
      </c>
      <c r="N344" t="str">
        <f>_xlfn.LET(
  _xlpm.result, _xlfn.XLOOKUP($B344, Result_Database!$A$2:$A$500, Result_Database!M$2:M$500),
  _xlfn.IFNA(_xlpm.result, "")
)</f>
        <v/>
      </c>
      <c r="O344" t="str">
        <f>_xlfn.LET(
  _xlpm.result, _xlfn.XLOOKUP($B344, Result_Database!$A$2:$A$500, Result_Database!N$2:N$500),
  _xlfn.IFNA(_xlpm.result, "")
)</f>
        <v/>
      </c>
      <c r="P344" t="str">
        <f>_xlfn.LET(
  _xlpm.result, _xlfn.XLOOKUP($B344, Result_Database!$A$2:$A$500, Result_Database!O$2:O$500),
  _xlfn.IFNA(_xlpm.result, "")
)</f>
        <v/>
      </c>
      <c r="Q344" t="str">
        <f>_xlfn.LET(
  _xlpm.result, _xlfn.XLOOKUP($B344, Result_Database!$A$2:$A$500, Result_Database!P$2:P$500),
  _xlfn.IFNA(_xlpm.result, "")
)</f>
        <v/>
      </c>
      <c r="R344" t="str">
        <f>_xlfn.LET(
  _xlpm.result, _xlfn.XLOOKUP($B344, Result_Database!$A$2:$A$500, Result_Database!Q$2:Q$500),
  _xlfn.IFNA(_xlpm.result, "")
)</f>
        <v/>
      </c>
      <c r="S344" t="str">
        <f>_xlfn.LET(
  _xlpm.result, _xlfn.XLOOKUP($B344, Result_Database!$A$2:$A$500, Result_Database!R$2:R$500),
  _xlfn.IFNA(_xlpm.result, "")
)</f>
        <v/>
      </c>
      <c r="T344" t="str">
        <f>_xlfn.LET(
  _xlpm.result, _xlfn.XLOOKUP($B344, Result_Database!$A$2:$A$500, Result_Database!S$2:S$500),
  _xlfn.IFNA(_xlpm.result, "")
)</f>
        <v/>
      </c>
      <c r="U344" t="str">
        <f>_xlfn.LET(
  _xlpm.result, _xlfn.XLOOKUP($B344, Result_Database!$A$2:$A$500, Result_Database!T$2:T$500),
  _xlfn.IFNA(_xlpm.result, "")
)</f>
        <v/>
      </c>
      <c r="V344" t="str">
        <f>_xlfn.LET(
  _xlpm.result, _xlfn.XLOOKUP($B344, Result_Database!$A$2:$A$500, Result_Database!U$2:U$500),
  _xlfn.IFNA(_xlpm.result, "")
)</f>
        <v/>
      </c>
      <c r="W344" t="str">
        <f>_xlfn.LET(
  _xlpm.result, _xlfn.XLOOKUP($B344, Result_Database!$A$2:$A$500, Result_Database!V$2:V$500),
  _xlfn.IFNA(_xlpm.result, "")
)</f>
        <v/>
      </c>
      <c r="X344" t="str">
        <f>_xlfn.LET(
  _xlpm.result, _xlfn.XLOOKUP($B344, Result_Database!$A$2:$A$500, Result_Database!W$2:W$500),
  _xlfn.IFNA(_xlpm.result, "")
)</f>
        <v/>
      </c>
      <c r="Y344" t="str">
        <f>_xlfn.LET(
  _xlpm.result, _xlfn.XLOOKUP($B344, Result_Database!$A$2:$A$500, Result_Database!X$2:X$500),
  _xlfn.IFNA(_xlpm.result, "")
)</f>
        <v/>
      </c>
      <c r="Z344" t="str">
        <f>_xlfn.LET(
  _xlpm.result, _xlfn.XLOOKUP($B344, Result_Database!$A$2:$A$500, Result_Database!Y$2:Y$500),
  _xlfn.IFNA(_xlpm.result, "")
)</f>
        <v/>
      </c>
      <c r="AA344" t="str">
        <f>_xlfn.LET(
  _xlpm.result, _xlfn.XLOOKUP($B344, Result_Database!$A$2:$A$500, Result_Database!Z$2:Z$500),
  _xlfn.IFNA(_xlpm.result, "")
)</f>
        <v/>
      </c>
      <c r="AB344" t="str">
        <f>_xlfn.LET(
  _xlpm.result, _xlfn.XLOOKUP($B344, Result_Database!$A$2:$A$500, Result_Database!AA$2:AA$500),
  _xlfn.IFNA(_xlpm.result, "")
)</f>
        <v/>
      </c>
      <c r="AC344" t="str">
        <f>_xlfn.LET(
  _xlpm.result, _xlfn.XLOOKUP($B344, Result_Database!$A$2:$A$500, Result_Database!AB$2:AB$500),
  _xlfn.IFNA(_xlpm.result, "")
)</f>
        <v/>
      </c>
      <c r="AD344" t="str">
        <f>_xlfn.LET(
  _xlpm.result, _xlfn.XLOOKUP($B344, Result_Database!$A$2:$A$500, Result_Database!AC$2:AC$500),
  _xlfn.IFNA(_xlpm.result, "")
)</f>
        <v/>
      </c>
      <c r="AE344" t="str">
        <f>_xlfn.LET(
  _xlpm.result, _xlfn.XLOOKUP($B344, Result_Database!$A$2:$A$500, Result_Database!AD$2:AD$500),
  _xlfn.IFNA(_xlpm.result, "")
)</f>
        <v/>
      </c>
      <c r="AF344" t="str">
        <f>_xlfn.LET(
  _xlpm.result, _xlfn.XLOOKUP($B344, Result_Database!$A$2:$A$500, Result_Database!AE$2:AE$500),
  _xlfn.IFNA(_xlpm.result, "")
)</f>
        <v/>
      </c>
      <c r="AG344" t="str">
        <f>_xlfn.LET(
  _xlpm.result, _xlfn.XLOOKUP($B344, Result_Database!$A$2:$A$500, Result_Database!AF$2:AF$500),
  _xlfn.IFNA(_xlpm.result, "")
)</f>
        <v/>
      </c>
      <c r="AH344" t="str">
        <f>_xlfn.LET(
  _xlpm.result, _xlfn.XLOOKUP($B344, Result_Database!$A$2:$A$500, Result_Database!AG$2:AG$500),
  _xlfn.IFNA(_xlpm.result, "")
)</f>
        <v/>
      </c>
      <c r="AI344" t="str">
        <f>_xlfn.LET(
  _xlpm.result, _xlfn.XLOOKUP($B344, Result_Database!$A$2:$A$500, Result_Database!AH$2:AH$500),
  _xlfn.IFNA(_xlpm.result, "")
)</f>
        <v/>
      </c>
      <c r="AJ344" t="str">
        <f>_xlfn.LET(
  _xlpm.result, _xlfn.XLOOKUP($B344, Result_Database!$A$2:$A$500, Result_Database!AI$2:AI$500),
  _xlfn.IFNA(_xlpm.result, "")
)</f>
        <v/>
      </c>
      <c r="AK344" t="str">
        <f>_xlfn.LET(
  _xlpm.result, _xlfn.XLOOKUP($B344, Result_Database!$A$2:$A$500, Result_Database!AJ$2:AJ$500),
  _xlfn.IFNA(_xlpm.result, "")
)</f>
        <v/>
      </c>
      <c r="AL344" t="str">
        <f>_xlfn.LET(
  _xlpm.result, _xlfn.XLOOKUP($B344, Result_Database!$A$2:$A$500, Result_Database!AK$2:AK$500),
  _xlfn.IFNA(_xlpm.result, "")
)</f>
        <v/>
      </c>
      <c r="AM34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4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4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4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4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4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4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4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4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44" t="str">
        <f>IF(SUM(Table5[[#This Row],[A1]:[C6]])&lt;&gt;0,SUM(Table5[[#This Row],[A1]:[C6]]),"")</f>
        <v/>
      </c>
      <c r="AW344" t="str">
        <f>IF(SUM(Table5[[#This Row],[D7]:[F9]])=0,"",SUM(Table5[[#This Row],[D7]:[F9]]))</f>
        <v/>
      </c>
      <c r="AX34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4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4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4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4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4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44" t="str">
        <f>IF(COUNTIF(Table5[[#This Row],[English Language]:[Electrical/ Electronics]],"WITHHELD")=0,"",COUNTIF(Table5[[#This Row],[English Language]:[Electrical/ Electronics]],"WITHHELD"))</f>
        <v/>
      </c>
      <c r="BE344" t="str">
        <f>IF(SUM(Table5[[#This Row],[NO OF CREDITS]:[BELOW CREDITS]])=0,"",SUM(Table5[[#This Row],[NO OF CREDITS]:[BELOW CREDITS]]))</f>
        <v/>
      </c>
    </row>
    <row r="345" spans="1:57" x14ac:dyDescent="0.3">
      <c r="A345" t="str">
        <f>IF(B345&lt;&gt;"",COUNTA($B$6:B345),"")</f>
        <v/>
      </c>
      <c r="B345" t="str">
        <f>IF(Result_Database!A341="","",Result_Database!A341)</f>
        <v/>
      </c>
      <c r="C345" t="str">
        <f>_xlfn.LET(
_xlpm.result,_xlfn.XLOOKUP($B345,Result_Database!$A$2:$A$500,Result_Database!$B$2:$B$500),
_xlfn.IFNA(_xlpm.result,"")
)</f>
        <v/>
      </c>
      <c r="D345" t="str">
        <f>_xlfn.LET(
  _xlpm.result, _xlfn.XLOOKUP($B345, Result_Database!$A$2:$A$500, Result_Database!C$2:C$500),
  _xlfn.IFNA(_xlpm.result, "")
)</f>
        <v/>
      </c>
      <c r="E345" t="str">
        <f>_xlfn.LET(
  _xlpm.result, _xlfn.XLOOKUP($B345, Result_Database!$A$2:$A$500, Result_Database!D$2:D$500),
  _xlfn.IFNA(_xlpm.result, "")
)</f>
        <v/>
      </c>
      <c r="F345" t="str">
        <f>_xlfn.LET(
  _xlpm.result, _xlfn.XLOOKUP($B345, Result_Database!$A$2:$A$500, Result_Database!E$2:E$500),
  _xlfn.IFNA(_xlpm.result, "")
)</f>
        <v/>
      </c>
      <c r="G345" t="str">
        <f>_xlfn.LET(
  _xlpm.result, _xlfn.XLOOKUP($B345, Result_Database!$A$2:$A$500, Result_Database!F$2:F$500),
  _xlfn.IFNA(_xlpm.result, "")
)</f>
        <v/>
      </c>
      <c r="H345" t="str">
        <f>_xlfn.LET(
  _xlpm.result, _xlfn.XLOOKUP($B345, Result_Database!$A$2:$A$500, Result_Database!G$2:G$500),
  _xlfn.IFNA(_xlpm.result, "")
)</f>
        <v/>
      </c>
      <c r="I345" t="str">
        <f>_xlfn.LET(
  _xlpm.result, _xlfn.XLOOKUP($B345, Result_Database!$A$2:$A$500, Result_Database!H$2:H$500),
  _xlfn.IFNA(_xlpm.result, "")
)</f>
        <v/>
      </c>
      <c r="J345" t="str">
        <f>_xlfn.LET(
  _xlpm.result, _xlfn.XLOOKUP($B345, Result_Database!$A$2:$A$500, Result_Database!I$2:I$500),
  _xlfn.IFNA(_xlpm.result, "")
)</f>
        <v/>
      </c>
      <c r="K345" t="str">
        <f>_xlfn.LET(
  _xlpm.result, _xlfn.XLOOKUP($B345, Result_Database!$A$2:$A$500, Result_Database!J$2:J$500),
  _xlfn.IFNA(_xlpm.result, "")
)</f>
        <v/>
      </c>
      <c r="L345" t="str">
        <f>_xlfn.LET(
  _xlpm.result, _xlfn.XLOOKUP($B345, Result_Database!$A$2:$A$500, Result_Database!K$2:K$500),
  _xlfn.IFNA(_xlpm.result, "")
)</f>
        <v/>
      </c>
      <c r="M345" t="str">
        <f>_xlfn.LET(
  _xlpm.result, _xlfn.XLOOKUP($B345, Result_Database!$A$2:$A$500, Result_Database!L$2:L$500),
  _xlfn.IFNA(_xlpm.result, "")
)</f>
        <v/>
      </c>
      <c r="N345" t="str">
        <f>_xlfn.LET(
  _xlpm.result, _xlfn.XLOOKUP($B345, Result_Database!$A$2:$A$500, Result_Database!M$2:M$500),
  _xlfn.IFNA(_xlpm.result, "")
)</f>
        <v/>
      </c>
      <c r="O345" t="str">
        <f>_xlfn.LET(
  _xlpm.result, _xlfn.XLOOKUP($B345, Result_Database!$A$2:$A$500, Result_Database!N$2:N$500),
  _xlfn.IFNA(_xlpm.result, "")
)</f>
        <v/>
      </c>
      <c r="P345" t="str">
        <f>_xlfn.LET(
  _xlpm.result, _xlfn.XLOOKUP($B345, Result_Database!$A$2:$A$500, Result_Database!O$2:O$500),
  _xlfn.IFNA(_xlpm.result, "")
)</f>
        <v/>
      </c>
      <c r="Q345" t="str">
        <f>_xlfn.LET(
  _xlpm.result, _xlfn.XLOOKUP($B345, Result_Database!$A$2:$A$500, Result_Database!P$2:P$500),
  _xlfn.IFNA(_xlpm.result, "")
)</f>
        <v/>
      </c>
      <c r="R345" t="str">
        <f>_xlfn.LET(
  _xlpm.result, _xlfn.XLOOKUP($B345, Result_Database!$A$2:$A$500, Result_Database!Q$2:Q$500),
  _xlfn.IFNA(_xlpm.result, "")
)</f>
        <v/>
      </c>
      <c r="S345" t="str">
        <f>_xlfn.LET(
  _xlpm.result, _xlfn.XLOOKUP($B345, Result_Database!$A$2:$A$500, Result_Database!R$2:R$500),
  _xlfn.IFNA(_xlpm.result, "")
)</f>
        <v/>
      </c>
      <c r="T345" t="str">
        <f>_xlfn.LET(
  _xlpm.result, _xlfn.XLOOKUP($B345, Result_Database!$A$2:$A$500, Result_Database!S$2:S$500),
  _xlfn.IFNA(_xlpm.result, "")
)</f>
        <v/>
      </c>
      <c r="U345" t="str">
        <f>_xlfn.LET(
  _xlpm.result, _xlfn.XLOOKUP($B345, Result_Database!$A$2:$A$500, Result_Database!T$2:T$500),
  _xlfn.IFNA(_xlpm.result, "")
)</f>
        <v/>
      </c>
      <c r="V345" t="str">
        <f>_xlfn.LET(
  _xlpm.result, _xlfn.XLOOKUP($B345, Result_Database!$A$2:$A$500, Result_Database!U$2:U$500),
  _xlfn.IFNA(_xlpm.result, "")
)</f>
        <v/>
      </c>
      <c r="W345" t="str">
        <f>_xlfn.LET(
  _xlpm.result, _xlfn.XLOOKUP($B345, Result_Database!$A$2:$A$500, Result_Database!V$2:V$500),
  _xlfn.IFNA(_xlpm.result, "")
)</f>
        <v/>
      </c>
      <c r="X345" t="str">
        <f>_xlfn.LET(
  _xlpm.result, _xlfn.XLOOKUP($B345, Result_Database!$A$2:$A$500, Result_Database!W$2:W$500),
  _xlfn.IFNA(_xlpm.result, "")
)</f>
        <v/>
      </c>
      <c r="Y345" t="str">
        <f>_xlfn.LET(
  _xlpm.result, _xlfn.XLOOKUP($B345, Result_Database!$A$2:$A$500, Result_Database!X$2:X$500),
  _xlfn.IFNA(_xlpm.result, "")
)</f>
        <v/>
      </c>
      <c r="Z345" t="str">
        <f>_xlfn.LET(
  _xlpm.result, _xlfn.XLOOKUP($B345, Result_Database!$A$2:$A$500, Result_Database!Y$2:Y$500),
  _xlfn.IFNA(_xlpm.result, "")
)</f>
        <v/>
      </c>
      <c r="AA345" t="str">
        <f>_xlfn.LET(
  _xlpm.result, _xlfn.XLOOKUP($B345, Result_Database!$A$2:$A$500, Result_Database!Z$2:Z$500),
  _xlfn.IFNA(_xlpm.result, "")
)</f>
        <v/>
      </c>
      <c r="AB345" t="str">
        <f>_xlfn.LET(
  _xlpm.result, _xlfn.XLOOKUP($B345, Result_Database!$A$2:$A$500, Result_Database!AA$2:AA$500),
  _xlfn.IFNA(_xlpm.result, "")
)</f>
        <v/>
      </c>
      <c r="AC345" t="str">
        <f>_xlfn.LET(
  _xlpm.result, _xlfn.XLOOKUP($B345, Result_Database!$A$2:$A$500, Result_Database!AB$2:AB$500),
  _xlfn.IFNA(_xlpm.result, "")
)</f>
        <v/>
      </c>
      <c r="AD345" t="str">
        <f>_xlfn.LET(
  _xlpm.result, _xlfn.XLOOKUP($B345, Result_Database!$A$2:$A$500, Result_Database!AC$2:AC$500),
  _xlfn.IFNA(_xlpm.result, "")
)</f>
        <v/>
      </c>
      <c r="AE345" t="str">
        <f>_xlfn.LET(
  _xlpm.result, _xlfn.XLOOKUP($B345, Result_Database!$A$2:$A$500, Result_Database!AD$2:AD$500),
  _xlfn.IFNA(_xlpm.result, "")
)</f>
        <v/>
      </c>
      <c r="AF345" t="str">
        <f>_xlfn.LET(
  _xlpm.result, _xlfn.XLOOKUP($B345, Result_Database!$A$2:$A$500, Result_Database!AE$2:AE$500),
  _xlfn.IFNA(_xlpm.result, "")
)</f>
        <v/>
      </c>
      <c r="AG345" t="str">
        <f>_xlfn.LET(
  _xlpm.result, _xlfn.XLOOKUP($B345, Result_Database!$A$2:$A$500, Result_Database!AF$2:AF$500),
  _xlfn.IFNA(_xlpm.result, "")
)</f>
        <v/>
      </c>
      <c r="AH345" t="str">
        <f>_xlfn.LET(
  _xlpm.result, _xlfn.XLOOKUP($B345, Result_Database!$A$2:$A$500, Result_Database!AG$2:AG$500),
  _xlfn.IFNA(_xlpm.result, "")
)</f>
        <v/>
      </c>
      <c r="AI345" t="str">
        <f>_xlfn.LET(
  _xlpm.result, _xlfn.XLOOKUP($B345, Result_Database!$A$2:$A$500, Result_Database!AH$2:AH$500),
  _xlfn.IFNA(_xlpm.result, "")
)</f>
        <v/>
      </c>
      <c r="AJ345" t="str">
        <f>_xlfn.LET(
  _xlpm.result, _xlfn.XLOOKUP($B345, Result_Database!$A$2:$A$500, Result_Database!AI$2:AI$500),
  _xlfn.IFNA(_xlpm.result, "")
)</f>
        <v/>
      </c>
      <c r="AK345" t="str">
        <f>_xlfn.LET(
  _xlpm.result, _xlfn.XLOOKUP($B345, Result_Database!$A$2:$A$500, Result_Database!AJ$2:AJ$500),
  _xlfn.IFNA(_xlpm.result, "")
)</f>
        <v/>
      </c>
      <c r="AL345" t="str">
        <f>_xlfn.LET(
  _xlpm.result, _xlfn.XLOOKUP($B345, Result_Database!$A$2:$A$500, Result_Database!AK$2:AK$500),
  _xlfn.IFNA(_xlpm.result, "")
)</f>
        <v/>
      </c>
      <c r="AM34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4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4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4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4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4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4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4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4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45" t="str">
        <f>IF(SUM(Table5[[#This Row],[A1]:[C6]])&lt;&gt;0,SUM(Table5[[#This Row],[A1]:[C6]]),"")</f>
        <v/>
      </c>
      <c r="AW345" t="str">
        <f>IF(SUM(Table5[[#This Row],[D7]:[F9]])=0,"",SUM(Table5[[#This Row],[D7]:[F9]]))</f>
        <v/>
      </c>
      <c r="AX34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4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4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4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4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4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45" t="str">
        <f>IF(COUNTIF(Table5[[#This Row],[English Language]:[Electrical/ Electronics]],"WITHHELD")=0,"",COUNTIF(Table5[[#This Row],[English Language]:[Electrical/ Electronics]],"WITHHELD"))</f>
        <v/>
      </c>
      <c r="BE345" t="str">
        <f>IF(SUM(Table5[[#This Row],[NO OF CREDITS]:[BELOW CREDITS]])=0,"",SUM(Table5[[#This Row],[NO OF CREDITS]:[BELOW CREDITS]]))</f>
        <v/>
      </c>
    </row>
    <row r="346" spans="1:57" x14ac:dyDescent="0.3">
      <c r="A346" t="str">
        <f>IF(B346&lt;&gt;"",COUNTA($B$6:B346),"")</f>
        <v/>
      </c>
      <c r="B346" t="str">
        <f>IF(Result_Database!A342="","",Result_Database!A342)</f>
        <v/>
      </c>
      <c r="C346" t="str">
        <f>_xlfn.LET(
_xlpm.result,_xlfn.XLOOKUP($B346,Result_Database!$A$2:$A$500,Result_Database!$B$2:$B$500),
_xlfn.IFNA(_xlpm.result,"")
)</f>
        <v/>
      </c>
      <c r="D346" t="str">
        <f>_xlfn.LET(
  _xlpm.result, _xlfn.XLOOKUP($B346, Result_Database!$A$2:$A$500, Result_Database!C$2:C$500),
  _xlfn.IFNA(_xlpm.result, "")
)</f>
        <v/>
      </c>
      <c r="E346" t="str">
        <f>_xlfn.LET(
  _xlpm.result, _xlfn.XLOOKUP($B346, Result_Database!$A$2:$A$500, Result_Database!D$2:D$500),
  _xlfn.IFNA(_xlpm.result, "")
)</f>
        <v/>
      </c>
      <c r="F346" t="str">
        <f>_xlfn.LET(
  _xlpm.result, _xlfn.XLOOKUP($B346, Result_Database!$A$2:$A$500, Result_Database!E$2:E$500),
  _xlfn.IFNA(_xlpm.result, "")
)</f>
        <v/>
      </c>
      <c r="G346" t="str">
        <f>_xlfn.LET(
  _xlpm.result, _xlfn.XLOOKUP($B346, Result_Database!$A$2:$A$500, Result_Database!F$2:F$500),
  _xlfn.IFNA(_xlpm.result, "")
)</f>
        <v/>
      </c>
      <c r="H346" t="str">
        <f>_xlfn.LET(
  _xlpm.result, _xlfn.XLOOKUP($B346, Result_Database!$A$2:$A$500, Result_Database!G$2:G$500),
  _xlfn.IFNA(_xlpm.result, "")
)</f>
        <v/>
      </c>
      <c r="I346" t="str">
        <f>_xlfn.LET(
  _xlpm.result, _xlfn.XLOOKUP($B346, Result_Database!$A$2:$A$500, Result_Database!H$2:H$500),
  _xlfn.IFNA(_xlpm.result, "")
)</f>
        <v/>
      </c>
      <c r="J346" t="str">
        <f>_xlfn.LET(
  _xlpm.result, _xlfn.XLOOKUP($B346, Result_Database!$A$2:$A$500, Result_Database!I$2:I$500),
  _xlfn.IFNA(_xlpm.result, "")
)</f>
        <v/>
      </c>
      <c r="K346" t="str">
        <f>_xlfn.LET(
  _xlpm.result, _xlfn.XLOOKUP($B346, Result_Database!$A$2:$A$500, Result_Database!J$2:J$500),
  _xlfn.IFNA(_xlpm.result, "")
)</f>
        <v/>
      </c>
      <c r="L346" t="str">
        <f>_xlfn.LET(
  _xlpm.result, _xlfn.XLOOKUP($B346, Result_Database!$A$2:$A$500, Result_Database!K$2:K$500),
  _xlfn.IFNA(_xlpm.result, "")
)</f>
        <v/>
      </c>
      <c r="M346" t="str">
        <f>_xlfn.LET(
  _xlpm.result, _xlfn.XLOOKUP($B346, Result_Database!$A$2:$A$500, Result_Database!L$2:L$500),
  _xlfn.IFNA(_xlpm.result, "")
)</f>
        <v/>
      </c>
      <c r="N346" t="str">
        <f>_xlfn.LET(
  _xlpm.result, _xlfn.XLOOKUP($B346, Result_Database!$A$2:$A$500, Result_Database!M$2:M$500),
  _xlfn.IFNA(_xlpm.result, "")
)</f>
        <v/>
      </c>
      <c r="O346" t="str">
        <f>_xlfn.LET(
  _xlpm.result, _xlfn.XLOOKUP($B346, Result_Database!$A$2:$A$500, Result_Database!N$2:N$500),
  _xlfn.IFNA(_xlpm.result, "")
)</f>
        <v/>
      </c>
      <c r="P346" t="str">
        <f>_xlfn.LET(
  _xlpm.result, _xlfn.XLOOKUP($B346, Result_Database!$A$2:$A$500, Result_Database!O$2:O$500),
  _xlfn.IFNA(_xlpm.result, "")
)</f>
        <v/>
      </c>
      <c r="Q346" t="str">
        <f>_xlfn.LET(
  _xlpm.result, _xlfn.XLOOKUP($B346, Result_Database!$A$2:$A$500, Result_Database!P$2:P$500),
  _xlfn.IFNA(_xlpm.result, "")
)</f>
        <v/>
      </c>
      <c r="R346" t="str">
        <f>_xlfn.LET(
  _xlpm.result, _xlfn.XLOOKUP($B346, Result_Database!$A$2:$A$500, Result_Database!Q$2:Q$500),
  _xlfn.IFNA(_xlpm.result, "")
)</f>
        <v/>
      </c>
      <c r="S346" t="str">
        <f>_xlfn.LET(
  _xlpm.result, _xlfn.XLOOKUP($B346, Result_Database!$A$2:$A$500, Result_Database!R$2:R$500),
  _xlfn.IFNA(_xlpm.result, "")
)</f>
        <v/>
      </c>
      <c r="T346" t="str">
        <f>_xlfn.LET(
  _xlpm.result, _xlfn.XLOOKUP($B346, Result_Database!$A$2:$A$500, Result_Database!S$2:S$500),
  _xlfn.IFNA(_xlpm.result, "")
)</f>
        <v/>
      </c>
      <c r="U346" t="str">
        <f>_xlfn.LET(
  _xlpm.result, _xlfn.XLOOKUP($B346, Result_Database!$A$2:$A$500, Result_Database!T$2:T$500),
  _xlfn.IFNA(_xlpm.result, "")
)</f>
        <v/>
      </c>
      <c r="V346" t="str">
        <f>_xlfn.LET(
  _xlpm.result, _xlfn.XLOOKUP($B346, Result_Database!$A$2:$A$500, Result_Database!U$2:U$500),
  _xlfn.IFNA(_xlpm.result, "")
)</f>
        <v/>
      </c>
      <c r="W346" t="str">
        <f>_xlfn.LET(
  _xlpm.result, _xlfn.XLOOKUP($B346, Result_Database!$A$2:$A$500, Result_Database!V$2:V$500),
  _xlfn.IFNA(_xlpm.result, "")
)</f>
        <v/>
      </c>
      <c r="X346" t="str">
        <f>_xlfn.LET(
  _xlpm.result, _xlfn.XLOOKUP($B346, Result_Database!$A$2:$A$500, Result_Database!W$2:W$500),
  _xlfn.IFNA(_xlpm.result, "")
)</f>
        <v/>
      </c>
      <c r="Y346" t="str">
        <f>_xlfn.LET(
  _xlpm.result, _xlfn.XLOOKUP($B346, Result_Database!$A$2:$A$500, Result_Database!X$2:X$500),
  _xlfn.IFNA(_xlpm.result, "")
)</f>
        <v/>
      </c>
      <c r="Z346" t="str">
        <f>_xlfn.LET(
  _xlpm.result, _xlfn.XLOOKUP($B346, Result_Database!$A$2:$A$500, Result_Database!Y$2:Y$500),
  _xlfn.IFNA(_xlpm.result, "")
)</f>
        <v/>
      </c>
      <c r="AA346" t="str">
        <f>_xlfn.LET(
  _xlpm.result, _xlfn.XLOOKUP($B346, Result_Database!$A$2:$A$500, Result_Database!Z$2:Z$500),
  _xlfn.IFNA(_xlpm.result, "")
)</f>
        <v/>
      </c>
      <c r="AB346" t="str">
        <f>_xlfn.LET(
  _xlpm.result, _xlfn.XLOOKUP($B346, Result_Database!$A$2:$A$500, Result_Database!AA$2:AA$500),
  _xlfn.IFNA(_xlpm.result, "")
)</f>
        <v/>
      </c>
      <c r="AC346" t="str">
        <f>_xlfn.LET(
  _xlpm.result, _xlfn.XLOOKUP($B346, Result_Database!$A$2:$A$500, Result_Database!AB$2:AB$500),
  _xlfn.IFNA(_xlpm.result, "")
)</f>
        <v/>
      </c>
      <c r="AD346" t="str">
        <f>_xlfn.LET(
  _xlpm.result, _xlfn.XLOOKUP($B346, Result_Database!$A$2:$A$500, Result_Database!AC$2:AC$500),
  _xlfn.IFNA(_xlpm.result, "")
)</f>
        <v/>
      </c>
      <c r="AE346" t="str">
        <f>_xlfn.LET(
  _xlpm.result, _xlfn.XLOOKUP($B346, Result_Database!$A$2:$A$500, Result_Database!AD$2:AD$500),
  _xlfn.IFNA(_xlpm.result, "")
)</f>
        <v/>
      </c>
      <c r="AF346" t="str">
        <f>_xlfn.LET(
  _xlpm.result, _xlfn.XLOOKUP($B346, Result_Database!$A$2:$A$500, Result_Database!AE$2:AE$500),
  _xlfn.IFNA(_xlpm.result, "")
)</f>
        <v/>
      </c>
      <c r="AG346" t="str">
        <f>_xlfn.LET(
  _xlpm.result, _xlfn.XLOOKUP($B346, Result_Database!$A$2:$A$500, Result_Database!AF$2:AF$500),
  _xlfn.IFNA(_xlpm.result, "")
)</f>
        <v/>
      </c>
      <c r="AH346" t="str">
        <f>_xlfn.LET(
  _xlpm.result, _xlfn.XLOOKUP($B346, Result_Database!$A$2:$A$500, Result_Database!AG$2:AG$500),
  _xlfn.IFNA(_xlpm.result, "")
)</f>
        <v/>
      </c>
      <c r="AI346" t="str">
        <f>_xlfn.LET(
  _xlpm.result, _xlfn.XLOOKUP($B346, Result_Database!$A$2:$A$500, Result_Database!AH$2:AH$500),
  _xlfn.IFNA(_xlpm.result, "")
)</f>
        <v/>
      </c>
      <c r="AJ346" t="str">
        <f>_xlfn.LET(
  _xlpm.result, _xlfn.XLOOKUP($B346, Result_Database!$A$2:$A$500, Result_Database!AI$2:AI$500),
  _xlfn.IFNA(_xlpm.result, "")
)</f>
        <v/>
      </c>
      <c r="AK346" t="str">
        <f>_xlfn.LET(
  _xlpm.result, _xlfn.XLOOKUP($B346, Result_Database!$A$2:$A$500, Result_Database!AJ$2:AJ$500),
  _xlfn.IFNA(_xlpm.result, "")
)</f>
        <v/>
      </c>
      <c r="AL346" t="str">
        <f>_xlfn.LET(
  _xlpm.result, _xlfn.XLOOKUP($B346, Result_Database!$A$2:$A$500, Result_Database!AK$2:AK$500),
  _xlfn.IFNA(_xlpm.result, "")
)</f>
        <v/>
      </c>
      <c r="AM34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4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4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4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4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4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4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4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4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46" t="str">
        <f>IF(SUM(Table5[[#This Row],[A1]:[C6]])&lt;&gt;0,SUM(Table5[[#This Row],[A1]:[C6]]),"")</f>
        <v/>
      </c>
      <c r="AW346" t="str">
        <f>IF(SUM(Table5[[#This Row],[D7]:[F9]])=0,"",SUM(Table5[[#This Row],[D7]:[F9]]))</f>
        <v/>
      </c>
      <c r="AX34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4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4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4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4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4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46" t="str">
        <f>IF(COUNTIF(Table5[[#This Row],[English Language]:[Electrical/ Electronics]],"WITHHELD")=0,"",COUNTIF(Table5[[#This Row],[English Language]:[Electrical/ Electronics]],"WITHHELD"))</f>
        <v/>
      </c>
      <c r="BE346" t="str">
        <f>IF(SUM(Table5[[#This Row],[NO OF CREDITS]:[BELOW CREDITS]])=0,"",SUM(Table5[[#This Row],[NO OF CREDITS]:[BELOW CREDITS]]))</f>
        <v/>
      </c>
    </row>
    <row r="347" spans="1:57" x14ac:dyDescent="0.3">
      <c r="A347" t="str">
        <f>IF(B347&lt;&gt;"",COUNTA($B$6:B347),"")</f>
        <v/>
      </c>
      <c r="B347" t="str">
        <f>IF(Result_Database!A343="","",Result_Database!A343)</f>
        <v/>
      </c>
      <c r="C347" t="str">
        <f>_xlfn.LET(
_xlpm.result,_xlfn.XLOOKUP($B347,Result_Database!$A$2:$A$500,Result_Database!$B$2:$B$500),
_xlfn.IFNA(_xlpm.result,"")
)</f>
        <v/>
      </c>
      <c r="D347" t="str">
        <f>_xlfn.LET(
  _xlpm.result, _xlfn.XLOOKUP($B347, Result_Database!$A$2:$A$500, Result_Database!C$2:C$500),
  _xlfn.IFNA(_xlpm.result, "")
)</f>
        <v/>
      </c>
      <c r="E347" t="str">
        <f>_xlfn.LET(
  _xlpm.result, _xlfn.XLOOKUP($B347, Result_Database!$A$2:$A$500, Result_Database!D$2:D$500),
  _xlfn.IFNA(_xlpm.result, "")
)</f>
        <v/>
      </c>
      <c r="F347" t="str">
        <f>_xlfn.LET(
  _xlpm.result, _xlfn.XLOOKUP($B347, Result_Database!$A$2:$A$500, Result_Database!E$2:E$500),
  _xlfn.IFNA(_xlpm.result, "")
)</f>
        <v/>
      </c>
      <c r="G347" t="str">
        <f>_xlfn.LET(
  _xlpm.result, _xlfn.XLOOKUP($B347, Result_Database!$A$2:$A$500, Result_Database!F$2:F$500),
  _xlfn.IFNA(_xlpm.result, "")
)</f>
        <v/>
      </c>
      <c r="H347" t="str">
        <f>_xlfn.LET(
  _xlpm.result, _xlfn.XLOOKUP($B347, Result_Database!$A$2:$A$500, Result_Database!G$2:G$500),
  _xlfn.IFNA(_xlpm.result, "")
)</f>
        <v/>
      </c>
      <c r="I347" t="str">
        <f>_xlfn.LET(
  _xlpm.result, _xlfn.XLOOKUP($B347, Result_Database!$A$2:$A$500, Result_Database!H$2:H$500),
  _xlfn.IFNA(_xlpm.result, "")
)</f>
        <v/>
      </c>
      <c r="J347" t="str">
        <f>_xlfn.LET(
  _xlpm.result, _xlfn.XLOOKUP($B347, Result_Database!$A$2:$A$500, Result_Database!I$2:I$500),
  _xlfn.IFNA(_xlpm.result, "")
)</f>
        <v/>
      </c>
      <c r="K347" t="str">
        <f>_xlfn.LET(
  _xlpm.result, _xlfn.XLOOKUP($B347, Result_Database!$A$2:$A$500, Result_Database!J$2:J$500),
  _xlfn.IFNA(_xlpm.result, "")
)</f>
        <v/>
      </c>
      <c r="L347" t="str">
        <f>_xlfn.LET(
  _xlpm.result, _xlfn.XLOOKUP($B347, Result_Database!$A$2:$A$500, Result_Database!K$2:K$500),
  _xlfn.IFNA(_xlpm.result, "")
)</f>
        <v/>
      </c>
      <c r="M347" t="str">
        <f>_xlfn.LET(
  _xlpm.result, _xlfn.XLOOKUP($B347, Result_Database!$A$2:$A$500, Result_Database!L$2:L$500),
  _xlfn.IFNA(_xlpm.result, "")
)</f>
        <v/>
      </c>
      <c r="N347" t="str">
        <f>_xlfn.LET(
  _xlpm.result, _xlfn.XLOOKUP($B347, Result_Database!$A$2:$A$500, Result_Database!M$2:M$500),
  _xlfn.IFNA(_xlpm.result, "")
)</f>
        <v/>
      </c>
      <c r="O347" t="str">
        <f>_xlfn.LET(
  _xlpm.result, _xlfn.XLOOKUP($B347, Result_Database!$A$2:$A$500, Result_Database!N$2:N$500),
  _xlfn.IFNA(_xlpm.result, "")
)</f>
        <v/>
      </c>
      <c r="P347" t="str">
        <f>_xlfn.LET(
  _xlpm.result, _xlfn.XLOOKUP($B347, Result_Database!$A$2:$A$500, Result_Database!O$2:O$500),
  _xlfn.IFNA(_xlpm.result, "")
)</f>
        <v/>
      </c>
      <c r="Q347" t="str">
        <f>_xlfn.LET(
  _xlpm.result, _xlfn.XLOOKUP($B347, Result_Database!$A$2:$A$500, Result_Database!P$2:P$500),
  _xlfn.IFNA(_xlpm.result, "")
)</f>
        <v/>
      </c>
      <c r="R347" t="str">
        <f>_xlfn.LET(
  _xlpm.result, _xlfn.XLOOKUP($B347, Result_Database!$A$2:$A$500, Result_Database!Q$2:Q$500),
  _xlfn.IFNA(_xlpm.result, "")
)</f>
        <v/>
      </c>
      <c r="S347" t="str">
        <f>_xlfn.LET(
  _xlpm.result, _xlfn.XLOOKUP($B347, Result_Database!$A$2:$A$500, Result_Database!R$2:R$500),
  _xlfn.IFNA(_xlpm.result, "")
)</f>
        <v/>
      </c>
      <c r="T347" t="str">
        <f>_xlfn.LET(
  _xlpm.result, _xlfn.XLOOKUP($B347, Result_Database!$A$2:$A$500, Result_Database!S$2:S$500),
  _xlfn.IFNA(_xlpm.result, "")
)</f>
        <v/>
      </c>
      <c r="U347" t="str">
        <f>_xlfn.LET(
  _xlpm.result, _xlfn.XLOOKUP($B347, Result_Database!$A$2:$A$500, Result_Database!T$2:T$500),
  _xlfn.IFNA(_xlpm.result, "")
)</f>
        <v/>
      </c>
      <c r="V347" t="str">
        <f>_xlfn.LET(
  _xlpm.result, _xlfn.XLOOKUP($B347, Result_Database!$A$2:$A$500, Result_Database!U$2:U$500),
  _xlfn.IFNA(_xlpm.result, "")
)</f>
        <v/>
      </c>
      <c r="W347" t="str">
        <f>_xlfn.LET(
  _xlpm.result, _xlfn.XLOOKUP($B347, Result_Database!$A$2:$A$500, Result_Database!V$2:V$500),
  _xlfn.IFNA(_xlpm.result, "")
)</f>
        <v/>
      </c>
      <c r="X347" t="str">
        <f>_xlfn.LET(
  _xlpm.result, _xlfn.XLOOKUP($B347, Result_Database!$A$2:$A$500, Result_Database!W$2:W$500),
  _xlfn.IFNA(_xlpm.result, "")
)</f>
        <v/>
      </c>
      <c r="Y347" t="str">
        <f>_xlfn.LET(
  _xlpm.result, _xlfn.XLOOKUP($B347, Result_Database!$A$2:$A$500, Result_Database!X$2:X$500),
  _xlfn.IFNA(_xlpm.result, "")
)</f>
        <v/>
      </c>
      <c r="Z347" t="str">
        <f>_xlfn.LET(
  _xlpm.result, _xlfn.XLOOKUP($B347, Result_Database!$A$2:$A$500, Result_Database!Y$2:Y$500),
  _xlfn.IFNA(_xlpm.result, "")
)</f>
        <v/>
      </c>
      <c r="AA347" t="str">
        <f>_xlfn.LET(
  _xlpm.result, _xlfn.XLOOKUP($B347, Result_Database!$A$2:$A$500, Result_Database!Z$2:Z$500),
  _xlfn.IFNA(_xlpm.result, "")
)</f>
        <v/>
      </c>
      <c r="AB347" t="str">
        <f>_xlfn.LET(
  _xlpm.result, _xlfn.XLOOKUP($B347, Result_Database!$A$2:$A$500, Result_Database!AA$2:AA$500),
  _xlfn.IFNA(_xlpm.result, "")
)</f>
        <v/>
      </c>
      <c r="AC347" t="str">
        <f>_xlfn.LET(
  _xlpm.result, _xlfn.XLOOKUP($B347, Result_Database!$A$2:$A$500, Result_Database!AB$2:AB$500),
  _xlfn.IFNA(_xlpm.result, "")
)</f>
        <v/>
      </c>
      <c r="AD347" t="str">
        <f>_xlfn.LET(
  _xlpm.result, _xlfn.XLOOKUP($B347, Result_Database!$A$2:$A$500, Result_Database!AC$2:AC$500),
  _xlfn.IFNA(_xlpm.result, "")
)</f>
        <v/>
      </c>
      <c r="AE347" t="str">
        <f>_xlfn.LET(
  _xlpm.result, _xlfn.XLOOKUP($B347, Result_Database!$A$2:$A$500, Result_Database!AD$2:AD$500),
  _xlfn.IFNA(_xlpm.result, "")
)</f>
        <v/>
      </c>
      <c r="AF347" t="str">
        <f>_xlfn.LET(
  _xlpm.result, _xlfn.XLOOKUP($B347, Result_Database!$A$2:$A$500, Result_Database!AE$2:AE$500),
  _xlfn.IFNA(_xlpm.result, "")
)</f>
        <v/>
      </c>
      <c r="AG347" t="str">
        <f>_xlfn.LET(
  _xlpm.result, _xlfn.XLOOKUP($B347, Result_Database!$A$2:$A$500, Result_Database!AF$2:AF$500),
  _xlfn.IFNA(_xlpm.result, "")
)</f>
        <v/>
      </c>
      <c r="AH347" t="str">
        <f>_xlfn.LET(
  _xlpm.result, _xlfn.XLOOKUP($B347, Result_Database!$A$2:$A$500, Result_Database!AG$2:AG$500),
  _xlfn.IFNA(_xlpm.result, "")
)</f>
        <v/>
      </c>
      <c r="AI347" t="str">
        <f>_xlfn.LET(
  _xlpm.result, _xlfn.XLOOKUP($B347, Result_Database!$A$2:$A$500, Result_Database!AH$2:AH$500),
  _xlfn.IFNA(_xlpm.result, "")
)</f>
        <v/>
      </c>
      <c r="AJ347" t="str">
        <f>_xlfn.LET(
  _xlpm.result, _xlfn.XLOOKUP($B347, Result_Database!$A$2:$A$500, Result_Database!AI$2:AI$500),
  _xlfn.IFNA(_xlpm.result, "")
)</f>
        <v/>
      </c>
      <c r="AK347" t="str">
        <f>_xlfn.LET(
  _xlpm.result, _xlfn.XLOOKUP($B347, Result_Database!$A$2:$A$500, Result_Database!AJ$2:AJ$500),
  _xlfn.IFNA(_xlpm.result, "")
)</f>
        <v/>
      </c>
      <c r="AL347" t="str">
        <f>_xlfn.LET(
  _xlpm.result, _xlfn.XLOOKUP($B347, Result_Database!$A$2:$A$500, Result_Database!AK$2:AK$500),
  _xlfn.IFNA(_xlpm.result, "")
)</f>
        <v/>
      </c>
      <c r="AM34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4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4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4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4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4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4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4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4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47" t="str">
        <f>IF(SUM(Table5[[#This Row],[A1]:[C6]])&lt;&gt;0,SUM(Table5[[#This Row],[A1]:[C6]]),"")</f>
        <v/>
      </c>
      <c r="AW347" t="str">
        <f>IF(SUM(Table5[[#This Row],[D7]:[F9]])=0,"",SUM(Table5[[#This Row],[D7]:[F9]]))</f>
        <v/>
      </c>
      <c r="AX34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4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4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4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4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4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47" t="str">
        <f>IF(COUNTIF(Table5[[#This Row],[English Language]:[Electrical/ Electronics]],"WITHHELD")=0,"",COUNTIF(Table5[[#This Row],[English Language]:[Electrical/ Electronics]],"WITHHELD"))</f>
        <v/>
      </c>
      <c r="BE347" t="str">
        <f>IF(SUM(Table5[[#This Row],[NO OF CREDITS]:[BELOW CREDITS]])=0,"",SUM(Table5[[#This Row],[NO OF CREDITS]:[BELOW CREDITS]]))</f>
        <v/>
      </c>
    </row>
    <row r="348" spans="1:57" x14ac:dyDescent="0.3">
      <c r="A348" t="str">
        <f>IF(B348&lt;&gt;"",COUNTA($B$6:B348),"")</f>
        <v/>
      </c>
      <c r="B348" t="str">
        <f>IF(Result_Database!A344="","",Result_Database!A344)</f>
        <v/>
      </c>
      <c r="C348" t="str">
        <f>_xlfn.LET(
_xlpm.result,_xlfn.XLOOKUP($B348,Result_Database!$A$2:$A$500,Result_Database!$B$2:$B$500),
_xlfn.IFNA(_xlpm.result,"")
)</f>
        <v/>
      </c>
      <c r="D348" t="str">
        <f>_xlfn.LET(
  _xlpm.result, _xlfn.XLOOKUP($B348, Result_Database!$A$2:$A$500, Result_Database!C$2:C$500),
  _xlfn.IFNA(_xlpm.result, "")
)</f>
        <v/>
      </c>
      <c r="E348" t="str">
        <f>_xlfn.LET(
  _xlpm.result, _xlfn.XLOOKUP($B348, Result_Database!$A$2:$A$500, Result_Database!D$2:D$500),
  _xlfn.IFNA(_xlpm.result, "")
)</f>
        <v/>
      </c>
      <c r="F348" t="str">
        <f>_xlfn.LET(
  _xlpm.result, _xlfn.XLOOKUP($B348, Result_Database!$A$2:$A$500, Result_Database!E$2:E$500),
  _xlfn.IFNA(_xlpm.result, "")
)</f>
        <v/>
      </c>
      <c r="G348" t="str">
        <f>_xlfn.LET(
  _xlpm.result, _xlfn.XLOOKUP($B348, Result_Database!$A$2:$A$500, Result_Database!F$2:F$500),
  _xlfn.IFNA(_xlpm.result, "")
)</f>
        <v/>
      </c>
      <c r="H348" t="str">
        <f>_xlfn.LET(
  _xlpm.result, _xlfn.XLOOKUP($B348, Result_Database!$A$2:$A$500, Result_Database!G$2:G$500),
  _xlfn.IFNA(_xlpm.result, "")
)</f>
        <v/>
      </c>
      <c r="I348" t="str">
        <f>_xlfn.LET(
  _xlpm.result, _xlfn.XLOOKUP($B348, Result_Database!$A$2:$A$500, Result_Database!H$2:H$500),
  _xlfn.IFNA(_xlpm.result, "")
)</f>
        <v/>
      </c>
      <c r="J348" t="str">
        <f>_xlfn.LET(
  _xlpm.result, _xlfn.XLOOKUP($B348, Result_Database!$A$2:$A$500, Result_Database!I$2:I$500),
  _xlfn.IFNA(_xlpm.result, "")
)</f>
        <v/>
      </c>
      <c r="K348" t="str">
        <f>_xlfn.LET(
  _xlpm.result, _xlfn.XLOOKUP($B348, Result_Database!$A$2:$A$500, Result_Database!J$2:J$500),
  _xlfn.IFNA(_xlpm.result, "")
)</f>
        <v/>
      </c>
      <c r="L348" t="str">
        <f>_xlfn.LET(
  _xlpm.result, _xlfn.XLOOKUP($B348, Result_Database!$A$2:$A$500, Result_Database!K$2:K$500),
  _xlfn.IFNA(_xlpm.result, "")
)</f>
        <v/>
      </c>
      <c r="M348" t="str">
        <f>_xlfn.LET(
  _xlpm.result, _xlfn.XLOOKUP($B348, Result_Database!$A$2:$A$500, Result_Database!L$2:L$500),
  _xlfn.IFNA(_xlpm.result, "")
)</f>
        <v/>
      </c>
      <c r="N348" t="str">
        <f>_xlfn.LET(
  _xlpm.result, _xlfn.XLOOKUP($B348, Result_Database!$A$2:$A$500, Result_Database!M$2:M$500),
  _xlfn.IFNA(_xlpm.result, "")
)</f>
        <v/>
      </c>
      <c r="O348" t="str">
        <f>_xlfn.LET(
  _xlpm.result, _xlfn.XLOOKUP($B348, Result_Database!$A$2:$A$500, Result_Database!N$2:N$500),
  _xlfn.IFNA(_xlpm.result, "")
)</f>
        <v/>
      </c>
      <c r="P348" t="str">
        <f>_xlfn.LET(
  _xlpm.result, _xlfn.XLOOKUP($B348, Result_Database!$A$2:$A$500, Result_Database!O$2:O$500),
  _xlfn.IFNA(_xlpm.result, "")
)</f>
        <v/>
      </c>
      <c r="Q348" t="str">
        <f>_xlfn.LET(
  _xlpm.result, _xlfn.XLOOKUP($B348, Result_Database!$A$2:$A$500, Result_Database!P$2:P$500),
  _xlfn.IFNA(_xlpm.result, "")
)</f>
        <v/>
      </c>
      <c r="R348" t="str">
        <f>_xlfn.LET(
  _xlpm.result, _xlfn.XLOOKUP($B348, Result_Database!$A$2:$A$500, Result_Database!Q$2:Q$500),
  _xlfn.IFNA(_xlpm.result, "")
)</f>
        <v/>
      </c>
      <c r="S348" t="str">
        <f>_xlfn.LET(
  _xlpm.result, _xlfn.XLOOKUP($B348, Result_Database!$A$2:$A$500, Result_Database!R$2:R$500),
  _xlfn.IFNA(_xlpm.result, "")
)</f>
        <v/>
      </c>
      <c r="T348" t="str">
        <f>_xlfn.LET(
  _xlpm.result, _xlfn.XLOOKUP($B348, Result_Database!$A$2:$A$500, Result_Database!S$2:S$500),
  _xlfn.IFNA(_xlpm.result, "")
)</f>
        <v/>
      </c>
      <c r="U348" t="str">
        <f>_xlfn.LET(
  _xlpm.result, _xlfn.XLOOKUP($B348, Result_Database!$A$2:$A$500, Result_Database!T$2:T$500),
  _xlfn.IFNA(_xlpm.result, "")
)</f>
        <v/>
      </c>
      <c r="V348" t="str">
        <f>_xlfn.LET(
  _xlpm.result, _xlfn.XLOOKUP($B348, Result_Database!$A$2:$A$500, Result_Database!U$2:U$500),
  _xlfn.IFNA(_xlpm.result, "")
)</f>
        <v/>
      </c>
      <c r="W348" t="str">
        <f>_xlfn.LET(
  _xlpm.result, _xlfn.XLOOKUP($B348, Result_Database!$A$2:$A$500, Result_Database!V$2:V$500),
  _xlfn.IFNA(_xlpm.result, "")
)</f>
        <v/>
      </c>
      <c r="X348" t="str">
        <f>_xlfn.LET(
  _xlpm.result, _xlfn.XLOOKUP($B348, Result_Database!$A$2:$A$500, Result_Database!W$2:W$500),
  _xlfn.IFNA(_xlpm.result, "")
)</f>
        <v/>
      </c>
      <c r="Y348" t="str">
        <f>_xlfn.LET(
  _xlpm.result, _xlfn.XLOOKUP($B348, Result_Database!$A$2:$A$500, Result_Database!X$2:X$500),
  _xlfn.IFNA(_xlpm.result, "")
)</f>
        <v/>
      </c>
      <c r="Z348" t="str">
        <f>_xlfn.LET(
  _xlpm.result, _xlfn.XLOOKUP($B348, Result_Database!$A$2:$A$500, Result_Database!Y$2:Y$500),
  _xlfn.IFNA(_xlpm.result, "")
)</f>
        <v/>
      </c>
      <c r="AA348" t="str">
        <f>_xlfn.LET(
  _xlpm.result, _xlfn.XLOOKUP($B348, Result_Database!$A$2:$A$500, Result_Database!Z$2:Z$500),
  _xlfn.IFNA(_xlpm.result, "")
)</f>
        <v/>
      </c>
      <c r="AB348" t="str">
        <f>_xlfn.LET(
  _xlpm.result, _xlfn.XLOOKUP($B348, Result_Database!$A$2:$A$500, Result_Database!AA$2:AA$500),
  _xlfn.IFNA(_xlpm.result, "")
)</f>
        <v/>
      </c>
      <c r="AC348" t="str">
        <f>_xlfn.LET(
  _xlpm.result, _xlfn.XLOOKUP($B348, Result_Database!$A$2:$A$500, Result_Database!AB$2:AB$500),
  _xlfn.IFNA(_xlpm.result, "")
)</f>
        <v/>
      </c>
      <c r="AD348" t="str">
        <f>_xlfn.LET(
  _xlpm.result, _xlfn.XLOOKUP($B348, Result_Database!$A$2:$A$500, Result_Database!AC$2:AC$500),
  _xlfn.IFNA(_xlpm.result, "")
)</f>
        <v/>
      </c>
      <c r="AE348" t="str">
        <f>_xlfn.LET(
  _xlpm.result, _xlfn.XLOOKUP($B348, Result_Database!$A$2:$A$500, Result_Database!AD$2:AD$500),
  _xlfn.IFNA(_xlpm.result, "")
)</f>
        <v/>
      </c>
      <c r="AF348" t="str">
        <f>_xlfn.LET(
  _xlpm.result, _xlfn.XLOOKUP($B348, Result_Database!$A$2:$A$500, Result_Database!AE$2:AE$500),
  _xlfn.IFNA(_xlpm.result, "")
)</f>
        <v/>
      </c>
      <c r="AG348" t="str">
        <f>_xlfn.LET(
  _xlpm.result, _xlfn.XLOOKUP($B348, Result_Database!$A$2:$A$500, Result_Database!AF$2:AF$500),
  _xlfn.IFNA(_xlpm.result, "")
)</f>
        <v/>
      </c>
      <c r="AH348" t="str">
        <f>_xlfn.LET(
  _xlpm.result, _xlfn.XLOOKUP($B348, Result_Database!$A$2:$A$500, Result_Database!AG$2:AG$500),
  _xlfn.IFNA(_xlpm.result, "")
)</f>
        <v/>
      </c>
      <c r="AI348" t="str">
        <f>_xlfn.LET(
  _xlpm.result, _xlfn.XLOOKUP($B348, Result_Database!$A$2:$A$500, Result_Database!AH$2:AH$500),
  _xlfn.IFNA(_xlpm.result, "")
)</f>
        <v/>
      </c>
      <c r="AJ348" t="str">
        <f>_xlfn.LET(
  _xlpm.result, _xlfn.XLOOKUP($B348, Result_Database!$A$2:$A$500, Result_Database!AI$2:AI$500),
  _xlfn.IFNA(_xlpm.result, "")
)</f>
        <v/>
      </c>
      <c r="AK348" t="str">
        <f>_xlfn.LET(
  _xlpm.result, _xlfn.XLOOKUP($B348, Result_Database!$A$2:$A$500, Result_Database!AJ$2:AJ$500),
  _xlfn.IFNA(_xlpm.result, "")
)</f>
        <v/>
      </c>
      <c r="AL348" t="str">
        <f>_xlfn.LET(
  _xlpm.result, _xlfn.XLOOKUP($B348, Result_Database!$A$2:$A$500, Result_Database!AK$2:AK$500),
  _xlfn.IFNA(_xlpm.result, "")
)</f>
        <v/>
      </c>
      <c r="AM34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4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4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4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4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4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4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4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4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48" t="str">
        <f>IF(SUM(Table5[[#This Row],[A1]:[C6]])&lt;&gt;0,SUM(Table5[[#This Row],[A1]:[C6]]),"")</f>
        <v/>
      </c>
      <c r="AW348" t="str">
        <f>IF(SUM(Table5[[#This Row],[D7]:[F9]])=0,"",SUM(Table5[[#This Row],[D7]:[F9]]))</f>
        <v/>
      </c>
      <c r="AX34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4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4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4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4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4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48" t="str">
        <f>IF(COUNTIF(Table5[[#This Row],[English Language]:[Electrical/ Electronics]],"WITHHELD")=0,"",COUNTIF(Table5[[#This Row],[English Language]:[Electrical/ Electronics]],"WITHHELD"))</f>
        <v/>
      </c>
      <c r="BE348" t="str">
        <f>IF(SUM(Table5[[#This Row],[NO OF CREDITS]:[BELOW CREDITS]])=0,"",SUM(Table5[[#This Row],[NO OF CREDITS]:[BELOW CREDITS]]))</f>
        <v/>
      </c>
    </row>
    <row r="349" spans="1:57" x14ac:dyDescent="0.3">
      <c r="A349" t="str">
        <f>IF(B349&lt;&gt;"",COUNTA($B$6:B349),"")</f>
        <v/>
      </c>
      <c r="B349" t="str">
        <f>IF(Result_Database!A345="","",Result_Database!A345)</f>
        <v/>
      </c>
      <c r="C349" t="str">
        <f>_xlfn.LET(
_xlpm.result,_xlfn.XLOOKUP($B349,Result_Database!$A$2:$A$500,Result_Database!$B$2:$B$500),
_xlfn.IFNA(_xlpm.result,"")
)</f>
        <v/>
      </c>
      <c r="D349" t="str">
        <f>_xlfn.LET(
  _xlpm.result, _xlfn.XLOOKUP($B349, Result_Database!$A$2:$A$500, Result_Database!C$2:C$500),
  _xlfn.IFNA(_xlpm.result, "")
)</f>
        <v/>
      </c>
      <c r="E349" t="str">
        <f>_xlfn.LET(
  _xlpm.result, _xlfn.XLOOKUP($B349, Result_Database!$A$2:$A$500, Result_Database!D$2:D$500),
  _xlfn.IFNA(_xlpm.result, "")
)</f>
        <v/>
      </c>
      <c r="F349" t="str">
        <f>_xlfn.LET(
  _xlpm.result, _xlfn.XLOOKUP($B349, Result_Database!$A$2:$A$500, Result_Database!E$2:E$500),
  _xlfn.IFNA(_xlpm.result, "")
)</f>
        <v/>
      </c>
      <c r="G349" t="str">
        <f>_xlfn.LET(
  _xlpm.result, _xlfn.XLOOKUP($B349, Result_Database!$A$2:$A$500, Result_Database!F$2:F$500),
  _xlfn.IFNA(_xlpm.result, "")
)</f>
        <v/>
      </c>
      <c r="H349" t="str">
        <f>_xlfn.LET(
  _xlpm.result, _xlfn.XLOOKUP($B349, Result_Database!$A$2:$A$500, Result_Database!G$2:G$500),
  _xlfn.IFNA(_xlpm.result, "")
)</f>
        <v/>
      </c>
      <c r="I349" t="str">
        <f>_xlfn.LET(
  _xlpm.result, _xlfn.XLOOKUP($B349, Result_Database!$A$2:$A$500, Result_Database!H$2:H$500),
  _xlfn.IFNA(_xlpm.result, "")
)</f>
        <v/>
      </c>
      <c r="J349" t="str">
        <f>_xlfn.LET(
  _xlpm.result, _xlfn.XLOOKUP($B349, Result_Database!$A$2:$A$500, Result_Database!I$2:I$500),
  _xlfn.IFNA(_xlpm.result, "")
)</f>
        <v/>
      </c>
      <c r="K349" t="str">
        <f>_xlfn.LET(
  _xlpm.result, _xlfn.XLOOKUP($B349, Result_Database!$A$2:$A$500, Result_Database!J$2:J$500),
  _xlfn.IFNA(_xlpm.result, "")
)</f>
        <v/>
      </c>
      <c r="L349" t="str">
        <f>_xlfn.LET(
  _xlpm.result, _xlfn.XLOOKUP($B349, Result_Database!$A$2:$A$500, Result_Database!K$2:K$500),
  _xlfn.IFNA(_xlpm.result, "")
)</f>
        <v/>
      </c>
      <c r="M349" t="str">
        <f>_xlfn.LET(
  _xlpm.result, _xlfn.XLOOKUP($B349, Result_Database!$A$2:$A$500, Result_Database!L$2:L$500),
  _xlfn.IFNA(_xlpm.result, "")
)</f>
        <v/>
      </c>
      <c r="N349" t="str">
        <f>_xlfn.LET(
  _xlpm.result, _xlfn.XLOOKUP($B349, Result_Database!$A$2:$A$500, Result_Database!M$2:M$500),
  _xlfn.IFNA(_xlpm.result, "")
)</f>
        <v/>
      </c>
      <c r="O349" t="str">
        <f>_xlfn.LET(
  _xlpm.result, _xlfn.XLOOKUP($B349, Result_Database!$A$2:$A$500, Result_Database!N$2:N$500),
  _xlfn.IFNA(_xlpm.result, "")
)</f>
        <v/>
      </c>
      <c r="P349" t="str">
        <f>_xlfn.LET(
  _xlpm.result, _xlfn.XLOOKUP($B349, Result_Database!$A$2:$A$500, Result_Database!O$2:O$500),
  _xlfn.IFNA(_xlpm.result, "")
)</f>
        <v/>
      </c>
      <c r="Q349" t="str">
        <f>_xlfn.LET(
  _xlpm.result, _xlfn.XLOOKUP($B349, Result_Database!$A$2:$A$500, Result_Database!P$2:P$500),
  _xlfn.IFNA(_xlpm.result, "")
)</f>
        <v/>
      </c>
      <c r="R349" t="str">
        <f>_xlfn.LET(
  _xlpm.result, _xlfn.XLOOKUP($B349, Result_Database!$A$2:$A$500, Result_Database!Q$2:Q$500),
  _xlfn.IFNA(_xlpm.result, "")
)</f>
        <v/>
      </c>
      <c r="S349" t="str">
        <f>_xlfn.LET(
  _xlpm.result, _xlfn.XLOOKUP($B349, Result_Database!$A$2:$A$500, Result_Database!R$2:R$500),
  _xlfn.IFNA(_xlpm.result, "")
)</f>
        <v/>
      </c>
      <c r="T349" t="str">
        <f>_xlfn.LET(
  _xlpm.result, _xlfn.XLOOKUP($B349, Result_Database!$A$2:$A$500, Result_Database!S$2:S$500),
  _xlfn.IFNA(_xlpm.result, "")
)</f>
        <v/>
      </c>
      <c r="U349" t="str">
        <f>_xlfn.LET(
  _xlpm.result, _xlfn.XLOOKUP($B349, Result_Database!$A$2:$A$500, Result_Database!T$2:T$500),
  _xlfn.IFNA(_xlpm.result, "")
)</f>
        <v/>
      </c>
      <c r="V349" t="str">
        <f>_xlfn.LET(
  _xlpm.result, _xlfn.XLOOKUP($B349, Result_Database!$A$2:$A$500, Result_Database!U$2:U$500),
  _xlfn.IFNA(_xlpm.result, "")
)</f>
        <v/>
      </c>
      <c r="W349" t="str">
        <f>_xlfn.LET(
  _xlpm.result, _xlfn.XLOOKUP($B349, Result_Database!$A$2:$A$500, Result_Database!V$2:V$500),
  _xlfn.IFNA(_xlpm.result, "")
)</f>
        <v/>
      </c>
      <c r="X349" t="str">
        <f>_xlfn.LET(
  _xlpm.result, _xlfn.XLOOKUP($B349, Result_Database!$A$2:$A$500, Result_Database!W$2:W$500),
  _xlfn.IFNA(_xlpm.result, "")
)</f>
        <v/>
      </c>
      <c r="Y349" t="str">
        <f>_xlfn.LET(
  _xlpm.result, _xlfn.XLOOKUP($B349, Result_Database!$A$2:$A$500, Result_Database!X$2:X$500),
  _xlfn.IFNA(_xlpm.result, "")
)</f>
        <v/>
      </c>
      <c r="Z349" t="str">
        <f>_xlfn.LET(
  _xlpm.result, _xlfn.XLOOKUP($B349, Result_Database!$A$2:$A$500, Result_Database!Y$2:Y$500),
  _xlfn.IFNA(_xlpm.result, "")
)</f>
        <v/>
      </c>
      <c r="AA349" t="str">
        <f>_xlfn.LET(
  _xlpm.result, _xlfn.XLOOKUP($B349, Result_Database!$A$2:$A$500, Result_Database!Z$2:Z$500),
  _xlfn.IFNA(_xlpm.result, "")
)</f>
        <v/>
      </c>
      <c r="AB349" t="str">
        <f>_xlfn.LET(
  _xlpm.result, _xlfn.XLOOKUP($B349, Result_Database!$A$2:$A$500, Result_Database!AA$2:AA$500),
  _xlfn.IFNA(_xlpm.result, "")
)</f>
        <v/>
      </c>
      <c r="AC349" t="str">
        <f>_xlfn.LET(
  _xlpm.result, _xlfn.XLOOKUP($B349, Result_Database!$A$2:$A$500, Result_Database!AB$2:AB$500),
  _xlfn.IFNA(_xlpm.result, "")
)</f>
        <v/>
      </c>
      <c r="AD349" t="str">
        <f>_xlfn.LET(
  _xlpm.result, _xlfn.XLOOKUP($B349, Result_Database!$A$2:$A$500, Result_Database!AC$2:AC$500),
  _xlfn.IFNA(_xlpm.result, "")
)</f>
        <v/>
      </c>
      <c r="AE349" t="str">
        <f>_xlfn.LET(
  _xlpm.result, _xlfn.XLOOKUP($B349, Result_Database!$A$2:$A$500, Result_Database!AD$2:AD$500),
  _xlfn.IFNA(_xlpm.result, "")
)</f>
        <v/>
      </c>
      <c r="AF349" t="str">
        <f>_xlfn.LET(
  _xlpm.result, _xlfn.XLOOKUP($B349, Result_Database!$A$2:$A$500, Result_Database!AE$2:AE$500),
  _xlfn.IFNA(_xlpm.result, "")
)</f>
        <v/>
      </c>
      <c r="AG349" t="str">
        <f>_xlfn.LET(
  _xlpm.result, _xlfn.XLOOKUP($B349, Result_Database!$A$2:$A$500, Result_Database!AF$2:AF$500),
  _xlfn.IFNA(_xlpm.result, "")
)</f>
        <v/>
      </c>
      <c r="AH349" t="str">
        <f>_xlfn.LET(
  _xlpm.result, _xlfn.XLOOKUP($B349, Result_Database!$A$2:$A$500, Result_Database!AG$2:AG$500),
  _xlfn.IFNA(_xlpm.result, "")
)</f>
        <v/>
      </c>
      <c r="AI349" t="str">
        <f>_xlfn.LET(
  _xlpm.result, _xlfn.XLOOKUP($B349, Result_Database!$A$2:$A$500, Result_Database!AH$2:AH$500),
  _xlfn.IFNA(_xlpm.result, "")
)</f>
        <v/>
      </c>
      <c r="AJ349" t="str">
        <f>_xlfn.LET(
  _xlpm.result, _xlfn.XLOOKUP($B349, Result_Database!$A$2:$A$500, Result_Database!AI$2:AI$500),
  _xlfn.IFNA(_xlpm.result, "")
)</f>
        <v/>
      </c>
      <c r="AK349" t="str">
        <f>_xlfn.LET(
  _xlpm.result, _xlfn.XLOOKUP($B349, Result_Database!$A$2:$A$500, Result_Database!AJ$2:AJ$500),
  _xlfn.IFNA(_xlpm.result, "")
)</f>
        <v/>
      </c>
      <c r="AL349" t="str">
        <f>_xlfn.LET(
  _xlpm.result, _xlfn.XLOOKUP($B349, Result_Database!$A$2:$A$500, Result_Database!AK$2:AK$500),
  _xlfn.IFNA(_xlpm.result, "")
)</f>
        <v/>
      </c>
      <c r="AM34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4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4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4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4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4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4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4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4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49" t="str">
        <f>IF(SUM(Table5[[#This Row],[A1]:[C6]])&lt;&gt;0,SUM(Table5[[#This Row],[A1]:[C6]]),"")</f>
        <v/>
      </c>
      <c r="AW349" t="str">
        <f>IF(SUM(Table5[[#This Row],[D7]:[F9]])=0,"",SUM(Table5[[#This Row],[D7]:[F9]]))</f>
        <v/>
      </c>
      <c r="AX34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4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4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4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4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4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49" t="str">
        <f>IF(COUNTIF(Table5[[#This Row],[English Language]:[Electrical/ Electronics]],"WITHHELD")=0,"",COUNTIF(Table5[[#This Row],[English Language]:[Electrical/ Electronics]],"WITHHELD"))</f>
        <v/>
      </c>
      <c r="BE349" t="str">
        <f>IF(SUM(Table5[[#This Row],[NO OF CREDITS]:[BELOW CREDITS]])=0,"",SUM(Table5[[#This Row],[NO OF CREDITS]:[BELOW CREDITS]]))</f>
        <v/>
      </c>
    </row>
    <row r="350" spans="1:57" x14ac:dyDescent="0.3">
      <c r="A350" t="str">
        <f>IF(B350&lt;&gt;"",COUNTA($B$6:B350),"")</f>
        <v/>
      </c>
      <c r="B350" t="str">
        <f>IF(Result_Database!A346="","",Result_Database!A346)</f>
        <v/>
      </c>
      <c r="C350" t="str">
        <f>_xlfn.LET(
_xlpm.result,_xlfn.XLOOKUP($B350,Result_Database!$A$2:$A$500,Result_Database!$B$2:$B$500),
_xlfn.IFNA(_xlpm.result,"")
)</f>
        <v/>
      </c>
      <c r="D350" t="str">
        <f>_xlfn.LET(
  _xlpm.result, _xlfn.XLOOKUP($B350, Result_Database!$A$2:$A$500, Result_Database!C$2:C$500),
  _xlfn.IFNA(_xlpm.result, "")
)</f>
        <v/>
      </c>
      <c r="E350" t="str">
        <f>_xlfn.LET(
  _xlpm.result, _xlfn.XLOOKUP($B350, Result_Database!$A$2:$A$500, Result_Database!D$2:D$500),
  _xlfn.IFNA(_xlpm.result, "")
)</f>
        <v/>
      </c>
      <c r="F350" t="str">
        <f>_xlfn.LET(
  _xlpm.result, _xlfn.XLOOKUP($B350, Result_Database!$A$2:$A$500, Result_Database!E$2:E$500),
  _xlfn.IFNA(_xlpm.result, "")
)</f>
        <v/>
      </c>
      <c r="G350" t="str">
        <f>_xlfn.LET(
  _xlpm.result, _xlfn.XLOOKUP($B350, Result_Database!$A$2:$A$500, Result_Database!F$2:F$500),
  _xlfn.IFNA(_xlpm.result, "")
)</f>
        <v/>
      </c>
      <c r="H350" t="str">
        <f>_xlfn.LET(
  _xlpm.result, _xlfn.XLOOKUP($B350, Result_Database!$A$2:$A$500, Result_Database!G$2:G$500),
  _xlfn.IFNA(_xlpm.result, "")
)</f>
        <v/>
      </c>
      <c r="I350" t="str">
        <f>_xlfn.LET(
  _xlpm.result, _xlfn.XLOOKUP($B350, Result_Database!$A$2:$A$500, Result_Database!H$2:H$500),
  _xlfn.IFNA(_xlpm.result, "")
)</f>
        <v/>
      </c>
      <c r="J350" t="str">
        <f>_xlfn.LET(
  _xlpm.result, _xlfn.XLOOKUP($B350, Result_Database!$A$2:$A$500, Result_Database!I$2:I$500),
  _xlfn.IFNA(_xlpm.result, "")
)</f>
        <v/>
      </c>
      <c r="K350" t="str">
        <f>_xlfn.LET(
  _xlpm.result, _xlfn.XLOOKUP($B350, Result_Database!$A$2:$A$500, Result_Database!J$2:J$500),
  _xlfn.IFNA(_xlpm.result, "")
)</f>
        <v/>
      </c>
      <c r="L350" t="str">
        <f>_xlfn.LET(
  _xlpm.result, _xlfn.XLOOKUP($B350, Result_Database!$A$2:$A$500, Result_Database!K$2:K$500),
  _xlfn.IFNA(_xlpm.result, "")
)</f>
        <v/>
      </c>
      <c r="M350" t="str">
        <f>_xlfn.LET(
  _xlpm.result, _xlfn.XLOOKUP($B350, Result_Database!$A$2:$A$500, Result_Database!L$2:L$500),
  _xlfn.IFNA(_xlpm.result, "")
)</f>
        <v/>
      </c>
      <c r="N350" t="str">
        <f>_xlfn.LET(
  _xlpm.result, _xlfn.XLOOKUP($B350, Result_Database!$A$2:$A$500, Result_Database!M$2:M$500),
  _xlfn.IFNA(_xlpm.result, "")
)</f>
        <v/>
      </c>
      <c r="O350" t="str">
        <f>_xlfn.LET(
  _xlpm.result, _xlfn.XLOOKUP($B350, Result_Database!$A$2:$A$500, Result_Database!N$2:N$500),
  _xlfn.IFNA(_xlpm.result, "")
)</f>
        <v/>
      </c>
      <c r="P350" t="str">
        <f>_xlfn.LET(
  _xlpm.result, _xlfn.XLOOKUP($B350, Result_Database!$A$2:$A$500, Result_Database!O$2:O$500),
  _xlfn.IFNA(_xlpm.result, "")
)</f>
        <v/>
      </c>
      <c r="Q350" t="str">
        <f>_xlfn.LET(
  _xlpm.result, _xlfn.XLOOKUP($B350, Result_Database!$A$2:$A$500, Result_Database!P$2:P$500),
  _xlfn.IFNA(_xlpm.result, "")
)</f>
        <v/>
      </c>
      <c r="R350" t="str">
        <f>_xlfn.LET(
  _xlpm.result, _xlfn.XLOOKUP($B350, Result_Database!$A$2:$A$500, Result_Database!Q$2:Q$500),
  _xlfn.IFNA(_xlpm.result, "")
)</f>
        <v/>
      </c>
      <c r="S350" t="str">
        <f>_xlfn.LET(
  _xlpm.result, _xlfn.XLOOKUP($B350, Result_Database!$A$2:$A$500, Result_Database!R$2:R$500),
  _xlfn.IFNA(_xlpm.result, "")
)</f>
        <v/>
      </c>
      <c r="T350" t="str">
        <f>_xlfn.LET(
  _xlpm.result, _xlfn.XLOOKUP($B350, Result_Database!$A$2:$A$500, Result_Database!S$2:S$500),
  _xlfn.IFNA(_xlpm.result, "")
)</f>
        <v/>
      </c>
      <c r="U350" t="str">
        <f>_xlfn.LET(
  _xlpm.result, _xlfn.XLOOKUP($B350, Result_Database!$A$2:$A$500, Result_Database!T$2:T$500),
  _xlfn.IFNA(_xlpm.result, "")
)</f>
        <v/>
      </c>
      <c r="V350" t="str">
        <f>_xlfn.LET(
  _xlpm.result, _xlfn.XLOOKUP($B350, Result_Database!$A$2:$A$500, Result_Database!U$2:U$500),
  _xlfn.IFNA(_xlpm.result, "")
)</f>
        <v/>
      </c>
      <c r="W350" t="str">
        <f>_xlfn.LET(
  _xlpm.result, _xlfn.XLOOKUP($B350, Result_Database!$A$2:$A$500, Result_Database!V$2:V$500),
  _xlfn.IFNA(_xlpm.result, "")
)</f>
        <v/>
      </c>
      <c r="X350" t="str">
        <f>_xlfn.LET(
  _xlpm.result, _xlfn.XLOOKUP($B350, Result_Database!$A$2:$A$500, Result_Database!W$2:W$500),
  _xlfn.IFNA(_xlpm.result, "")
)</f>
        <v/>
      </c>
      <c r="Y350" t="str">
        <f>_xlfn.LET(
  _xlpm.result, _xlfn.XLOOKUP($B350, Result_Database!$A$2:$A$500, Result_Database!X$2:X$500),
  _xlfn.IFNA(_xlpm.result, "")
)</f>
        <v/>
      </c>
      <c r="Z350" t="str">
        <f>_xlfn.LET(
  _xlpm.result, _xlfn.XLOOKUP($B350, Result_Database!$A$2:$A$500, Result_Database!Y$2:Y$500),
  _xlfn.IFNA(_xlpm.result, "")
)</f>
        <v/>
      </c>
      <c r="AA350" t="str">
        <f>_xlfn.LET(
  _xlpm.result, _xlfn.XLOOKUP($B350, Result_Database!$A$2:$A$500, Result_Database!Z$2:Z$500),
  _xlfn.IFNA(_xlpm.result, "")
)</f>
        <v/>
      </c>
      <c r="AB350" t="str">
        <f>_xlfn.LET(
  _xlpm.result, _xlfn.XLOOKUP($B350, Result_Database!$A$2:$A$500, Result_Database!AA$2:AA$500),
  _xlfn.IFNA(_xlpm.result, "")
)</f>
        <v/>
      </c>
      <c r="AC350" t="str">
        <f>_xlfn.LET(
  _xlpm.result, _xlfn.XLOOKUP($B350, Result_Database!$A$2:$A$500, Result_Database!AB$2:AB$500),
  _xlfn.IFNA(_xlpm.result, "")
)</f>
        <v/>
      </c>
      <c r="AD350" t="str">
        <f>_xlfn.LET(
  _xlpm.result, _xlfn.XLOOKUP($B350, Result_Database!$A$2:$A$500, Result_Database!AC$2:AC$500),
  _xlfn.IFNA(_xlpm.result, "")
)</f>
        <v/>
      </c>
      <c r="AE350" t="str">
        <f>_xlfn.LET(
  _xlpm.result, _xlfn.XLOOKUP($B350, Result_Database!$A$2:$A$500, Result_Database!AD$2:AD$500),
  _xlfn.IFNA(_xlpm.result, "")
)</f>
        <v/>
      </c>
      <c r="AF350" t="str">
        <f>_xlfn.LET(
  _xlpm.result, _xlfn.XLOOKUP($B350, Result_Database!$A$2:$A$500, Result_Database!AE$2:AE$500),
  _xlfn.IFNA(_xlpm.result, "")
)</f>
        <v/>
      </c>
      <c r="AG350" t="str">
        <f>_xlfn.LET(
  _xlpm.result, _xlfn.XLOOKUP($B350, Result_Database!$A$2:$A$500, Result_Database!AF$2:AF$500),
  _xlfn.IFNA(_xlpm.result, "")
)</f>
        <v/>
      </c>
      <c r="AH350" t="str">
        <f>_xlfn.LET(
  _xlpm.result, _xlfn.XLOOKUP($B350, Result_Database!$A$2:$A$500, Result_Database!AG$2:AG$500),
  _xlfn.IFNA(_xlpm.result, "")
)</f>
        <v/>
      </c>
      <c r="AI350" t="str">
        <f>_xlfn.LET(
  _xlpm.result, _xlfn.XLOOKUP($B350, Result_Database!$A$2:$A$500, Result_Database!AH$2:AH$500),
  _xlfn.IFNA(_xlpm.result, "")
)</f>
        <v/>
      </c>
      <c r="AJ350" t="str">
        <f>_xlfn.LET(
  _xlpm.result, _xlfn.XLOOKUP($B350, Result_Database!$A$2:$A$500, Result_Database!AI$2:AI$500),
  _xlfn.IFNA(_xlpm.result, "")
)</f>
        <v/>
      </c>
      <c r="AK350" t="str">
        <f>_xlfn.LET(
  _xlpm.result, _xlfn.XLOOKUP($B350, Result_Database!$A$2:$A$500, Result_Database!AJ$2:AJ$500),
  _xlfn.IFNA(_xlpm.result, "")
)</f>
        <v/>
      </c>
      <c r="AL350" t="str">
        <f>_xlfn.LET(
  _xlpm.result, _xlfn.XLOOKUP($B350, Result_Database!$A$2:$A$500, Result_Database!AK$2:AK$500),
  _xlfn.IFNA(_xlpm.result, "")
)</f>
        <v/>
      </c>
      <c r="AM35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5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5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5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5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5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5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5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5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50" t="str">
        <f>IF(SUM(Table5[[#This Row],[A1]:[C6]])&lt;&gt;0,SUM(Table5[[#This Row],[A1]:[C6]]),"")</f>
        <v/>
      </c>
      <c r="AW350" t="str">
        <f>IF(SUM(Table5[[#This Row],[D7]:[F9]])=0,"",SUM(Table5[[#This Row],[D7]:[F9]]))</f>
        <v/>
      </c>
      <c r="AX35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5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5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5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5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5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50" t="str">
        <f>IF(COUNTIF(Table5[[#This Row],[English Language]:[Electrical/ Electronics]],"WITHHELD")=0,"",COUNTIF(Table5[[#This Row],[English Language]:[Electrical/ Electronics]],"WITHHELD"))</f>
        <v/>
      </c>
      <c r="BE350" t="str">
        <f>IF(SUM(Table5[[#This Row],[NO OF CREDITS]:[BELOW CREDITS]])=0,"",SUM(Table5[[#This Row],[NO OF CREDITS]:[BELOW CREDITS]]))</f>
        <v/>
      </c>
    </row>
    <row r="351" spans="1:57" x14ac:dyDescent="0.3">
      <c r="A351" t="str">
        <f>IF(B351&lt;&gt;"",COUNTA($B$6:B351),"")</f>
        <v/>
      </c>
      <c r="B351" t="str">
        <f>IF(Result_Database!A347="","",Result_Database!A347)</f>
        <v/>
      </c>
      <c r="C351" t="str">
        <f>_xlfn.LET(
_xlpm.result,_xlfn.XLOOKUP($B351,Result_Database!$A$2:$A$500,Result_Database!$B$2:$B$500),
_xlfn.IFNA(_xlpm.result,"")
)</f>
        <v/>
      </c>
      <c r="D351" t="str">
        <f>_xlfn.LET(
  _xlpm.result, _xlfn.XLOOKUP($B351, Result_Database!$A$2:$A$500, Result_Database!C$2:C$500),
  _xlfn.IFNA(_xlpm.result, "")
)</f>
        <v/>
      </c>
      <c r="E351" t="str">
        <f>_xlfn.LET(
  _xlpm.result, _xlfn.XLOOKUP($B351, Result_Database!$A$2:$A$500, Result_Database!D$2:D$500),
  _xlfn.IFNA(_xlpm.result, "")
)</f>
        <v/>
      </c>
      <c r="F351" t="str">
        <f>_xlfn.LET(
  _xlpm.result, _xlfn.XLOOKUP($B351, Result_Database!$A$2:$A$500, Result_Database!E$2:E$500),
  _xlfn.IFNA(_xlpm.result, "")
)</f>
        <v/>
      </c>
      <c r="G351" t="str">
        <f>_xlfn.LET(
  _xlpm.result, _xlfn.XLOOKUP($B351, Result_Database!$A$2:$A$500, Result_Database!F$2:F$500),
  _xlfn.IFNA(_xlpm.result, "")
)</f>
        <v/>
      </c>
      <c r="H351" t="str">
        <f>_xlfn.LET(
  _xlpm.result, _xlfn.XLOOKUP($B351, Result_Database!$A$2:$A$500, Result_Database!G$2:G$500),
  _xlfn.IFNA(_xlpm.result, "")
)</f>
        <v/>
      </c>
      <c r="I351" t="str">
        <f>_xlfn.LET(
  _xlpm.result, _xlfn.XLOOKUP($B351, Result_Database!$A$2:$A$500, Result_Database!H$2:H$500),
  _xlfn.IFNA(_xlpm.result, "")
)</f>
        <v/>
      </c>
      <c r="J351" t="str">
        <f>_xlfn.LET(
  _xlpm.result, _xlfn.XLOOKUP($B351, Result_Database!$A$2:$A$500, Result_Database!I$2:I$500),
  _xlfn.IFNA(_xlpm.result, "")
)</f>
        <v/>
      </c>
      <c r="K351" t="str">
        <f>_xlfn.LET(
  _xlpm.result, _xlfn.XLOOKUP($B351, Result_Database!$A$2:$A$500, Result_Database!J$2:J$500),
  _xlfn.IFNA(_xlpm.result, "")
)</f>
        <v/>
      </c>
      <c r="L351" t="str">
        <f>_xlfn.LET(
  _xlpm.result, _xlfn.XLOOKUP($B351, Result_Database!$A$2:$A$500, Result_Database!K$2:K$500),
  _xlfn.IFNA(_xlpm.result, "")
)</f>
        <v/>
      </c>
      <c r="M351" t="str">
        <f>_xlfn.LET(
  _xlpm.result, _xlfn.XLOOKUP($B351, Result_Database!$A$2:$A$500, Result_Database!L$2:L$500),
  _xlfn.IFNA(_xlpm.result, "")
)</f>
        <v/>
      </c>
      <c r="N351" t="str">
        <f>_xlfn.LET(
  _xlpm.result, _xlfn.XLOOKUP($B351, Result_Database!$A$2:$A$500, Result_Database!M$2:M$500),
  _xlfn.IFNA(_xlpm.result, "")
)</f>
        <v/>
      </c>
      <c r="O351" t="str">
        <f>_xlfn.LET(
  _xlpm.result, _xlfn.XLOOKUP($B351, Result_Database!$A$2:$A$500, Result_Database!N$2:N$500),
  _xlfn.IFNA(_xlpm.result, "")
)</f>
        <v/>
      </c>
      <c r="P351" t="str">
        <f>_xlfn.LET(
  _xlpm.result, _xlfn.XLOOKUP($B351, Result_Database!$A$2:$A$500, Result_Database!O$2:O$500),
  _xlfn.IFNA(_xlpm.result, "")
)</f>
        <v/>
      </c>
      <c r="Q351" t="str">
        <f>_xlfn.LET(
  _xlpm.result, _xlfn.XLOOKUP($B351, Result_Database!$A$2:$A$500, Result_Database!P$2:P$500),
  _xlfn.IFNA(_xlpm.result, "")
)</f>
        <v/>
      </c>
      <c r="R351" t="str">
        <f>_xlfn.LET(
  _xlpm.result, _xlfn.XLOOKUP($B351, Result_Database!$A$2:$A$500, Result_Database!Q$2:Q$500),
  _xlfn.IFNA(_xlpm.result, "")
)</f>
        <v/>
      </c>
      <c r="S351" t="str">
        <f>_xlfn.LET(
  _xlpm.result, _xlfn.XLOOKUP($B351, Result_Database!$A$2:$A$500, Result_Database!R$2:R$500),
  _xlfn.IFNA(_xlpm.result, "")
)</f>
        <v/>
      </c>
      <c r="T351" t="str">
        <f>_xlfn.LET(
  _xlpm.result, _xlfn.XLOOKUP($B351, Result_Database!$A$2:$A$500, Result_Database!S$2:S$500),
  _xlfn.IFNA(_xlpm.result, "")
)</f>
        <v/>
      </c>
      <c r="U351" t="str">
        <f>_xlfn.LET(
  _xlpm.result, _xlfn.XLOOKUP($B351, Result_Database!$A$2:$A$500, Result_Database!T$2:T$500),
  _xlfn.IFNA(_xlpm.result, "")
)</f>
        <v/>
      </c>
      <c r="V351" t="str">
        <f>_xlfn.LET(
  _xlpm.result, _xlfn.XLOOKUP($B351, Result_Database!$A$2:$A$500, Result_Database!U$2:U$500),
  _xlfn.IFNA(_xlpm.result, "")
)</f>
        <v/>
      </c>
      <c r="W351" t="str">
        <f>_xlfn.LET(
  _xlpm.result, _xlfn.XLOOKUP($B351, Result_Database!$A$2:$A$500, Result_Database!V$2:V$500),
  _xlfn.IFNA(_xlpm.result, "")
)</f>
        <v/>
      </c>
      <c r="X351" t="str">
        <f>_xlfn.LET(
  _xlpm.result, _xlfn.XLOOKUP($B351, Result_Database!$A$2:$A$500, Result_Database!W$2:W$500),
  _xlfn.IFNA(_xlpm.result, "")
)</f>
        <v/>
      </c>
      <c r="Y351" t="str">
        <f>_xlfn.LET(
  _xlpm.result, _xlfn.XLOOKUP($B351, Result_Database!$A$2:$A$500, Result_Database!X$2:X$500),
  _xlfn.IFNA(_xlpm.result, "")
)</f>
        <v/>
      </c>
      <c r="Z351" t="str">
        <f>_xlfn.LET(
  _xlpm.result, _xlfn.XLOOKUP($B351, Result_Database!$A$2:$A$500, Result_Database!Y$2:Y$500),
  _xlfn.IFNA(_xlpm.result, "")
)</f>
        <v/>
      </c>
      <c r="AA351" t="str">
        <f>_xlfn.LET(
  _xlpm.result, _xlfn.XLOOKUP($B351, Result_Database!$A$2:$A$500, Result_Database!Z$2:Z$500),
  _xlfn.IFNA(_xlpm.result, "")
)</f>
        <v/>
      </c>
      <c r="AB351" t="str">
        <f>_xlfn.LET(
  _xlpm.result, _xlfn.XLOOKUP($B351, Result_Database!$A$2:$A$500, Result_Database!AA$2:AA$500),
  _xlfn.IFNA(_xlpm.result, "")
)</f>
        <v/>
      </c>
      <c r="AC351" t="str">
        <f>_xlfn.LET(
  _xlpm.result, _xlfn.XLOOKUP($B351, Result_Database!$A$2:$A$500, Result_Database!AB$2:AB$500),
  _xlfn.IFNA(_xlpm.result, "")
)</f>
        <v/>
      </c>
      <c r="AD351" t="str">
        <f>_xlfn.LET(
  _xlpm.result, _xlfn.XLOOKUP($B351, Result_Database!$A$2:$A$500, Result_Database!AC$2:AC$500),
  _xlfn.IFNA(_xlpm.result, "")
)</f>
        <v/>
      </c>
      <c r="AE351" t="str">
        <f>_xlfn.LET(
  _xlpm.result, _xlfn.XLOOKUP($B351, Result_Database!$A$2:$A$500, Result_Database!AD$2:AD$500),
  _xlfn.IFNA(_xlpm.result, "")
)</f>
        <v/>
      </c>
      <c r="AF351" t="str">
        <f>_xlfn.LET(
  _xlpm.result, _xlfn.XLOOKUP($B351, Result_Database!$A$2:$A$500, Result_Database!AE$2:AE$500),
  _xlfn.IFNA(_xlpm.result, "")
)</f>
        <v/>
      </c>
      <c r="AG351" t="str">
        <f>_xlfn.LET(
  _xlpm.result, _xlfn.XLOOKUP($B351, Result_Database!$A$2:$A$500, Result_Database!AF$2:AF$500),
  _xlfn.IFNA(_xlpm.result, "")
)</f>
        <v/>
      </c>
      <c r="AH351" t="str">
        <f>_xlfn.LET(
  _xlpm.result, _xlfn.XLOOKUP($B351, Result_Database!$A$2:$A$500, Result_Database!AG$2:AG$500),
  _xlfn.IFNA(_xlpm.result, "")
)</f>
        <v/>
      </c>
      <c r="AI351" t="str">
        <f>_xlfn.LET(
  _xlpm.result, _xlfn.XLOOKUP($B351, Result_Database!$A$2:$A$500, Result_Database!AH$2:AH$500),
  _xlfn.IFNA(_xlpm.result, "")
)</f>
        <v/>
      </c>
      <c r="AJ351" t="str">
        <f>_xlfn.LET(
  _xlpm.result, _xlfn.XLOOKUP($B351, Result_Database!$A$2:$A$500, Result_Database!AI$2:AI$500),
  _xlfn.IFNA(_xlpm.result, "")
)</f>
        <v/>
      </c>
      <c r="AK351" t="str">
        <f>_xlfn.LET(
  _xlpm.result, _xlfn.XLOOKUP($B351, Result_Database!$A$2:$A$500, Result_Database!AJ$2:AJ$500),
  _xlfn.IFNA(_xlpm.result, "")
)</f>
        <v/>
      </c>
      <c r="AL351" t="str">
        <f>_xlfn.LET(
  _xlpm.result, _xlfn.XLOOKUP($B351, Result_Database!$A$2:$A$500, Result_Database!AK$2:AK$500),
  _xlfn.IFNA(_xlpm.result, "")
)</f>
        <v/>
      </c>
      <c r="AM35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5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5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5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5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5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5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5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5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51" t="str">
        <f>IF(SUM(Table5[[#This Row],[A1]:[C6]])&lt;&gt;0,SUM(Table5[[#This Row],[A1]:[C6]]),"")</f>
        <v/>
      </c>
      <c r="AW351" t="str">
        <f>IF(SUM(Table5[[#This Row],[D7]:[F9]])=0,"",SUM(Table5[[#This Row],[D7]:[F9]]))</f>
        <v/>
      </c>
      <c r="AX35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5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5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5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5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5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51" t="str">
        <f>IF(COUNTIF(Table5[[#This Row],[English Language]:[Electrical/ Electronics]],"WITHHELD")=0,"",COUNTIF(Table5[[#This Row],[English Language]:[Electrical/ Electronics]],"WITHHELD"))</f>
        <v/>
      </c>
      <c r="BE351" t="str">
        <f>IF(SUM(Table5[[#This Row],[NO OF CREDITS]:[BELOW CREDITS]])=0,"",SUM(Table5[[#This Row],[NO OF CREDITS]:[BELOW CREDITS]]))</f>
        <v/>
      </c>
    </row>
    <row r="352" spans="1:57" x14ac:dyDescent="0.3">
      <c r="A352" t="str">
        <f>IF(B352&lt;&gt;"",COUNTA($B$6:B352),"")</f>
        <v/>
      </c>
      <c r="B352" t="str">
        <f>IF(Result_Database!A348="","",Result_Database!A348)</f>
        <v/>
      </c>
      <c r="C352" t="str">
        <f>_xlfn.LET(
_xlpm.result,_xlfn.XLOOKUP($B352,Result_Database!$A$2:$A$500,Result_Database!$B$2:$B$500),
_xlfn.IFNA(_xlpm.result,"")
)</f>
        <v/>
      </c>
      <c r="D352" t="str">
        <f>_xlfn.LET(
  _xlpm.result, _xlfn.XLOOKUP($B352, Result_Database!$A$2:$A$500, Result_Database!C$2:C$500),
  _xlfn.IFNA(_xlpm.result, "")
)</f>
        <v/>
      </c>
      <c r="E352" t="str">
        <f>_xlfn.LET(
  _xlpm.result, _xlfn.XLOOKUP($B352, Result_Database!$A$2:$A$500, Result_Database!D$2:D$500),
  _xlfn.IFNA(_xlpm.result, "")
)</f>
        <v/>
      </c>
      <c r="F352" t="str">
        <f>_xlfn.LET(
  _xlpm.result, _xlfn.XLOOKUP($B352, Result_Database!$A$2:$A$500, Result_Database!E$2:E$500),
  _xlfn.IFNA(_xlpm.result, "")
)</f>
        <v/>
      </c>
      <c r="G352" t="str">
        <f>_xlfn.LET(
  _xlpm.result, _xlfn.XLOOKUP($B352, Result_Database!$A$2:$A$500, Result_Database!F$2:F$500),
  _xlfn.IFNA(_xlpm.result, "")
)</f>
        <v/>
      </c>
      <c r="H352" t="str">
        <f>_xlfn.LET(
  _xlpm.result, _xlfn.XLOOKUP($B352, Result_Database!$A$2:$A$500, Result_Database!G$2:G$500),
  _xlfn.IFNA(_xlpm.result, "")
)</f>
        <v/>
      </c>
      <c r="I352" t="str">
        <f>_xlfn.LET(
  _xlpm.result, _xlfn.XLOOKUP($B352, Result_Database!$A$2:$A$500, Result_Database!H$2:H$500),
  _xlfn.IFNA(_xlpm.result, "")
)</f>
        <v/>
      </c>
      <c r="J352" t="str">
        <f>_xlfn.LET(
  _xlpm.result, _xlfn.XLOOKUP($B352, Result_Database!$A$2:$A$500, Result_Database!I$2:I$500),
  _xlfn.IFNA(_xlpm.result, "")
)</f>
        <v/>
      </c>
      <c r="K352" t="str">
        <f>_xlfn.LET(
  _xlpm.result, _xlfn.XLOOKUP($B352, Result_Database!$A$2:$A$500, Result_Database!J$2:J$500),
  _xlfn.IFNA(_xlpm.result, "")
)</f>
        <v/>
      </c>
      <c r="L352" t="str">
        <f>_xlfn.LET(
  _xlpm.result, _xlfn.XLOOKUP($B352, Result_Database!$A$2:$A$500, Result_Database!K$2:K$500),
  _xlfn.IFNA(_xlpm.result, "")
)</f>
        <v/>
      </c>
      <c r="M352" t="str">
        <f>_xlfn.LET(
  _xlpm.result, _xlfn.XLOOKUP($B352, Result_Database!$A$2:$A$500, Result_Database!L$2:L$500),
  _xlfn.IFNA(_xlpm.result, "")
)</f>
        <v/>
      </c>
      <c r="N352" t="str">
        <f>_xlfn.LET(
  _xlpm.result, _xlfn.XLOOKUP($B352, Result_Database!$A$2:$A$500, Result_Database!M$2:M$500),
  _xlfn.IFNA(_xlpm.result, "")
)</f>
        <v/>
      </c>
      <c r="O352" t="str">
        <f>_xlfn.LET(
  _xlpm.result, _xlfn.XLOOKUP($B352, Result_Database!$A$2:$A$500, Result_Database!N$2:N$500),
  _xlfn.IFNA(_xlpm.result, "")
)</f>
        <v/>
      </c>
      <c r="P352" t="str">
        <f>_xlfn.LET(
  _xlpm.result, _xlfn.XLOOKUP($B352, Result_Database!$A$2:$A$500, Result_Database!O$2:O$500),
  _xlfn.IFNA(_xlpm.result, "")
)</f>
        <v/>
      </c>
      <c r="Q352" t="str">
        <f>_xlfn.LET(
  _xlpm.result, _xlfn.XLOOKUP($B352, Result_Database!$A$2:$A$500, Result_Database!P$2:P$500),
  _xlfn.IFNA(_xlpm.result, "")
)</f>
        <v/>
      </c>
      <c r="R352" t="str">
        <f>_xlfn.LET(
  _xlpm.result, _xlfn.XLOOKUP($B352, Result_Database!$A$2:$A$500, Result_Database!Q$2:Q$500),
  _xlfn.IFNA(_xlpm.result, "")
)</f>
        <v/>
      </c>
      <c r="S352" t="str">
        <f>_xlfn.LET(
  _xlpm.result, _xlfn.XLOOKUP($B352, Result_Database!$A$2:$A$500, Result_Database!R$2:R$500),
  _xlfn.IFNA(_xlpm.result, "")
)</f>
        <v/>
      </c>
      <c r="T352" t="str">
        <f>_xlfn.LET(
  _xlpm.result, _xlfn.XLOOKUP($B352, Result_Database!$A$2:$A$500, Result_Database!S$2:S$500),
  _xlfn.IFNA(_xlpm.result, "")
)</f>
        <v/>
      </c>
      <c r="U352" t="str">
        <f>_xlfn.LET(
  _xlpm.result, _xlfn.XLOOKUP($B352, Result_Database!$A$2:$A$500, Result_Database!T$2:T$500),
  _xlfn.IFNA(_xlpm.result, "")
)</f>
        <v/>
      </c>
      <c r="V352" t="str">
        <f>_xlfn.LET(
  _xlpm.result, _xlfn.XLOOKUP($B352, Result_Database!$A$2:$A$500, Result_Database!U$2:U$500),
  _xlfn.IFNA(_xlpm.result, "")
)</f>
        <v/>
      </c>
      <c r="W352" t="str">
        <f>_xlfn.LET(
  _xlpm.result, _xlfn.XLOOKUP($B352, Result_Database!$A$2:$A$500, Result_Database!V$2:V$500),
  _xlfn.IFNA(_xlpm.result, "")
)</f>
        <v/>
      </c>
      <c r="X352" t="str">
        <f>_xlfn.LET(
  _xlpm.result, _xlfn.XLOOKUP($B352, Result_Database!$A$2:$A$500, Result_Database!W$2:W$500),
  _xlfn.IFNA(_xlpm.result, "")
)</f>
        <v/>
      </c>
      <c r="Y352" t="str">
        <f>_xlfn.LET(
  _xlpm.result, _xlfn.XLOOKUP($B352, Result_Database!$A$2:$A$500, Result_Database!X$2:X$500),
  _xlfn.IFNA(_xlpm.result, "")
)</f>
        <v/>
      </c>
      <c r="Z352" t="str">
        <f>_xlfn.LET(
  _xlpm.result, _xlfn.XLOOKUP($B352, Result_Database!$A$2:$A$500, Result_Database!Y$2:Y$500),
  _xlfn.IFNA(_xlpm.result, "")
)</f>
        <v/>
      </c>
      <c r="AA352" t="str">
        <f>_xlfn.LET(
  _xlpm.result, _xlfn.XLOOKUP($B352, Result_Database!$A$2:$A$500, Result_Database!Z$2:Z$500),
  _xlfn.IFNA(_xlpm.result, "")
)</f>
        <v/>
      </c>
      <c r="AB352" t="str">
        <f>_xlfn.LET(
  _xlpm.result, _xlfn.XLOOKUP($B352, Result_Database!$A$2:$A$500, Result_Database!AA$2:AA$500),
  _xlfn.IFNA(_xlpm.result, "")
)</f>
        <v/>
      </c>
      <c r="AC352" t="str">
        <f>_xlfn.LET(
  _xlpm.result, _xlfn.XLOOKUP($B352, Result_Database!$A$2:$A$500, Result_Database!AB$2:AB$500),
  _xlfn.IFNA(_xlpm.result, "")
)</f>
        <v/>
      </c>
      <c r="AD352" t="str">
        <f>_xlfn.LET(
  _xlpm.result, _xlfn.XLOOKUP($B352, Result_Database!$A$2:$A$500, Result_Database!AC$2:AC$500),
  _xlfn.IFNA(_xlpm.result, "")
)</f>
        <v/>
      </c>
      <c r="AE352" t="str">
        <f>_xlfn.LET(
  _xlpm.result, _xlfn.XLOOKUP($B352, Result_Database!$A$2:$A$500, Result_Database!AD$2:AD$500),
  _xlfn.IFNA(_xlpm.result, "")
)</f>
        <v/>
      </c>
      <c r="AF352" t="str">
        <f>_xlfn.LET(
  _xlpm.result, _xlfn.XLOOKUP($B352, Result_Database!$A$2:$A$500, Result_Database!AE$2:AE$500),
  _xlfn.IFNA(_xlpm.result, "")
)</f>
        <v/>
      </c>
      <c r="AG352" t="str">
        <f>_xlfn.LET(
  _xlpm.result, _xlfn.XLOOKUP($B352, Result_Database!$A$2:$A$500, Result_Database!AF$2:AF$500),
  _xlfn.IFNA(_xlpm.result, "")
)</f>
        <v/>
      </c>
      <c r="AH352" t="str">
        <f>_xlfn.LET(
  _xlpm.result, _xlfn.XLOOKUP($B352, Result_Database!$A$2:$A$500, Result_Database!AG$2:AG$500),
  _xlfn.IFNA(_xlpm.result, "")
)</f>
        <v/>
      </c>
      <c r="AI352" t="str">
        <f>_xlfn.LET(
  _xlpm.result, _xlfn.XLOOKUP($B352, Result_Database!$A$2:$A$500, Result_Database!AH$2:AH$500),
  _xlfn.IFNA(_xlpm.result, "")
)</f>
        <v/>
      </c>
      <c r="AJ352" t="str">
        <f>_xlfn.LET(
  _xlpm.result, _xlfn.XLOOKUP($B352, Result_Database!$A$2:$A$500, Result_Database!AI$2:AI$500),
  _xlfn.IFNA(_xlpm.result, "")
)</f>
        <v/>
      </c>
      <c r="AK352" t="str">
        <f>_xlfn.LET(
  _xlpm.result, _xlfn.XLOOKUP($B352, Result_Database!$A$2:$A$500, Result_Database!AJ$2:AJ$500),
  _xlfn.IFNA(_xlpm.result, "")
)</f>
        <v/>
      </c>
      <c r="AL352" t="str">
        <f>_xlfn.LET(
  _xlpm.result, _xlfn.XLOOKUP($B352, Result_Database!$A$2:$A$500, Result_Database!AK$2:AK$500),
  _xlfn.IFNA(_xlpm.result, "")
)</f>
        <v/>
      </c>
      <c r="AM35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5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5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5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5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5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5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5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5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52" t="str">
        <f>IF(SUM(Table5[[#This Row],[A1]:[C6]])&lt;&gt;0,SUM(Table5[[#This Row],[A1]:[C6]]),"")</f>
        <v/>
      </c>
      <c r="AW352" t="str">
        <f>IF(SUM(Table5[[#This Row],[D7]:[F9]])=0,"",SUM(Table5[[#This Row],[D7]:[F9]]))</f>
        <v/>
      </c>
      <c r="AX35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5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5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5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5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5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52" t="str">
        <f>IF(COUNTIF(Table5[[#This Row],[English Language]:[Electrical/ Electronics]],"WITHHELD")=0,"",COUNTIF(Table5[[#This Row],[English Language]:[Electrical/ Electronics]],"WITHHELD"))</f>
        <v/>
      </c>
      <c r="BE352" t="str">
        <f>IF(SUM(Table5[[#This Row],[NO OF CREDITS]:[BELOW CREDITS]])=0,"",SUM(Table5[[#This Row],[NO OF CREDITS]:[BELOW CREDITS]]))</f>
        <v/>
      </c>
    </row>
    <row r="353" spans="1:57" x14ac:dyDescent="0.3">
      <c r="A353" t="str">
        <f>IF(B353&lt;&gt;"",COUNTA($B$6:B353),"")</f>
        <v/>
      </c>
      <c r="B353" t="str">
        <f>IF(Result_Database!A349="","",Result_Database!A349)</f>
        <v/>
      </c>
      <c r="C353" t="str">
        <f>_xlfn.LET(
_xlpm.result,_xlfn.XLOOKUP($B353,Result_Database!$A$2:$A$500,Result_Database!$B$2:$B$500),
_xlfn.IFNA(_xlpm.result,"")
)</f>
        <v/>
      </c>
      <c r="D353" t="str">
        <f>_xlfn.LET(
  _xlpm.result, _xlfn.XLOOKUP($B353, Result_Database!$A$2:$A$500, Result_Database!C$2:C$500),
  _xlfn.IFNA(_xlpm.result, "")
)</f>
        <v/>
      </c>
      <c r="E353" t="str">
        <f>_xlfn.LET(
  _xlpm.result, _xlfn.XLOOKUP($B353, Result_Database!$A$2:$A$500, Result_Database!D$2:D$500),
  _xlfn.IFNA(_xlpm.result, "")
)</f>
        <v/>
      </c>
      <c r="F353" t="str">
        <f>_xlfn.LET(
  _xlpm.result, _xlfn.XLOOKUP($B353, Result_Database!$A$2:$A$500, Result_Database!E$2:E$500),
  _xlfn.IFNA(_xlpm.result, "")
)</f>
        <v/>
      </c>
      <c r="G353" t="str">
        <f>_xlfn.LET(
  _xlpm.result, _xlfn.XLOOKUP($B353, Result_Database!$A$2:$A$500, Result_Database!F$2:F$500),
  _xlfn.IFNA(_xlpm.result, "")
)</f>
        <v/>
      </c>
      <c r="H353" t="str">
        <f>_xlfn.LET(
  _xlpm.result, _xlfn.XLOOKUP($B353, Result_Database!$A$2:$A$500, Result_Database!G$2:G$500),
  _xlfn.IFNA(_xlpm.result, "")
)</f>
        <v/>
      </c>
      <c r="I353" t="str">
        <f>_xlfn.LET(
  _xlpm.result, _xlfn.XLOOKUP($B353, Result_Database!$A$2:$A$500, Result_Database!H$2:H$500),
  _xlfn.IFNA(_xlpm.result, "")
)</f>
        <v/>
      </c>
      <c r="J353" t="str">
        <f>_xlfn.LET(
  _xlpm.result, _xlfn.XLOOKUP($B353, Result_Database!$A$2:$A$500, Result_Database!I$2:I$500),
  _xlfn.IFNA(_xlpm.result, "")
)</f>
        <v/>
      </c>
      <c r="K353" t="str">
        <f>_xlfn.LET(
  _xlpm.result, _xlfn.XLOOKUP($B353, Result_Database!$A$2:$A$500, Result_Database!J$2:J$500),
  _xlfn.IFNA(_xlpm.result, "")
)</f>
        <v/>
      </c>
      <c r="L353" t="str">
        <f>_xlfn.LET(
  _xlpm.result, _xlfn.XLOOKUP($B353, Result_Database!$A$2:$A$500, Result_Database!K$2:K$500),
  _xlfn.IFNA(_xlpm.result, "")
)</f>
        <v/>
      </c>
      <c r="M353" t="str">
        <f>_xlfn.LET(
  _xlpm.result, _xlfn.XLOOKUP($B353, Result_Database!$A$2:$A$500, Result_Database!L$2:L$500),
  _xlfn.IFNA(_xlpm.result, "")
)</f>
        <v/>
      </c>
      <c r="N353" t="str">
        <f>_xlfn.LET(
  _xlpm.result, _xlfn.XLOOKUP($B353, Result_Database!$A$2:$A$500, Result_Database!M$2:M$500),
  _xlfn.IFNA(_xlpm.result, "")
)</f>
        <v/>
      </c>
      <c r="O353" t="str">
        <f>_xlfn.LET(
  _xlpm.result, _xlfn.XLOOKUP($B353, Result_Database!$A$2:$A$500, Result_Database!N$2:N$500),
  _xlfn.IFNA(_xlpm.result, "")
)</f>
        <v/>
      </c>
      <c r="P353" t="str">
        <f>_xlfn.LET(
  _xlpm.result, _xlfn.XLOOKUP($B353, Result_Database!$A$2:$A$500, Result_Database!O$2:O$500),
  _xlfn.IFNA(_xlpm.result, "")
)</f>
        <v/>
      </c>
      <c r="Q353" t="str">
        <f>_xlfn.LET(
  _xlpm.result, _xlfn.XLOOKUP($B353, Result_Database!$A$2:$A$500, Result_Database!P$2:P$500),
  _xlfn.IFNA(_xlpm.result, "")
)</f>
        <v/>
      </c>
      <c r="R353" t="str">
        <f>_xlfn.LET(
  _xlpm.result, _xlfn.XLOOKUP($B353, Result_Database!$A$2:$A$500, Result_Database!Q$2:Q$500),
  _xlfn.IFNA(_xlpm.result, "")
)</f>
        <v/>
      </c>
      <c r="S353" t="str">
        <f>_xlfn.LET(
  _xlpm.result, _xlfn.XLOOKUP($B353, Result_Database!$A$2:$A$500, Result_Database!R$2:R$500),
  _xlfn.IFNA(_xlpm.result, "")
)</f>
        <v/>
      </c>
      <c r="T353" t="str">
        <f>_xlfn.LET(
  _xlpm.result, _xlfn.XLOOKUP($B353, Result_Database!$A$2:$A$500, Result_Database!S$2:S$500),
  _xlfn.IFNA(_xlpm.result, "")
)</f>
        <v/>
      </c>
      <c r="U353" t="str">
        <f>_xlfn.LET(
  _xlpm.result, _xlfn.XLOOKUP($B353, Result_Database!$A$2:$A$500, Result_Database!T$2:T$500),
  _xlfn.IFNA(_xlpm.result, "")
)</f>
        <v/>
      </c>
      <c r="V353" t="str">
        <f>_xlfn.LET(
  _xlpm.result, _xlfn.XLOOKUP($B353, Result_Database!$A$2:$A$500, Result_Database!U$2:U$500),
  _xlfn.IFNA(_xlpm.result, "")
)</f>
        <v/>
      </c>
      <c r="W353" t="str">
        <f>_xlfn.LET(
  _xlpm.result, _xlfn.XLOOKUP($B353, Result_Database!$A$2:$A$500, Result_Database!V$2:V$500),
  _xlfn.IFNA(_xlpm.result, "")
)</f>
        <v/>
      </c>
      <c r="X353" t="str">
        <f>_xlfn.LET(
  _xlpm.result, _xlfn.XLOOKUP($B353, Result_Database!$A$2:$A$500, Result_Database!W$2:W$500),
  _xlfn.IFNA(_xlpm.result, "")
)</f>
        <v/>
      </c>
      <c r="Y353" t="str">
        <f>_xlfn.LET(
  _xlpm.result, _xlfn.XLOOKUP($B353, Result_Database!$A$2:$A$500, Result_Database!X$2:X$500),
  _xlfn.IFNA(_xlpm.result, "")
)</f>
        <v/>
      </c>
      <c r="Z353" t="str">
        <f>_xlfn.LET(
  _xlpm.result, _xlfn.XLOOKUP($B353, Result_Database!$A$2:$A$500, Result_Database!Y$2:Y$500),
  _xlfn.IFNA(_xlpm.result, "")
)</f>
        <v/>
      </c>
      <c r="AA353" t="str">
        <f>_xlfn.LET(
  _xlpm.result, _xlfn.XLOOKUP($B353, Result_Database!$A$2:$A$500, Result_Database!Z$2:Z$500),
  _xlfn.IFNA(_xlpm.result, "")
)</f>
        <v/>
      </c>
      <c r="AB353" t="str">
        <f>_xlfn.LET(
  _xlpm.result, _xlfn.XLOOKUP($B353, Result_Database!$A$2:$A$500, Result_Database!AA$2:AA$500),
  _xlfn.IFNA(_xlpm.result, "")
)</f>
        <v/>
      </c>
      <c r="AC353" t="str">
        <f>_xlfn.LET(
  _xlpm.result, _xlfn.XLOOKUP($B353, Result_Database!$A$2:$A$500, Result_Database!AB$2:AB$500),
  _xlfn.IFNA(_xlpm.result, "")
)</f>
        <v/>
      </c>
      <c r="AD353" t="str">
        <f>_xlfn.LET(
  _xlpm.result, _xlfn.XLOOKUP($B353, Result_Database!$A$2:$A$500, Result_Database!AC$2:AC$500),
  _xlfn.IFNA(_xlpm.result, "")
)</f>
        <v/>
      </c>
      <c r="AE353" t="str">
        <f>_xlfn.LET(
  _xlpm.result, _xlfn.XLOOKUP($B353, Result_Database!$A$2:$A$500, Result_Database!AD$2:AD$500),
  _xlfn.IFNA(_xlpm.result, "")
)</f>
        <v/>
      </c>
      <c r="AF353" t="str">
        <f>_xlfn.LET(
  _xlpm.result, _xlfn.XLOOKUP($B353, Result_Database!$A$2:$A$500, Result_Database!AE$2:AE$500),
  _xlfn.IFNA(_xlpm.result, "")
)</f>
        <v/>
      </c>
      <c r="AG353" t="str">
        <f>_xlfn.LET(
  _xlpm.result, _xlfn.XLOOKUP($B353, Result_Database!$A$2:$A$500, Result_Database!AF$2:AF$500),
  _xlfn.IFNA(_xlpm.result, "")
)</f>
        <v/>
      </c>
      <c r="AH353" t="str">
        <f>_xlfn.LET(
  _xlpm.result, _xlfn.XLOOKUP($B353, Result_Database!$A$2:$A$500, Result_Database!AG$2:AG$500),
  _xlfn.IFNA(_xlpm.result, "")
)</f>
        <v/>
      </c>
      <c r="AI353" t="str">
        <f>_xlfn.LET(
  _xlpm.result, _xlfn.XLOOKUP($B353, Result_Database!$A$2:$A$500, Result_Database!AH$2:AH$500),
  _xlfn.IFNA(_xlpm.result, "")
)</f>
        <v/>
      </c>
      <c r="AJ353" t="str">
        <f>_xlfn.LET(
  _xlpm.result, _xlfn.XLOOKUP($B353, Result_Database!$A$2:$A$500, Result_Database!AI$2:AI$500),
  _xlfn.IFNA(_xlpm.result, "")
)</f>
        <v/>
      </c>
      <c r="AK353" t="str">
        <f>_xlfn.LET(
  _xlpm.result, _xlfn.XLOOKUP($B353, Result_Database!$A$2:$A$500, Result_Database!AJ$2:AJ$500),
  _xlfn.IFNA(_xlpm.result, "")
)</f>
        <v/>
      </c>
      <c r="AL353" t="str">
        <f>_xlfn.LET(
  _xlpm.result, _xlfn.XLOOKUP($B353, Result_Database!$A$2:$A$500, Result_Database!AK$2:AK$500),
  _xlfn.IFNA(_xlpm.result, "")
)</f>
        <v/>
      </c>
      <c r="AM35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5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5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5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5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5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5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5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5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53" t="str">
        <f>IF(SUM(Table5[[#This Row],[A1]:[C6]])&lt;&gt;0,SUM(Table5[[#This Row],[A1]:[C6]]),"")</f>
        <v/>
      </c>
      <c r="AW353" t="str">
        <f>IF(SUM(Table5[[#This Row],[D7]:[F9]])=0,"",SUM(Table5[[#This Row],[D7]:[F9]]))</f>
        <v/>
      </c>
      <c r="AX35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5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5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5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5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5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53" t="str">
        <f>IF(COUNTIF(Table5[[#This Row],[English Language]:[Electrical/ Electronics]],"WITHHELD")=0,"",COUNTIF(Table5[[#This Row],[English Language]:[Electrical/ Electronics]],"WITHHELD"))</f>
        <v/>
      </c>
      <c r="BE353" t="str">
        <f>IF(SUM(Table5[[#This Row],[NO OF CREDITS]:[BELOW CREDITS]])=0,"",SUM(Table5[[#This Row],[NO OF CREDITS]:[BELOW CREDITS]]))</f>
        <v/>
      </c>
    </row>
    <row r="354" spans="1:57" x14ac:dyDescent="0.3">
      <c r="A354" t="str">
        <f>IF(B354&lt;&gt;"",COUNTA($B$6:B354),"")</f>
        <v/>
      </c>
      <c r="B354" t="str">
        <f>IF(Result_Database!A350="","",Result_Database!A350)</f>
        <v/>
      </c>
      <c r="C354" t="str">
        <f>_xlfn.LET(
_xlpm.result,_xlfn.XLOOKUP($B354,Result_Database!$A$2:$A$500,Result_Database!$B$2:$B$500),
_xlfn.IFNA(_xlpm.result,"")
)</f>
        <v/>
      </c>
      <c r="D354" t="str">
        <f>_xlfn.LET(
  _xlpm.result, _xlfn.XLOOKUP($B354, Result_Database!$A$2:$A$500, Result_Database!C$2:C$500),
  _xlfn.IFNA(_xlpm.result, "")
)</f>
        <v/>
      </c>
      <c r="E354" t="str">
        <f>_xlfn.LET(
  _xlpm.result, _xlfn.XLOOKUP($B354, Result_Database!$A$2:$A$500, Result_Database!D$2:D$500),
  _xlfn.IFNA(_xlpm.result, "")
)</f>
        <v/>
      </c>
      <c r="F354" t="str">
        <f>_xlfn.LET(
  _xlpm.result, _xlfn.XLOOKUP($B354, Result_Database!$A$2:$A$500, Result_Database!E$2:E$500),
  _xlfn.IFNA(_xlpm.result, "")
)</f>
        <v/>
      </c>
      <c r="G354" t="str">
        <f>_xlfn.LET(
  _xlpm.result, _xlfn.XLOOKUP($B354, Result_Database!$A$2:$A$500, Result_Database!F$2:F$500),
  _xlfn.IFNA(_xlpm.result, "")
)</f>
        <v/>
      </c>
      <c r="H354" t="str">
        <f>_xlfn.LET(
  _xlpm.result, _xlfn.XLOOKUP($B354, Result_Database!$A$2:$A$500, Result_Database!G$2:G$500),
  _xlfn.IFNA(_xlpm.result, "")
)</f>
        <v/>
      </c>
      <c r="I354" t="str">
        <f>_xlfn.LET(
  _xlpm.result, _xlfn.XLOOKUP($B354, Result_Database!$A$2:$A$500, Result_Database!H$2:H$500),
  _xlfn.IFNA(_xlpm.result, "")
)</f>
        <v/>
      </c>
      <c r="J354" t="str">
        <f>_xlfn.LET(
  _xlpm.result, _xlfn.XLOOKUP($B354, Result_Database!$A$2:$A$500, Result_Database!I$2:I$500),
  _xlfn.IFNA(_xlpm.result, "")
)</f>
        <v/>
      </c>
      <c r="K354" t="str">
        <f>_xlfn.LET(
  _xlpm.result, _xlfn.XLOOKUP($B354, Result_Database!$A$2:$A$500, Result_Database!J$2:J$500),
  _xlfn.IFNA(_xlpm.result, "")
)</f>
        <v/>
      </c>
      <c r="L354" t="str">
        <f>_xlfn.LET(
  _xlpm.result, _xlfn.XLOOKUP($B354, Result_Database!$A$2:$A$500, Result_Database!K$2:K$500),
  _xlfn.IFNA(_xlpm.result, "")
)</f>
        <v/>
      </c>
      <c r="M354" t="str">
        <f>_xlfn.LET(
  _xlpm.result, _xlfn.XLOOKUP($B354, Result_Database!$A$2:$A$500, Result_Database!L$2:L$500),
  _xlfn.IFNA(_xlpm.result, "")
)</f>
        <v/>
      </c>
      <c r="N354" t="str">
        <f>_xlfn.LET(
  _xlpm.result, _xlfn.XLOOKUP($B354, Result_Database!$A$2:$A$500, Result_Database!M$2:M$500),
  _xlfn.IFNA(_xlpm.result, "")
)</f>
        <v/>
      </c>
      <c r="O354" t="str">
        <f>_xlfn.LET(
  _xlpm.result, _xlfn.XLOOKUP($B354, Result_Database!$A$2:$A$500, Result_Database!N$2:N$500),
  _xlfn.IFNA(_xlpm.result, "")
)</f>
        <v/>
      </c>
      <c r="P354" t="str">
        <f>_xlfn.LET(
  _xlpm.result, _xlfn.XLOOKUP($B354, Result_Database!$A$2:$A$500, Result_Database!O$2:O$500),
  _xlfn.IFNA(_xlpm.result, "")
)</f>
        <v/>
      </c>
      <c r="Q354" t="str">
        <f>_xlfn.LET(
  _xlpm.result, _xlfn.XLOOKUP($B354, Result_Database!$A$2:$A$500, Result_Database!P$2:P$500),
  _xlfn.IFNA(_xlpm.result, "")
)</f>
        <v/>
      </c>
      <c r="R354" t="str">
        <f>_xlfn.LET(
  _xlpm.result, _xlfn.XLOOKUP($B354, Result_Database!$A$2:$A$500, Result_Database!Q$2:Q$500),
  _xlfn.IFNA(_xlpm.result, "")
)</f>
        <v/>
      </c>
      <c r="S354" t="str">
        <f>_xlfn.LET(
  _xlpm.result, _xlfn.XLOOKUP($B354, Result_Database!$A$2:$A$500, Result_Database!R$2:R$500),
  _xlfn.IFNA(_xlpm.result, "")
)</f>
        <v/>
      </c>
      <c r="T354" t="str">
        <f>_xlfn.LET(
  _xlpm.result, _xlfn.XLOOKUP($B354, Result_Database!$A$2:$A$500, Result_Database!S$2:S$500),
  _xlfn.IFNA(_xlpm.result, "")
)</f>
        <v/>
      </c>
      <c r="U354" t="str">
        <f>_xlfn.LET(
  _xlpm.result, _xlfn.XLOOKUP($B354, Result_Database!$A$2:$A$500, Result_Database!T$2:T$500),
  _xlfn.IFNA(_xlpm.result, "")
)</f>
        <v/>
      </c>
      <c r="V354" t="str">
        <f>_xlfn.LET(
  _xlpm.result, _xlfn.XLOOKUP($B354, Result_Database!$A$2:$A$500, Result_Database!U$2:U$500),
  _xlfn.IFNA(_xlpm.result, "")
)</f>
        <v/>
      </c>
      <c r="W354" t="str">
        <f>_xlfn.LET(
  _xlpm.result, _xlfn.XLOOKUP($B354, Result_Database!$A$2:$A$500, Result_Database!V$2:V$500),
  _xlfn.IFNA(_xlpm.result, "")
)</f>
        <v/>
      </c>
      <c r="X354" t="str">
        <f>_xlfn.LET(
  _xlpm.result, _xlfn.XLOOKUP($B354, Result_Database!$A$2:$A$500, Result_Database!W$2:W$500),
  _xlfn.IFNA(_xlpm.result, "")
)</f>
        <v/>
      </c>
      <c r="Y354" t="str">
        <f>_xlfn.LET(
  _xlpm.result, _xlfn.XLOOKUP($B354, Result_Database!$A$2:$A$500, Result_Database!X$2:X$500),
  _xlfn.IFNA(_xlpm.result, "")
)</f>
        <v/>
      </c>
      <c r="Z354" t="str">
        <f>_xlfn.LET(
  _xlpm.result, _xlfn.XLOOKUP($B354, Result_Database!$A$2:$A$500, Result_Database!Y$2:Y$500),
  _xlfn.IFNA(_xlpm.result, "")
)</f>
        <v/>
      </c>
      <c r="AA354" t="str">
        <f>_xlfn.LET(
  _xlpm.result, _xlfn.XLOOKUP($B354, Result_Database!$A$2:$A$500, Result_Database!Z$2:Z$500),
  _xlfn.IFNA(_xlpm.result, "")
)</f>
        <v/>
      </c>
      <c r="AB354" t="str">
        <f>_xlfn.LET(
  _xlpm.result, _xlfn.XLOOKUP($B354, Result_Database!$A$2:$A$500, Result_Database!AA$2:AA$500),
  _xlfn.IFNA(_xlpm.result, "")
)</f>
        <v/>
      </c>
      <c r="AC354" t="str">
        <f>_xlfn.LET(
  _xlpm.result, _xlfn.XLOOKUP($B354, Result_Database!$A$2:$A$500, Result_Database!AB$2:AB$500),
  _xlfn.IFNA(_xlpm.result, "")
)</f>
        <v/>
      </c>
      <c r="AD354" t="str">
        <f>_xlfn.LET(
  _xlpm.result, _xlfn.XLOOKUP($B354, Result_Database!$A$2:$A$500, Result_Database!AC$2:AC$500),
  _xlfn.IFNA(_xlpm.result, "")
)</f>
        <v/>
      </c>
      <c r="AE354" t="str">
        <f>_xlfn.LET(
  _xlpm.result, _xlfn.XLOOKUP($B354, Result_Database!$A$2:$A$500, Result_Database!AD$2:AD$500),
  _xlfn.IFNA(_xlpm.result, "")
)</f>
        <v/>
      </c>
      <c r="AF354" t="str">
        <f>_xlfn.LET(
  _xlpm.result, _xlfn.XLOOKUP($B354, Result_Database!$A$2:$A$500, Result_Database!AE$2:AE$500),
  _xlfn.IFNA(_xlpm.result, "")
)</f>
        <v/>
      </c>
      <c r="AG354" t="str">
        <f>_xlfn.LET(
  _xlpm.result, _xlfn.XLOOKUP($B354, Result_Database!$A$2:$A$500, Result_Database!AF$2:AF$500),
  _xlfn.IFNA(_xlpm.result, "")
)</f>
        <v/>
      </c>
      <c r="AH354" t="str">
        <f>_xlfn.LET(
  _xlpm.result, _xlfn.XLOOKUP($B354, Result_Database!$A$2:$A$500, Result_Database!AG$2:AG$500),
  _xlfn.IFNA(_xlpm.result, "")
)</f>
        <v/>
      </c>
      <c r="AI354" t="str">
        <f>_xlfn.LET(
  _xlpm.result, _xlfn.XLOOKUP($B354, Result_Database!$A$2:$A$500, Result_Database!AH$2:AH$500),
  _xlfn.IFNA(_xlpm.result, "")
)</f>
        <v/>
      </c>
      <c r="AJ354" t="str">
        <f>_xlfn.LET(
  _xlpm.result, _xlfn.XLOOKUP($B354, Result_Database!$A$2:$A$500, Result_Database!AI$2:AI$500),
  _xlfn.IFNA(_xlpm.result, "")
)</f>
        <v/>
      </c>
      <c r="AK354" t="str">
        <f>_xlfn.LET(
  _xlpm.result, _xlfn.XLOOKUP($B354, Result_Database!$A$2:$A$500, Result_Database!AJ$2:AJ$500),
  _xlfn.IFNA(_xlpm.result, "")
)</f>
        <v/>
      </c>
      <c r="AL354" t="str">
        <f>_xlfn.LET(
  _xlpm.result, _xlfn.XLOOKUP($B354, Result_Database!$A$2:$A$500, Result_Database!AK$2:AK$500),
  _xlfn.IFNA(_xlpm.result, "")
)</f>
        <v/>
      </c>
      <c r="AM35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5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5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5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5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5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5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5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5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54" t="str">
        <f>IF(SUM(Table5[[#This Row],[A1]:[C6]])&lt;&gt;0,SUM(Table5[[#This Row],[A1]:[C6]]),"")</f>
        <v/>
      </c>
      <c r="AW354" t="str">
        <f>IF(SUM(Table5[[#This Row],[D7]:[F9]])=0,"",SUM(Table5[[#This Row],[D7]:[F9]]))</f>
        <v/>
      </c>
      <c r="AX35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5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5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5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5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5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54" t="str">
        <f>IF(COUNTIF(Table5[[#This Row],[English Language]:[Electrical/ Electronics]],"WITHHELD")=0,"",COUNTIF(Table5[[#This Row],[English Language]:[Electrical/ Electronics]],"WITHHELD"))</f>
        <v/>
      </c>
      <c r="BE354" t="str">
        <f>IF(SUM(Table5[[#This Row],[NO OF CREDITS]:[BELOW CREDITS]])=0,"",SUM(Table5[[#This Row],[NO OF CREDITS]:[BELOW CREDITS]]))</f>
        <v/>
      </c>
    </row>
    <row r="355" spans="1:57" x14ac:dyDescent="0.3">
      <c r="A355" t="str">
        <f>IF(B355&lt;&gt;"",COUNTA($B$6:B355),"")</f>
        <v/>
      </c>
      <c r="B355" t="str">
        <f>IF(Result_Database!A351="","",Result_Database!A351)</f>
        <v/>
      </c>
      <c r="C355" t="str">
        <f>_xlfn.LET(
_xlpm.result,_xlfn.XLOOKUP($B355,Result_Database!$A$2:$A$500,Result_Database!$B$2:$B$500),
_xlfn.IFNA(_xlpm.result,"")
)</f>
        <v/>
      </c>
      <c r="D355" t="str">
        <f>_xlfn.LET(
  _xlpm.result, _xlfn.XLOOKUP($B355, Result_Database!$A$2:$A$500, Result_Database!C$2:C$500),
  _xlfn.IFNA(_xlpm.result, "")
)</f>
        <v/>
      </c>
      <c r="E355" t="str">
        <f>_xlfn.LET(
  _xlpm.result, _xlfn.XLOOKUP($B355, Result_Database!$A$2:$A$500, Result_Database!D$2:D$500),
  _xlfn.IFNA(_xlpm.result, "")
)</f>
        <v/>
      </c>
      <c r="F355" t="str">
        <f>_xlfn.LET(
  _xlpm.result, _xlfn.XLOOKUP($B355, Result_Database!$A$2:$A$500, Result_Database!E$2:E$500),
  _xlfn.IFNA(_xlpm.result, "")
)</f>
        <v/>
      </c>
      <c r="G355" t="str">
        <f>_xlfn.LET(
  _xlpm.result, _xlfn.XLOOKUP($B355, Result_Database!$A$2:$A$500, Result_Database!F$2:F$500),
  _xlfn.IFNA(_xlpm.result, "")
)</f>
        <v/>
      </c>
      <c r="H355" t="str">
        <f>_xlfn.LET(
  _xlpm.result, _xlfn.XLOOKUP($B355, Result_Database!$A$2:$A$500, Result_Database!G$2:G$500),
  _xlfn.IFNA(_xlpm.result, "")
)</f>
        <v/>
      </c>
      <c r="I355" t="str">
        <f>_xlfn.LET(
  _xlpm.result, _xlfn.XLOOKUP($B355, Result_Database!$A$2:$A$500, Result_Database!H$2:H$500),
  _xlfn.IFNA(_xlpm.result, "")
)</f>
        <v/>
      </c>
      <c r="J355" t="str">
        <f>_xlfn.LET(
  _xlpm.result, _xlfn.XLOOKUP($B355, Result_Database!$A$2:$A$500, Result_Database!I$2:I$500),
  _xlfn.IFNA(_xlpm.result, "")
)</f>
        <v/>
      </c>
      <c r="K355" t="str">
        <f>_xlfn.LET(
  _xlpm.result, _xlfn.XLOOKUP($B355, Result_Database!$A$2:$A$500, Result_Database!J$2:J$500),
  _xlfn.IFNA(_xlpm.result, "")
)</f>
        <v/>
      </c>
      <c r="L355" t="str">
        <f>_xlfn.LET(
  _xlpm.result, _xlfn.XLOOKUP($B355, Result_Database!$A$2:$A$500, Result_Database!K$2:K$500),
  _xlfn.IFNA(_xlpm.result, "")
)</f>
        <v/>
      </c>
      <c r="M355" t="str">
        <f>_xlfn.LET(
  _xlpm.result, _xlfn.XLOOKUP($B355, Result_Database!$A$2:$A$500, Result_Database!L$2:L$500),
  _xlfn.IFNA(_xlpm.result, "")
)</f>
        <v/>
      </c>
      <c r="N355" t="str">
        <f>_xlfn.LET(
  _xlpm.result, _xlfn.XLOOKUP($B355, Result_Database!$A$2:$A$500, Result_Database!M$2:M$500),
  _xlfn.IFNA(_xlpm.result, "")
)</f>
        <v/>
      </c>
      <c r="O355" t="str">
        <f>_xlfn.LET(
  _xlpm.result, _xlfn.XLOOKUP($B355, Result_Database!$A$2:$A$500, Result_Database!N$2:N$500),
  _xlfn.IFNA(_xlpm.result, "")
)</f>
        <v/>
      </c>
      <c r="P355" t="str">
        <f>_xlfn.LET(
  _xlpm.result, _xlfn.XLOOKUP($B355, Result_Database!$A$2:$A$500, Result_Database!O$2:O$500),
  _xlfn.IFNA(_xlpm.result, "")
)</f>
        <v/>
      </c>
      <c r="Q355" t="str">
        <f>_xlfn.LET(
  _xlpm.result, _xlfn.XLOOKUP($B355, Result_Database!$A$2:$A$500, Result_Database!P$2:P$500),
  _xlfn.IFNA(_xlpm.result, "")
)</f>
        <v/>
      </c>
      <c r="R355" t="str">
        <f>_xlfn.LET(
  _xlpm.result, _xlfn.XLOOKUP($B355, Result_Database!$A$2:$A$500, Result_Database!Q$2:Q$500),
  _xlfn.IFNA(_xlpm.result, "")
)</f>
        <v/>
      </c>
      <c r="S355" t="str">
        <f>_xlfn.LET(
  _xlpm.result, _xlfn.XLOOKUP($B355, Result_Database!$A$2:$A$500, Result_Database!R$2:R$500),
  _xlfn.IFNA(_xlpm.result, "")
)</f>
        <v/>
      </c>
      <c r="T355" t="str">
        <f>_xlfn.LET(
  _xlpm.result, _xlfn.XLOOKUP($B355, Result_Database!$A$2:$A$500, Result_Database!S$2:S$500),
  _xlfn.IFNA(_xlpm.result, "")
)</f>
        <v/>
      </c>
      <c r="U355" t="str">
        <f>_xlfn.LET(
  _xlpm.result, _xlfn.XLOOKUP($B355, Result_Database!$A$2:$A$500, Result_Database!T$2:T$500),
  _xlfn.IFNA(_xlpm.result, "")
)</f>
        <v/>
      </c>
      <c r="V355" t="str">
        <f>_xlfn.LET(
  _xlpm.result, _xlfn.XLOOKUP($B355, Result_Database!$A$2:$A$500, Result_Database!U$2:U$500),
  _xlfn.IFNA(_xlpm.result, "")
)</f>
        <v/>
      </c>
      <c r="W355" t="str">
        <f>_xlfn.LET(
  _xlpm.result, _xlfn.XLOOKUP($B355, Result_Database!$A$2:$A$500, Result_Database!V$2:V$500),
  _xlfn.IFNA(_xlpm.result, "")
)</f>
        <v/>
      </c>
      <c r="X355" t="str">
        <f>_xlfn.LET(
  _xlpm.result, _xlfn.XLOOKUP($B355, Result_Database!$A$2:$A$500, Result_Database!W$2:W$500),
  _xlfn.IFNA(_xlpm.result, "")
)</f>
        <v/>
      </c>
      <c r="Y355" t="str">
        <f>_xlfn.LET(
  _xlpm.result, _xlfn.XLOOKUP($B355, Result_Database!$A$2:$A$500, Result_Database!X$2:X$500),
  _xlfn.IFNA(_xlpm.result, "")
)</f>
        <v/>
      </c>
      <c r="Z355" t="str">
        <f>_xlfn.LET(
  _xlpm.result, _xlfn.XLOOKUP($B355, Result_Database!$A$2:$A$500, Result_Database!Y$2:Y$500),
  _xlfn.IFNA(_xlpm.result, "")
)</f>
        <v/>
      </c>
      <c r="AA355" t="str">
        <f>_xlfn.LET(
  _xlpm.result, _xlfn.XLOOKUP($B355, Result_Database!$A$2:$A$500, Result_Database!Z$2:Z$500),
  _xlfn.IFNA(_xlpm.result, "")
)</f>
        <v/>
      </c>
      <c r="AB355" t="str">
        <f>_xlfn.LET(
  _xlpm.result, _xlfn.XLOOKUP($B355, Result_Database!$A$2:$A$500, Result_Database!AA$2:AA$500),
  _xlfn.IFNA(_xlpm.result, "")
)</f>
        <v/>
      </c>
      <c r="AC355" t="str">
        <f>_xlfn.LET(
  _xlpm.result, _xlfn.XLOOKUP($B355, Result_Database!$A$2:$A$500, Result_Database!AB$2:AB$500),
  _xlfn.IFNA(_xlpm.result, "")
)</f>
        <v/>
      </c>
      <c r="AD355" t="str">
        <f>_xlfn.LET(
  _xlpm.result, _xlfn.XLOOKUP($B355, Result_Database!$A$2:$A$500, Result_Database!AC$2:AC$500),
  _xlfn.IFNA(_xlpm.result, "")
)</f>
        <v/>
      </c>
      <c r="AE355" t="str">
        <f>_xlfn.LET(
  _xlpm.result, _xlfn.XLOOKUP($B355, Result_Database!$A$2:$A$500, Result_Database!AD$2:AD$500),
  _xlfn.IFNA(_xlpm.result, "")
)</f>
        <v/>
      </c>
      <c r="AF355" t="str">
        <f>_xlfn.LET(
  _xlpm.result, _xlfn.XLOOKUP($B355, Result_Database!$A$2:$A$500, Result_Database!AE$2:AE$500),
  _xlfn.IFNA(_xlpm.result, "")
)</f>
        <v/>
      </c>
      <c r="AG355" t="str">
        <f>_xlfn.LET(
  _xlpm.result, _xlfn.XLOOKUP($B355, Result_Database!$A$2:$A$500, Result_Database!AF$2:AF$500),
  _xlfn.IFNA(_xlpm.result, "")
)</f>
        <v/>
      </c>
      <c r="AH355" t="str">
        <f>_xlfn.LET(
  _xlpm.result, _xlfn.XLOOKUP($B355, Result_Database!$A$2:$A$500, Result_Database!AG$2:AG$500),
  _xlfn.IFNA(_xlpm.result, "")
)</f>
        <v/>
      </c>
      <c r="AI355" t="str">
        <f>_xlfn.LET(
  _xlpm.result, _xlfn.XLOOKUP($B355, Result_Database!$A$2:$A$500, Result_Database!AH$2:AH$500),
  _xlfn.IFNA(_xlpm.result, "")
)</f>
        <v/>
      </c>
      <c r="AJ355" t="str">
        <f>_xlfn.LET(
  _xlpm.result, _xlfn.XLOOKUP($B355, Result_Database!$A$2:$A$500, Result_Database!AI$2:AI$500),
  _xlfn.IFNA(_xlpm.result, "")
)</f>
        <v/>
      </c>
      <c r="AK355" t="str">
        <f>_xlfn.LET(
  _xlpm.result, _xlfn.XLOOKUP($B355, Result_Database!$A$2:$A$500, Result_Database!AJ$2:AJ$500),
  _xlfn.IFNA(_xlpm.result, "")
)</f>
        <v/>
      </c>
      <c r="AL355" t="str">
        <f>_xlfn.LET(
  _xlpm.result, _xlfn.XLOOKUP($B355, Result_Database!$A$2:$A$500, Result_Database!AK$2:AK$500),
  _xlfn.IFNA(_xlpm.result, "")
)</f>
        <v/>
      </c>
      <c r="AM35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5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5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5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5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5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5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5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5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55" t="str">
        <f>IF(SUM(Table5[[#This Row],[A1]:[C6]])&lt;&gt;0,SUM(Table5[[#This Row],[A1]:[C6]]),"")</f>
        <v/>
      </c>
      <c r="AW355" t="str">
        <f>IF(SUM(Table5[[#This Row],[D7]:[F9]])=0,"",SUM(Table5[[#This Row],[D7]:[F9]]))</f>
        <v/>
      </c>
      <c r="AX35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5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5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5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5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5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55" t="str">
        <f>IF(COUNTIF(Table5[[#This Row],[English Language]:[Electrical/ Electronics]],"WITHHELD")=0,"",COUNTIF(Table5[[#This Row],[English Language]:[Electrical/ Electronics]],"WITHHELD"))</f>
        <v/>
      </c>
      <c r="BE355" t="str">
        <f>IF(SUM(Table5[[#This Row],[NO OF CREDITS]:[BELOW CREDITS]])=0,"",SUM(Table5[[#This Row],[NO OF CREDITS]:[BELOW CREDITS]]))</f>
        <v/>
      </c>
    </row>
    <row r="356" spans="1:57" x14ac:dyDescent="0.3">
      <c r="A356" t="str">
        <f>IF(B356&lt;&gt;"",COUNTA($B$6:B356),"")</f>
        <v/>
      </c>
      <c r="B356" t="str">
        <f>IF(Result_Database!A352="","",Result_Database!A352)</f>
        <v/>
      </c>
      <c r="C356" t="str">
        <f>_xlfn.LET(
_xlpm.result,_xlfn.XLOOKUP($B356,Result_Database!$A$2:$A$500,Result_Database!$B$2:$B$500),
_xlfn.IFNA(_xlpm.result,"")
)</f>
        <v/>
      </c>
      <c r="D356" t="str">
        <f>_xlfn.LET(
  _xlpm.result, _xlfn.XLOOKUP($B356, Result_Database!$A$2:$A$500, Result_Database!C$2:C$500),
  _xlfn.IFNA(_xlpm.result, "")
)</f>
        <v/>
      </c>
      <c r="E356" t="str">
        <f>_xlfn.LET(
  _xlpm.result, _xlfn.XLOOKUP($B356, Result_Database!$A$2:$A$500, Result_Database!D$2:D$500),
  _xlfn.IFNA(_xlpm.result, "")
)</f>
        <v/>
      </c>
      <c r="F356" t="str">
        <f>_xlfn.LET(
  _xlpm.result, _xlfn.XLOOKUP($B356, Result_Database!$A$2:$A$500, Result_Database!E$2:E$500),
  _xlfn.IFNA(_xlpm.result, "")
)</f>
        <v/>
      </c>
      <c r="G356" t="str">
        <f>_xlfn.LET(
  _xlpm.result, _xlfn.XLOOKUP($B356, Result_Database!$A$2:$A$500, Result_Database!F$2:F$500),
  _xlfn.IFNA(_xlpm.result, "")
)</f>
        <v/>
      </c>
      <c r="H356" t="str">
        <f>_xlfn.LET(
  _xlpm.result, _xlfn.XLOOKUP($B356, Result_Database!$A$2:$A$500, Result_Database!G$2:G$500),
  _xlfn.IFNA(_xlpm.result, "")
)</f>
        <v/>
      </c>
      <c r="I356" t="str">
        <f>_xlfn.LET(
  _xlpm.result, _xlfn.XLOOKUP($B356, Result_Database!$A$2:$A$500, Result_Database!H$2:H$500),
  _xlfn.IFNA(_xlpm.result, "")
)</f>
        <v/>
      </c>
      <c r="J356" t="str">
        <f>_xlfn.LET(
  _xlpm.result, _xlfn.XLOOKUP($B356, Result_Database!$A$2:$A$500, Result_Database!I$2:I$500),
  _xlfn.IFNA(_xlpm.result, "")
)</f>
        <v/>
      </c>
      <c r="K356" t="str">
        <f>_xlfn.LET(
  _xlpm.result, _xlfn.XLOOKUP($B356, Result_Database!$A$2:$A$500, Result_Database!J$2:J$500),
  _xlfn.IFNA(_xlpm.result, "")
)</f>
        <v/>
      </c>
      <c r="L356" t="str">
        <f>_xlfn.LET(
  _xlpm.result, _xlfn.XLOOKUP($B356, Result_Database!$A$2:$A$500, Result_Database!K$2:K$500),
  _xlfn.IFNA(_xlpm.result, "")
)</f>
        <v/>
      </c>
      <c r="M356" t="str">
        <f>_xlfn.LET(
  _xlpm.result, _xlfn.XLOOKUP($B356, Result_Database!$A$2:$A$500, Result_Database!L$2:L$500),
  _xlfn.IFNA(_xlpm.result, "")
)</f>
        <v/>
      </c>
      <c r="N356" t="str">
        <f>_xlfn.LET(
  _xlpm.result, _xlfn.XLOOKUP($B356, Result_Database!$A$2:$A$500, Result_Database!M$2:M$500),
  _xlfn.IFNA(_xlpm.result, "")
)</f>
        <v/>
      </c>
      <c r="O356" t="str">
        <f>_xlfn.LET(
  _xlpm.result, _xlfn.XLOOKUP($B356, Result_Database!$A$2:$A$500, Result_Database!N$2:N$500),
  _xlfn.IFNA(_xlpm.result, "")
)</f>
        <v/>
      </c>
      <c r="P356" t="str">
        <f>_xlfn.LET(
  _xlpm.result, _xlfn.XLOOKUP($B356, Result_Database!$A$2:$A$500, Result_Database!O$2:O$500),
  _xlfn.IFNA(_xlpm.result, "")
)</f>
        <v/>
      </c>
      <c r="Q356" t="str">
        <f>_xlfn.LET(
  _xlpm.result, _xlfn.XLOOKUP($B356, Result_Database!$A$2:$A$500, Result_Database!P$2:P$500),
  _xlfn.IFNA(_xlpm.result, "")
)</f>
        <v/>
      </c>
      <c r="R356" t="str">
        <f>_xlfn.LET(
  _xlpm.result, _xlfn.XLOOKUP($B356, Result_Database!$A$2:$A$500, Result_Database!Q$2:Q$500),
  _xlfn.IFNA(_xlpm.result, "")
)</f>
        <v/>
      </c>
      <c r="S356" t="str">
        <f>_xlfn.LET(
  _xlpm.result, _xlfn.XLOOKUP($B356, Result_Database!$A$2:$A$500, Result_Database!R$2:R$500),
  _xlfn.IFNA(_xlpm.result, "")
)</f>
        <v/>
      </c>
      <c r="T356" t="str">
        <f>_xlfn.LET(
  _xlpm.result, _xlfn.XLOOKUP($B356, Result_Database!$A$2:$A$500, Result_Database!S$2:S$500),
  _xlfn.IFNA(_xlpm.result, "")
)</f>
        <v/>
      </c>
      <c r="U356" t="str">
        <f>_xlfn.LET(
  _xlpm.result, _xlfn.XLOOKUP($B356, Result_Database!$A$2:$A$500, Result_Database!T$2:T$500),
  _xlfn.IFNA(_xlpm.result, "")
)</f>
        <v/>
      </c>
      <c r="V356" t="str">
        <f>_xlfn.LET(
  _xlpm.result, _xlfn.XLOOKUP($B356, Result_Database!$A$2:$A$500, Result_Database!U$2:U$500),
  _xlfn.IFNA(_xlpm.result, "")
)</f>
        <v/>
      </c>
      <c r="W356" t="str">
        <f>_xlfn.LET(
  _xlpm.result, _xlfn.XLOOKUP($B356, Result_Database!$A$2:$A$500, Result_Database!V$2:V$500),
  _xlfn.IFNA(_xlpm.result, "")
)</f>
        <v/>
      </c>
      <c r="X356" t="str">
        <f>_xlfn.LET(
  _xlpm.result, _xlfn.XLOOKUP($B356, Result_Database!$A$2:$A$500, Result_Database!W$2:W$500),
  _xlfn.IFNA(_xlpm.result, "")
)</f>
        <v/>
      </c>
      <c r="Y356" t="str">
        <f>_xlfn.LET(
  _xlpm.result, _xlfn.XLOOKUP($B356, Result_Database!$A$2:$A$500, Result_Database!X$2:X$500),
  _xlfn.IFNA(_xlpm.result, "")
)</f>
        <v/>
      </c>
      <c r="Z356" t="str">
        <f>_xlfn.LET(
  _xlpm.result, _xlfn.XLOOKUP($B356, Result_Database!$A$2:$A$500, Result_Database!Y$2:Y$500),
  _xlfn.IFNA(_xlpm.result, "")
)</f>
        <v/>
      </c>
      <c r="AA356" t="str">
        <f>_xlfn.LET(
  _xlpm.result, _xlfn.XLOOKUP($B356, Result_Database!$A$2:$A$500, Result_Database!Z$2:Z$500),
  _xlfn.IFNA(_xlpm.result, "")
)</f>
        <v/>
      </c>
      <c r="AB356" t="str">
        <f>_xlfn.LET(
  _xlpm.result, _xlfn.XLOOKUP($B356, Result_Database!$A$2:$A$500, Result_Database!AA$2:AA$500),
  _xlfn.IFNA(_xlpm.result, "")
)</f>
        <v/>
      </c>
      <c r="AC356" t="str">
        <f>_xlfn.LET(
  _xlpm.result, _xlfn.XLOOKUP($B356, Result_Database!$A$2:$A$500, Result_Database!AB$2:AB$500),
  _xlfn.IFNA(_xlpm.result, "")
)</f>
        <v/>
      </c>
      <c r="AD356" t="str">
        <f>_xlfn.LET(
  _xlpm.result, _xlfn.XLOOKUP($B356, Result_Database!$A$2:$A$500, Result_Database!AC$2:AC$500),
  _xlfn.IFNA(_xlpm.result, "")
)</f>
        <v/>
      </c>
      <c r="AE356" t="str">
        <f>_xlfn.LET(
  _xlpm.result, _xlfn.XLOOKUP($B356, Result_Database!$A$2:$A$500, Result_Database!AD$2:AD$500),
  _xlfn.IFNA(_xlpm.result, "")
)</f>
        <v/>
      </c>
      <c r="AF356" t="str">
        <f>_xlfn.LET(
  _xlpm.result, _xlfn.XLOOKUP($B356, Result_Database!$A$2:$A$500, Result_Database!AE$2:AE$500),
  _xlfn.IFNA(_xlpm.result, "")
)</f>
        <v/>
      </c>
      <c r="AG356" t="str">
        <f>_xlfn.LET(
  _xlpm.result, _xlfn.XLOOKUP($B356, Result_Database!$A$2:$A$500, Result_Database!AF$2:AF$500),
  _xlfn.IFNA(_xlpm.result, "")
)</f>
        <v/>
      </c>
      <c r="AH356" t="str">
        <f>_xlfn.LET(
  _xlpm.result, _xlfn.XLOOKUP($B356, Result_Database!$A$2:$A$500, Result_Database!AG$2:AG$500),
  _xlfn.IFNA(_xlpm.result, "")
)</f>
        <v/>
      </c>
      <c r="AI356" t="str">
        <f>_xlfn.LET(
  _xlpm.result, _xlfn.XLOOKUP($B356, Result_Database!$A$2:$A$500, Result_Database!AH$2:AH$500),
  _xlfn.IFNA(_xlpm.result, "")
)</f>
        <v/>
      </c>
      <c r="AJ356" t="str">
        <f>_xlfn.LET(
  _xlpm.result, _xlfn.XLOOKUP($B356, Result_Database!$A$2:$A$500, Result_Database!AI$2:AI$500),
  _xlfn.IFNA(_xlpm.result, "")
)</f>
        <v/>
      </c>
      <c r="AK356" t="str">
        <f>_xlfn.LET(
  _xlpm.result, _xlfn.XLOOKUP($B356, Result_Database!$A$2:$A$500, Result_Database!AJ$2:AJ$500),
  _xlfn.IFNA(_xlpm.result, "")
)</f>
        <v/>
      </c>
      <c r="AL356" t="str">
        <f>_xlfn.LET(
  _xlpm.result, _xlfn.XLOOKUP($B356, Result_Database!$A$2:$A$500, Result_Database!AK$2:AK$500),
  _xlfn.IFNA(_xlpm.result, "")
)</f>
        <v/>
      </c>
      <c r="AM35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5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5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5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5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5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5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5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5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56" t="str">
        <f>IF(SUM(Table5[[#This Row],[A1]:[C6]])&lt;&gt;0,SUM(Table5[[#This Row],[A1]:[C6]]),"")</f>
        <v/>
      </c>
      <c r="AW356" t="str">
        <f>IF(SUM(Table5[[#This Row],[D7]:[F9]])=0,"",SUM(Table5[[#This Row],[D7]:[F9]]))</f>
        <v/>
      </c>
      <c r="AX35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5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5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5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5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5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56" t="str">
        <f>IF(COUNTIF(Table5[[#This Row],[English Language]:[Electrical/ Electronics]],"WITHHELD")=0,"",COUNTIF(Table5[[#This Row],[English Language]:[Electrical/ Electronics]],"WITHHELD"))</f>
        <v/>
      </c>
      <c r="BE356" t="str">
        <f>IF(SUM(Table5[[#This Row],[NO OF CREDITS]:[BELOW CREDITS]])=0,"",SUM(Table5[[#This Row],[NO OF CREDITS]:[BELOW CREDITS]]))</f>
        <v/>
      </c>
    </row>
    <row r="357" spans="1:57" x14ac:dyDescent="0.3">
      <c r="A357" t="str">
        <f>IF(B357&lt;&gt;"",COUNTA($B$6:B357),"")</f>
        <v/>
      </c>
      <c r="B357" t="str">
        <f>IF(Result_Database!A353="","",Result_Database!A353)</f>
        <v/>
      </c>
      <c r="C357" t="str">
        <f>_xlfn.LET(
_xlpm.result,_xlfn.XLOOKUP($B357,Result_Database!$A$2:$A$500,Result_Database!$B$2:$B$500),
_xlfn.IFNA(_xlpm.result,"")
)</f>
        <v/>
      </c>
      <c r="D357" t="str">
        <f>_xlfn.LET(
  _xlpm.result, _xlfn.XLOOKUP($B357, Result_Database!$A$2:$A$500, Result_Database!C$2:C$500),
  _xlfn.IFNA(_xlpm.result, "")
)</f>
        <v/>
      </c>
      <c r="E357" t="str">
        <f>_xlfn.LET(
  _xlpm.result, _xlfn.XLOOKUP($B357, Result_Database!$A$2:$A$500, Result_Database!D$2:D$500),
  _xlfn.IFNA(_xlpm.result, "")
)</f>
        <v/>
      </c>
      <c r="F357" t="str">
        <f>_xlfn.LET(
  _xlpm.result, _xlfn.XLOOKUP($B357, Result_Database!$A$2:$A$500, Result_Database!E$2:E$500),
  _xlfn.IFNA(_xlpm.result, "")
)</f>
        <v/>
      </c>
      <c r="G357" t="str">
        <f>_xlfn.LET(
  _xlpm.result, _xlfn.XLOOKUP($B357, Result_Database!$A$2:$A$500, Result_Database!F$2:F$500),
  _xlfn.IFNA(_xlpm.result, "")
)</f>
        <v/>
      </c>
      <c r="H357" t="str">
        <f>_xlfn.LET(
  _xlpm.result, _xlfn.XLOOKUP($B357, Result_Database!$A$2:$A$500, Result_Database!G$2:G$500),
  _xlfn.IFNA(_xlpm.result, "")
)</f>
        <v/>
      </c>
      <c r="I357" t="str">
        <f>_xlfn.LET(
  _xlpm.result, _xlfn.XLOOKUP($B357, Result_Database!$A$2:$A$500, Result_Database!H$2:H$500),
  _xlfn.IFNA(_xlpm.result, "")
)</f>
        <v/>
      </c>
      <c r="J357" t="str">
        <f>_xlfn.LET(
  _xlpm.result, _xlfn.XLOOKUP($B357, Result_Database!$A$2:$A$500, Result_Database!I$2:I$500),
  _xlfn.IFNA(_xlpm.result, "")
)</f>
        <v/>
      </c>
      <c r="K357" t="str">
        <f>_xlfn.LET(
  _xlpm.result, _xlfn.XLOOKUP($B357, Result_Database!$A$2:$A$500, Result_Database!J$2:J$500),
  _xlfn.IFNA(_xlpm.result, "")
)</f>
        <v/>
      </c>
      <c r="L357" t="str">
        <f>_xlfn.LET(
  _xlpm.result, _xlfn.XLOOKUP($B357, Result_Database!$A$2:$A$500, Result_Database!K$2:K$500),
  _xlfn.IFNA(_xlpm.result, "")
)</f>
        <v/>
      </c>
      <c r="M357" t="str">
        <f>_xlfn.LET(
  _xlpm.result, _xlfn.XLOOKUP($B357, Result_Database!$A$2:$A$500, Result_Database!L$2:L$500),
  _xlfn.IFNA(_xlpm.result, "")
)</f>
        <v/>
      </c>
      <c r="N357" t="str">
        <f>_xlfn.LET(
  _xlpm.result, _xlfn.XLOOKUP($B357, Result_Database!$A$2:$A$500, Result_Database!M$2:M$500),
  _xlfn.IFNA(_xlpm.result, "")
)</f>
        <v/>
      </c>
      <c r="O357" t="str">
        <f>_xlfn.LET(
  _xlpm.result, _xlfn.XLOOKUP($B357, Result_Database!$A$2:$A$500, Result_Database!N$2:N$500),
  _xlfn.IFNA(_xlpm.result, "")
)</f>
        <v/>
      </c>
      <c r="P357" t="str">
        <f>_xlfn.LET(
  _xlpm.result, _xlfn.XLOOKUP($B357, Result_Database!$A$2:$A$500, Result_Database!O$2:O$500),
  _xlfn.IFNA(_xlpm.result, "")
)</f>
        <v/>
      </c>
      <c r="Q357" t="str">
        <f>_xlfn.LET(
  _xlpm.result, _xlfn.XLOOKUP($B357, Result_Database!$A$2:$A$500, Result_Database!P$2:P$500),
  _xlfn.IFNA(_xlpm.result, "")
)</f>
        <v/>
      </c>
      <c r="R357" t="str">
        <f>_xlfn.LET(
  _xlpm.result, _xlfn.XLOOKUP($B357, Result_Database!$A$2:$A$500, Result_Database!Q$2:Q$500),
  _xlfn.IFNA(_xlpm.result, "")
)</f>
        <v/>
      </c>
      <c r="S357" t="str">
        <f>_xlfn.LET(
  _xlpm.result, _xlfn.XLOOKUP($B357, Result_Database!$A$2:$A$500, Result_Database!R$2:R$500),
  _xlfn.IFNA(_xlpm.result, "")
)</f>
        <v/>
      </c>
      <c r="T357" t="str">
        <f>_xlfn.LET(
  _xlpm.result, _xlfn.XLOOKUP($B357, Result_Database!$A$2:$A$500, Result_Database!S$2:S$500),
  _xlfn.IFNA(_xlpm.result, "")
)</f>
        <v/>
      </c>
      <c r="U357" t="str">
        <f>_xlfn.LET(
  _xlpm.result, _xlfn.XLOOKUP($B357, Result_Database!$A$2:$A$500, Result_Database!T$2:T$500),
  _xlfn.IFNA(_xlpm.result, "")
)</f>
        <v/>
      </c>
      <c r="V357" t="str">
        <f>_xlfn.LET(
  _xlpm.result, _xlfn.XLOOKUP($B357, Result_Database!$A$2:$A$500, Result_Database!U$2:U$500),
  _xlfn.IFNA(_xlpm.result, "")
)</f>
        <v/>
      </c>
      <c r="W357" t="str">
        <f>_xlfn.LET(
  _xlpm.result, _xlfn.XLOOKUP($B357, Result_Database!$A$2:$A$500, Result_Database!V$2:V$500),
  _xlfn.IFNA(_xlpm.result, "")
)</f>
        <v/>
      </c>
      <c r="X357" t="str">
        <f>_xlfn.LET(
  _xlpm.result, _xlfn.XLOOKUP($B357, Result_Database!$A$2:$A$500, Result_Database!W$2:W$500),
  _xlfn.IFNA(_xlpm.result, "")
)</f>
        <v/>
      </c>
      <c r="Y357" t="str">
        <f>_xlfn.LET(
  _xlpm.result, _xlfn.XLOOKUP($B357, Result_Database!$A$2:$A$500, Result_Database!X$2:X$500),
  _xlfn.IFNA(_xlpm.result, "")
)</f>
        <v/>
      </c>
      <c r="Z357" t="str">
        <f>_xlfn.LET(
  _xlpm.result, _xlfn.XLOOKUP($B357, Result_Database!$A$2:$A$500, Result_Database!Y$2:Y$500),
  _xlfn.IFNA(_xlpm.result, "")
)</f>
        <v/>
      </c>
      <c r="AA357" t="str">
        <f>_xlfn.LET(
  _xlpm.result, _xlfn.XLOOKUP($B357, Result_Database!$A$2:$A$500, Result_Database!Z$2:Z$500),
  _xlfn.IFNA(_xlpm.result, "")
)</f>
        <v/>
      </c>
      <c r="AB357" t="str">
        <f>_xlfn.LET(
  _xlpm.result, _xlfn.XLOOKUP($B357, Result_Database!$A$2:$A$500, Result_Database!AA$2:AA$500),
  _xlfn.IFNA(_xlpm.result, "")
)</f>
        <v/>
      </c>
      <c r="AC357" t="str">
        <f>_xlfn.LET(
  _xlpm.result, _xlfn.XLOOKUP($B357, Result_Database!$A$2:$A$500, Result_Database!AB$2:AB$500),
  _xlfn.IFNA(_xlpm.result, "")
)</f>
        <v/>
      </c>
      <c r="AD357" t="str">
        <f>_xlfn.LET(
  _xlpm.result, _xlfn.XLOOKUP($B357, Result_Database!$A$2:$A$500, Result_Database!AC$2:AC$500),
  _xlfn.IFNA(_xlpm.result, "")
)</f>
        <v/>
      </c>
      <c r="AE357" t="str">
        <f>_xlfn.LET(
  _xlpm.result, _xlfn.XLOOKUP($B357, Result_Database!$A$2:$A$500, Result_Database!AD$2:AD$500),
  _xlfn.IFNA(_xlpm.result, "")
)</f>
        <v/>
      </c>
      <c r="AF357" t="str">
        <f>_xlfn.LET(
  _xlpm.result, _xlfn.XLOOKUP($B357, Result_Database!$A$2:$A$500, Result_Database!AE$2:AE$500),
  _xlfn.IFNA(_xlpm.result, "")
)</f>
        <v/>
      </c>
      <c r="AG357" t="str">
        <f>_xlfn.LET(
  _xlpm.result, _xlfn.XLOOKUP($B357, Result_Database!$A$2:$A$500, Result_Database!AF$2:AF$500),
  _xlfn.IFNA(_xlpm.result, "")
)</f>
        <v/>
      </c>
      <c r="AH357" t="str">
        <f>_xlfn.LET(
  _xlpm.result, _xlfn.XLOOKUP($B357, Result_Database!$A$2:$A$500, Result_Database!AG$2:AG$500),
  _xlfn.IFNA(_xlpm.result, "")
)</f>
        <v/>
      </c>
      <c r="AI357" t="str">
        <f>_xlfn.LET(
  _xlpm.result, _xlfn.XLOOKUP($B357, Result_Database!$A$2:$A$500, Result_Database!AH$2:AH$500),
  _xlfn.IFNA(_xlpm.result, "")
)</f>
        <v/>
      </c>
      <c r="AJ357" t="str">
        <f>_xlfn.LET(
  _xlpm.result, _xlfn.XLOOKUP($B357, Result_Database!$A$2:$A$500, Result_Database!AI$2:AI$500),
  _xlfn.IFNA(_xlpm.result, "")
)</f>
        <v/>
      </c>
      <c r="AK357" t="str">
        <f>_xlfn.LET(
  _xlpm.result, _xlfn.XLOOKUP($B357, Result_Database!$A$2:$A$500, Result_Database!AJ$2:AJ$500),
  _xlfn.IFNA(_xlpm.result, "")
)</f>
        <v/>
      </c>
      <c r="AL357" t="str">
        <f>_xlfn.LET(
  _xlpm.result, _xlfn.XLOOKUP($B357, Result_Database!$A$2:$A$500, Result_Database!AK$2:AK$500),
  _xlfn.IFNA(_xlpm.result, "")
)</f>
        <v/>
      </c>
      <c r="AM35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5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5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5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5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5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5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5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5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57" t="str">
        <f>IF(SUM(Table5[[#This Row],[A1]:[C6]])&lt;&gt;0,SUM(Table5[[#This Row],[A1]:[C6]]),"")</f>
        <v/>
      </c>
      <c r="AW357" t="str">
        <f>IF(SUM(Table5[[#This Row],[D7]:[F9]])=0,"",SUM(Table5[[#This Row],[D7]:[F9]]))</f>
        <v/>
      </c>
      <c r="AX35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5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5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5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5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5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57" t="str">
        <f>IF(COUNTIF(Table5[[#This Row],[English Language]:[Electrical/ Electronics]],"WITHHELD")=0,"",COUNTIF(Table5[[#This Row],[English Language]:[Electrical/ Electronics]],"WITHHELD"))</f>
        <v/>
      </c>
      <c r="BE357" t="str">
        <f>IF(SUM(Table5[[#This Row],[NO OF CREDITS]:[BELOW CREDITS]])=0,"",SUM(Table5[[#This Row],[NO OF CREDITS]:[BELOW CREDITS]]))</f>
        <v/>
      </c>
    </row>
    <row r="358" spans="1:57" x14ac:dyDescent="0.3">
      <c r="A358" t="str">
        <f>IF(B358&lt;&gt;"",COUNTA($B$6:B358),"")</f>
        <v/>
      </c>
      <c r="B358" t="str">
        <f>IF(Result_Database!A354="","",Result_Database!A354)</f>
        <v/>
      </c>
      <c r="C358" t="str">
        <f>_xlfn.LET(
_xlpm.result,_xlfn.XLOOKUP($B358,Result_Database!$A$2:$A$500,Result_Database!$B$2:$B$500),
_xlfn.IFNA(_xlpm.result,"")
)</f>
        <v/>
      </c>
      <c r="D358" t="str">
        <f>_xlfn.LET(
  _xlpm.result, _xlfn.XLOOKUP($B358, Result_Database!$A$2:$A$500, Result_Database!C$2:C$500),
  _xlfn.IFNA(_xlpm.result, "")
)</f>
        <v/>
      </c>
      <c r="E358" t="str">
        <f>_xlfn.LET(
  _xlpm.result, _xlfn.XLOOKUP($B358, Result_Database!$A$2:$A$500, Result_Database!D$2:D$500),
  _xlfn.IFNA(_xlpm.result, "")
)</f>
        <v/>
      </c>
      <c r="F358" t="str">
        <f>_xlfn.LET(
  _xlpm.result, _xlfn.XLOOKUP($B358, Result_Database!$A$2:$A$500, Result_Database!E$2:E$500),
  _xlfn.IFNA(_xlpm.result, "")
)</f>
        <v/>
      </c>
      <c r="G358" t="str">
        <f>_xlfn.LET(
  _xlpm.result, _xlfn.XLOOKUP($B358, Result_Database!$A$2:$A$500, Result_Database!F$2:F$500),
  _xlfn.IFNA(_xlpm.result, "")
)</f>
        <v/>
      </c>
      <c r="H358" t="str">
        <f>_xlfn.LET(
  _xlpm.result, _xlfn.XLOOKUP($B358, Result_Database!$A$2:$A$500, Result_Database!G$2:G$500),
  _xlfn.IFNA(_xlpm.result, "")
)</f>
        <v/>
      </c>
      <c r="I358" t="str">
        <f>_xlfn.LET(
  _xlpm.result, _xlfn.XLOOKUP($B358, Result_Database!$A$2:$A$500, Result_Database!H$2:H$500),
  _xlfn.IFNA(_xlpm.result, "")
)</f>
        <v/>
      </c>
      <c r="J358" t="str">
        <f>_xlfn.LET(
  _xlpm.result, _xlfn.XLOOKUP($B358, Result_Database!$A$2:$A$500, Result_Database!I$2:I$500),
  _xlfn.IFNA(_xlpm.result, "")
)</f>
        <v/>
      </c>
      <c r="K358" t="str">
        <f>_xlfn.LET(
  _xlpm.result, _xlfn.XLOOKUP($B358, Result_Database!$A$2:$A$500, Result_Database!J$2:J$500),
  _xlfn.IFNA(_xlpm.result, "")
)</f>
        <v/>
      </c>
      <c r="L358" t="str">
        <f>_xlfn.LET(
  _xlpm.result, _xlfn.XLOOKUP($B358, Result_Database!$A$2:$A$500, Result_Database!K$2:K$500),
  _xlfn.IFNA(_xlpm.result, "")
)</f>
        <v/>
      </c>
      <c r="M358" t="str">
        <f>_xlfn.LET(
  _xlpm.result, _xlfn.XLOOKUP($B358, Result_Database!$A$2:$A$500, Result_Database!L$2:L$500),
  _xlfn.IFNA(_xlpm.result, "")
)</f>
        <v/>
      </c>
      <c r="N358" t="str">
        <f>_xlfn.LET(
  _xlpm.result, _xlfn.XLOOKUP($B358, Result_Database!$A$2:$A$500, Result_Database!M$2:M$500),
  _xlfn.IFNA(_xlpm.result, "")
)</f>
        <v/>
      </c>
      <c r="O358" t="str">
        <f>_xlfn.LET(
  _xlpm.result, _xlfn.XLOOKUP($B358, Result_Database!$A$2:$A$500, Result_Database!N$2:N$500),
  _xlfn.IFNA(_xlpm.result, "")
)</f>
        <v/>
      </c>
      <c r="P358" t="str">
        <f>_xlfn.LET(
  _xlpm.result, _xlfn.XLOOKUP($B358, Result_Database!$A$2:$A$500, Result_Database!O$2:O$500),
  _xlfn.IFNA(_xlpm.result, "")
)</f>
        <v/>
      </c>
      <c r="Q358" t="str">
        <f>_xlfn.LET(
  _xlpm.result, _xlfn.XLOOKUP($B358, Result_Database!$A$2:$A$500, Result_Database!P$2:P$500),
  _xlfn.IFNA(_xlpm.result, "")
)</f>
        <v/>
      </c>
      <c r="R358" t="str">
        <f>_xlfn.LET(
  _xlpm.result, _xlfn.XLOOKUP($B358, Result_Database!$A$2:$A$500, Result_Database!Q$2:Q$500),
  _xlfn.IFNA(_xlpm.result, "")
)</f>
        <v/>
      </c>
      <c r="S358" t="str">
        <f>_xlfn.LET(
  _xlpm.result, _xlfn.XLOOKUP($B358, Result_Database!$A$2:$A$500, Result_Database!R$2:R$500),
  _xlfn.IFNA(_xlpm.result, "")
)</f>
        <v/>
      </c>
      <c r="T358" t="str">
        <f>_xlfn.LET(
  _xlpm.result, _xlfn.XLOOKUP($B358, Result_Database!$A$2:$A$500, Result_Database!S$2:S$500),
  _xlfn.IFNA(_xlpm.result, "")
)</f>
        <v/>
      </c>
      <c r="U358" t="str">
        <f>_xlfn.LET(
  _xlpm.result, _xlfn.XLOOKUP($B358, Result_Database!$A$2:$A$500, Result_Database!T$2:T$500),
  _xlfn.IFNA(_xlpm.result, "")
)</f>
        <v/>
      </c>
      <c r="V358" t="str">
        <f>_xlfn.LET(
  _xlpm.result, _xlfn.XLOOKUP($B358, Result_Database!$A$2:$A$500, Result_Database!U$2:U$500),
  _xlfn.IFNA(_xlpm.result, "")
)</f>
        <v/>
      </c>
      <c r="W358" t="str">
        <f>_xlfn.LET(
  _xlpm.result, _xlfn.XLOOKUP($B358, Result_Database!$A$2:$A$500, Result_Database!V$2:V$500),
  _xlfn.IFNA(_xlpm.result, "")
)</f>
        <v/>
      </c>
      <c r="X358" t="str">
        <f>_xlfn.LET(
  _xlpm.result, _xlfn.XLOOKUP($B358, Result_Database!$A$2:$A$500, Result_Database!W$2:W$500),
  _xlfn.IFNA(_xlpm.result, "")
)</f>
        <v/>
      </c>
      <c r="Y358" t="str">
        <f>_xlfn.LET(
  _xlpm.result, _xlfn.XLOOKUP($B358, Result_Database!$A$2:$A$500, Result_Database!X$2:X$500),
  _xlfn.IFNA(_xlpm.result, "")
)</f>
        <v/>
      </c>
      <c r="Z358" t="str">
        <f>_xlfn.LET(
  _xlpm.result, _xlfn.XLOOKUP($B358, Result_Database!$A$2:$A$500, Result_Database!Y$2:Y$500),
  _xlfn.IFNA(_xlpm.result, "")
)</f>
        <v/>
      </c>
      <c r="AA358" t="str">
        <f>_xlfn.LET(
  _xlpm.result, _xlfn.XLOOKUP($B358, Result_Database!$A$2:$A$500, Result_Database!Z$2:Z$500),
  _xlfn.IFNA(_xlpm.result, "")
)</f>
        <v/>
      </c>
      <c r="AB358" t="str">
        <f>_xlfn.LET(
  _xlpm.result, _xlfn.XLOOKUP($B358, Result_Database!$A$2:$A$500, Result_Database!AA$2:AA$500),
  _xlfn.IFNA(_xlpm.result, "")
)</f>
        <v/>
      </c>
      <c r="AC358" t="str">
        <f>_xlfn.LET(
  _xlpm.result, _xlfn.XLOOKUP($B358, Result_Database!$A$2:$A$500, Result_Database!AB$2:AB$500),
  _xlfn.IFNA(_xlpm.result, "")
)</f>
        <v/>
      </c>
      <c r="AD358" t="str">
        <f>_xlfn.LET(
  _xlpm.result, _xlfn.XLOOKUP($B358, Result_Database!$A$2:$A$500, Result_Database!AC$2:AC$500),
  _xlfn.IFNA(_xlpm.result, "")
)</f>
        <v/>
      </c>
      <c r="AE358" t="str">
        <f>_xlfn.LET(
  _xlpm.result, _xlfn.XLOOKUP($B358, Result_Database!$A$2:$A$500, Result_Database!AD$2:AD$500),
  _xlfn.IFNA(_xlpm.result, "")
)</f>
        <v/>
      </c>
      <c r="AF358" t="str">
        <f>_xlfn.LET(
  _xlpm.result, _xlfn.XLOOKUP($B358, Result_Database!$A$2:$A$500, Result_Database!AE$2:AE$500),
  _xlfn.IFNA(_xlpm.result, "")
)</f>
        <v/>
      </c>
      <c r="AG358" t="str">
        <f>_xlfn.LET(
  _xlpm.result, _xlfn.XLOOKUP($B358, Result_Database!$A$2:$A$500, Result_Database!AF$2:AF$500),
  _xlfn.IFNA(_xlpm.result, "")
)</f>
        <v/>
      </c>
      <c r="AH358" t="str">
        <f>_xlfn.LET(
  _xlpm.result, _xlfn.XLOOKUP($B358, Result_Database!$A$2:$A$500, Result_Database!AG$2:AG$500),
  _xlfn.IFNA(_xlpm.result, "")
)</f>
        <v/>
      </c>
      <c r="AI358" t="str">
        <f>_xlfn.LET(
  _xlpm.result, _xlfn.XLOOKUP($B358, Result_Database!$A$2:$A$500, Result_Database!AH$2:AH$500),
  _xlfn.IFNA(_xlpm.result, "")
)</f>
        <v/>
      </c>
      <c r="AJ358" t="str">
        <f>_xlfn.LET(
  _xlpm.result, _xlfn.XLOOKUP($B358, Result_Database!$A$2:$A$500, Result_Database!AI$2:AI$500),
  _xlfn.IFNA(_xlpm.result, "")
)</f>
        <v/>
      </c>
      <c r="AK358" t="str">
        <f>_xlfn.LET(
  _xlpm.result, _xlfn.XLOOKUP($B358, Result_Database!$A$2:$A$500, Result_Database!AJ$2:AJ$500),
  _xlfn.IFNA(_xlpm.result, "")
)</f>
        <v/>
      </c>
      <c r="AL358" t="str">
        <f>_xlfn.LET(
  _xlpm.result, _xlfn.XLOOKUP($B358, Result_Database!$A$2:$A$500, Result_Database!AK$2:AK$500),
  _xlfn.IFNA(_xlpm.result, "")
)</f>
        <v/>
      </c>
      <c r="AM35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5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5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5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5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5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5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5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5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58" t="str">
        <f>IF(SUM(Table5[[#This Row],[A1]:[C6]])&lt;&gt;0,SUM(Table5[[#This Row],[A1]:[C6]]),"")</f>
        <v/>
      </c>
      <c r="AW358" t="str">
        <f>IF(SUM(Table5[[#This Row],[D7]:[F9]])=0,"",SUM(Table5[[#This Row],[D7]:[F9]]))</f>
        <v/>
      </c>
      <c r="AX35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5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5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5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5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5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58" t="str">
        <f>IF(COUNTIF(Table5[[#This Row],[English Language]:[Electrical/ Electronics]],"WITHHELD")=0,"",COUNTIF(Table5[[#This Row],[English Language]:[Electrical/ Electronics]],"WITHHELD"))</f>
        <v/>
      </c>
      <c r="BE358" t="str">
        <f>IF(SUM(Table5[[#This Row],[NO OF CREDITS]:[BELOW CREDITS]])=0,"",SUM(Table5[[#This Row],[NO OF CREDITS]:[BELOW CREDITS]]))</f>
        <v/>
      </c>
    </row>
    <row r="359" spans="1:57" x14ac:dyDescent="0.3">
      <c r="A359" t="str">
        <f>IF(B359&lt;&gt;"",COUNTA($B$6:B359),"")</f>
        <v/>
      </c>
      <c r="B359" t="str">
        <f>IF(Result_Database!A355="","",Result_Database!A355)</f>
        <v/>
      </c>
      <c r="C359" t="str">
        <f>_xlfn.LET(
_xlpm.result,_xlfn.XLOOKUP($B359,Result_Database!$A$2:$A$500,Result_Database!$B$2:$B$500),
_xlfn.IFNA(_xlpm.result,"")
)</f>
        <v/>
      </c>
      <c r="D359" t="str">
        <f>_xlfn.LET(
  _xlpm.result, _xlfn.XLOOKUP($B359, Result_Database!$A$2:$A$500, Result_Database!C$2:C$500),
  _xlfn.IFNA(_xlpm.result, "")
)</f>
        <v/>
      </c>
      <c r="E359" t="str">
        <f>_xlfn.LET(
  _xlpm.result, _xlfn.XLOOKUP($B359, Result_Database!$A$2:$A$500, Result_Database!D$2:D$500),
  _xlfn.IFNA(_xlpm.result, "")
)</f>
        <v/>
      </c>
      <c r="F359" t="str">
        <f>_xlfn.LET(
  _xlpm.result, _xlfn.XLOOKUP($B359, Result_Database!$A$2:$A$500, Result_Database!E$2:E$500),
  _xlfn.IFNA(_xlpm.result, "")
)</f>
        <v/>
      </c>
      <c r="G359" t="str">
        <f>_xlfn.LET(
  _xlpm.result, _xlfn.XLOOKUP($B359, Result_Database!$A$2:$A$500, Result_Database!F$2:F$500),
  _xlfn.IFNA(_xlpm.result, "")
)</f>
        <v/>
      </c>
      <c r="H359" t="str">
        <f>_xlfn.LET(
  _xlpm.result, _xlfn.XLOOKUP($B359, Result_Database!$A$2:$A$500, Result_Database!G$2:G$500),
  _xlfn.IFNA(_xlpm.result, "")
)</f>
        <v/>
      </c>
      <c r="I359" t="str">
        <f>_xlfn.LET(
  _xlpm.result, _xlfn.XLOOKUP($B359, Result_Database!$A$2:$A$500, Result_Database!H$2:H$500),
  _xlfn.IFNA(_xlpm.result, "")
)</f>
        <v/>
      </c>
      <c r="J359" t="str">
        <f>_xlfn.LET(
  _xlpm.result, _xlfn.XLOOKUP($B359, Result_Database!$A$2:$A$500, Result_Database!I$2:I$500),
  _xlfn.IFNA(_xlpm.result, "")
)</f>
        <v/>
      </c>
      <c r="K359" t="str">
        <f>_xlfn.LET(
  _xlpm.result, _xlfn.XLOOKUP($B359, Result_Database!$A$2:$A$500, Result_Database!J$2:J$500),
  _xlfn.IFNA(_xlpm.result, "")
)</f>
        <v/>
      </c>
      <c r="L359" t="str">
        <f>_xlfn.LET(
  _xlpm.result, _xlfn.XLOOKUP($B359, Result_Database!$A$2:$A$500, Result_Database!K$2:K$500),
  _xlfn.IFNA(_xlpm.result, "")
)</f>
        <v/>
      </c>
      <c r="M359" t="str">
        <f>_xlfn.LET(
  _xlpm.result, _xlfn.XLOOKUP($B359, Result_Database!$A$2:$A$500, Result_Database!L$2:L$500),
  _xlfn.IFNA(_xlpm.result, "")
)</f>
        <v/>
      </c>
      <c r="N359" t="str">
        <f>_xlfn.LET(
  _xlpm.result, _xlfn.XLOOKUP($B359, Result_Database!$A$2:$A$500, Result_Database!M$2:M$500),
  _xlfn.IFNA(_xlpm.result, "")
)</f>
        <v/>
      </c>
      <c r="O359" t="str">
        <f>_xlfn.LET(
  _xlpm.result, _xlfn.XLOOKUP($B359, Result_Database!$A$2:$A$500, Result_Database!N$2:N$500),
  _xlfn.IFNA(_xlpm.result, "")
)</f>
        <v/>
      </c>
      <c r="P359" t="str">
        <f>_xlfn.LET(
  _xlpm.result, _xlfn.XLOOKUP($B359, Result_Database!$A$2:$A$500, Result_Database!O$2:O$500),
  _xlfn.IFNA(_xlpm.result, "")
)</f>
        <v/>
      </c>
      <c r="Q359" t="str">
        <f>_xlfn.LET(
  _xlpm.result, _xlfn.XLOOKUP($B359, Result_Database!$A$2:$A$500, Result_Database!P$2:P$500),
  _xlfn.IFNA(_xlpm.result, "")
)</f>
        <v/>
      </c>
      <c r="R359" t="str">
        <f>_xlfn.LET(
  _xlpm.result, _xlfn.XLOOKUP($B359, Result_Database!$A$2:$A$500, Result_Database!Q$2:Q$500),
  _xlfn.IFNA(_xlpm.result, "")
)</f>
        <v/>
      </c>
      <c r="S359" t="str">
        <f>_xlfn.LET(
  _xlpm.result, _xlfn.XLOOKUP($B359, Result_Database!$A$2:$A$500, Result_Database!R$2:R$500),
  _xlfn.IFNA(_xlpm.result, "")
)</f>
        <v/>
      </c>
      <c r="T359" t="str">
        <f>_xlfn.LET(
  _xlpm.result, _xlfn.XLOOKUP($B359, Result_Database!$A$2:$A$500, Result_Database!S$2:S$500),
  _xlfn.IFNA(_xlpm.result, "")
)</f>
        <v/>
      </c>
      <c r="U359" t="str">
        <f>_xlfn.LET(
  _xlpm.result, _xlfn.XLOOKUP($B359, Result_Database!$A$2:$A$500, Result_Database!T$2:T$500),
  _xlfn.IFNA(_xlpm.result, "")
)</f>
        <v/>
      </c>
      <c r="V359" t="str">
        <f>_xlfn.LET(
  _xlpm.result, _xlfn.XLOOKUP($B359, Result_Database!$A$2:$A$500, Result_Database!U$2:U$500),
  _xlfn.IFNA(_xlpm.result, "")
)</f>
        <v/>
      </c>
      <c r="W359" t="str">
        <f>_xlfn.LET(
  _xlpm.result, _xlfn.XLOOKUP($B359, Result_Database!$A$2:$A$500, Result_Database!V$2:V$500),
  _xlfn.IFNA(_xlpm.result, "")
)</f>
        <v/>
      </c>
      <c r="X359" t="str">
        <f>_xlfn.LET(
  _xlpm.result, _xlfn.XLOOKUP($B359, Result_Database!$A$2:$A$500, Result_Database!W$2:W$500),
  _xlfn.IFNA(_xlpm.result, "")
)</f>
        <v/>
      </c>
      <c r="Y359" t="str">
        <f>_xlfn.LET(
  _xlpm.result, _xlfn.XLOOKUP($B359, Result_Database!$A$2:$A$500, Result_Database!X$2:X$500),
  _xlfn.IFNA(_xlpm.result, "")
)</f>
        <v/>
      </c>
      <c r="Z359" t="str">
        <f>_xlfn.LET(
  _xlpm.result, _xlfn.XLOOKUP($B359, Result_Database!$A$2:$A$500, Result_Database!Y$2:Y$500),
  _xlfn.IFNA(_xlpm.result, "")
)</f>
        <v/>
      </c>
      <c r="AA359" t="str">
        <f>_xlfn.LET(
  _xlpm.result, _xlfn.XLOOKUP($B359, Result_Database!$A$2:$A$500, Result_Database!Z$2:Z$500),
  _xlfn.IFNA(_xlpm.result, "")
)</f>
        <v/>
      </c>
      <c r="AB359" t="str">
        <f>_xlfn.LET(
  _xlpm.result, _xlfn.XLOOKUP($B359, Result_Database!$A$2:$A$500, Result_Database!AA$2:AA$500),
  _xlfn.IFNA(_xlpm.result, "")
)</f>
        <v/>
      </c>
      <c r="AC359" t="str">
        <f>_xlfn.LET(
  _xlpm.result, _xlfn.XLOOKUP($B359, Result_Database!$A$2:$A$500, Result_Database!AB$2:AB$500),
  _xlfn.IFNA(_xlpm.result, "")
)</f>
        <v/>
      </c>
      <c r="AD359" t="str">
        <f>_xlfn.LET(
  _xlpm.result, _xlfn.XLOOKUP($B359, Result_Database!$A$2:$A$500, Result_Database!AC$2:AC$500),
  _xlfn.IFNA(_xlpm.result, "")
)</f>
        <v/>
      </c>
      <c r="AE359" t="str">
        <f>_xlfn.LET(
  _xlpm.result, _xlfn.XLOOKUP($B359, Result_Database!$A$2:$A$500, Result_Database!AD$2:AD$500),
  _xlfn.IFNA(_xlpm.result, "")
)</f>
        <v/>
      </c>
      <c r="AF359" t="str">
        <f>_xlfn.LET(
  _xlpm.result, _xlfn.XLOOKUP($B359, Result_Database!$A$2:$A$500, Result_Database!AE$2:AE$500),
  _xlfn.IFNA(_xlpm.result, "")
)</f>
        <v/>
      </c>
      <c r="AG359" t="str">
        <f>_xlfn.LET(
  _xlpm.result, _xlfn.XLOOKUP($B359, Result_Database!$A$2:$A$500, Result_Database!AF$2:AF$500),
  _xlfn.IFNA(_xlpm.result, "")
)</f>
        <v/>
      </c>
      <c r="AH359" t="str">
        <f>_xlfn.LET(
  _xlpm.result, _xlfn.XLOOKUP($B359, Result_Database!$A$2:$A$500, Result_Database!AG$2:AG$500),
  _xlfn.IFNA(_xlpm.result, "")
)</f>
        <v/>
      </c>
      <c r="AI359" t="str">
        <f>_xlfn.LET(
  _xlpm.result, _xlfn.XLOOKUP($B359, Result_Database!$A$2:$A$500, Result_Database!AH$2:AH$500),
  _xlfn.IFNA(_xlpm.result, "")
)</f>
        <v/>
      </c>
      <c r="AJ359" t="str">
        <f>_xlfn.LET(
  _xlpm.result, _xlfn.XLOOKUP($B359, Result_Database!$A$2:$A$500, Result_Database!AI$2:AI$500),
  _xlfn.IFNA(_xlpm.result, "")
)</f>
        <v/>
      </c>
      <c r="AK359" t="str">
        <f>_xlfn.LET(
  _xlpm.result, _xlfn.XLOOKUP($B359, Result_Database!$A$2:$A$500, Result_Database!AJ$2:AJ$500),
  _xlfn.IFNA(_xlpm.result, "")
)</f>
        <v/>
      </c>
      <c r="AL359" t="str">
        <f>_xlfn.LET(
  _xlpm.result, _xlfn.XLOOKUP($B359, Result_Database!$A$2:$A$500, Result_Database!AK$2:AK$500),
  _xlfn.IFNA(_xlpm.result, "")
)</f>
        <v/>
      </c>
      <c r="AM35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5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5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5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5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5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5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5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5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59" t="str">
        <f>IF(SUM(Table5[[#This Row],[A1]:[C6]])&lt;&gt;0,SUM(Table5[[#This Row],[A1]:[C6]]),"")</f>
        <v/>
      </c>
      <c r="AW359" t="str">
        <f>IF(SUM(Table5[[#This Row],[D7]:[F9]])=0,"",SUM(Table5[[#This Row],[D7]:[F9]]))</f>
        <v/>
      </c>
      <c r="AX35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5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5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5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5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5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59" t="str">
        <f>IF(COUNTIF(Table5[[#This Row],[English Language]:[Electrical/ Electronics]],"WITHHELD")=0,"",COUNTIF(Table5[[#This Row],[English Language]:[Electrical/ Electronics]],"WITHHELD"))</f>
        <v/>
      </c>
      <c r="BE359" t="str">
        <f>IF(SUM(Table5[[#This Row],[NO OF CREDITS]:[BELOW CREDITS]])=0,"",SUM(Table5[[#This Row],[NO OF CREDITS]:[BELOW CREDITS]]))</f>
        <v/>
      </c>
    </row>
    <row r="360" spans="1:57" x14ac:dyDescent="0.3">
      <c r="A360" t="str">
        <f>IF(B360&lt;&gt;"",COUNTA($B$6:B360),"")</f>
        <v/>
      </c>
      <c r="B360" t="str">
        <f>IF(Result_Database!A356="","",Result_Database!A356)</f>
        <v/>
      </c>
      <c r="C360" t="str">
        <f>_xlfn.LET(
_xlpm.result,_xlfn.XLOOKUP($B360,Result_Database!$A$2:$A$500,Result_Database!$B$2:$B$500),
_xlfn.IFNA(_xlpm.result,"")
)</f>
        <v/>
      </c>
      <c r="D360" t="str">
        <f>_xlfn.LET(
  _xlpm.result, _xlfn.XLOOKUP($B360, Result_Database!$A$2:$A$500, Result_Database!C$2:C$500),
  _xlfn.IFNA(_xlpm.result, "")
)</f>
        <v/>
      </c>
      <c r="E360" t="str">
        <f>_xlfn.LET(
  _xlpm.result, _xlfn.XLOOKUP($B360, Result_Database!$A$2:$A$500, Result_Database!D$2:D$500),
  _xlfn.IFNA(_xlpm.result, "")
)</f>
        <v/>
      </c>
      <c r="F360" t="str">
        <f>_xlfn.LET(
  _xlpm.result, _xlfn.XLOOKUP($B360, Result_Database!$A$2:$A$500, Result_Database!E$2:E$500),
  _xlfn.IFNA(_xlpm.result, "")
)</f>
        <v/>
      </c>
      <c r="G360" t="str">
        <f>_xlfn.LET(
  _xlpm.result, _xlfn.XLOOKUP($B360, Result_Database!$A$2:$A$500, Result_Database!F$2:F$500),
  _xlfn.IFNA(_xlpm.result, "")
)</f>
        <v/>
      </c>
      <c r="H360" t="str">
        <f>_xlfn.LET(
  _xlpm.result, _xlfn.XLOOKUP($B360, Result_Database!$A$2:$A$500, Result_Database!G$2:G$500),
  _xlfn.IFNA(_xlpm.result, "")
)</f>
        <v/>
      </c>
      <c r="I360" t="str">
        <f>_xlfn.LET(
  _xlpm.result, _xlfn.XLOOKUP($B360, Result_Database!$A$2:$A$500, Result_Database!H$2:H$500),
  _xlfn.IFNA(_xlpm.result, "")
)</f>
        <v/>
      </c>
      <c r="J360" t="str">
        <f>_xlfn.LET(
  _xlpm.result, _xlfn.XLOOKUP($B360, Result_Database!$A$2:$A$500, Result_Database!I$2:I$500),
  _xlfn.IFNA(_xlpm.result, "")
)</f>
        <v/>
      </c>
      <c r="K360" t="str">
        <f>_xlfn.LET(
  _xlpm.result, _xlfn.XLOOKUP($B360, Result_Database!$A$2:$A$500, Result_Database!J$2:J$500),
  _xlfn.IFNA(_xlpm.result, "")
)</f>
        <v/>
      </c>
      <c r="L360" t="str">
        <f>_xlfn.LET(
  _xlpm.result, _xlfn.XLOOKUP($B360, Result_Database!$A$2:$A$500, Result_Database!K$2:K$500),
  _xlfn.IFNA(_xlpm.result, "")
)</f>
        <v/>
      </c>
      <c r="M360" t="str">
        <f>_xlfn.LET(
  _xlpm.result, _xlfn.XLOOKUP($B360, Result_Database!$A$2:$A$500, Result_Database!L$2:L$500),
  _xlfn.IFNA(_xlpm.result, "")
)</f>
        <v/>
      </c>
      <c r="N360" t="str">
        <f>_xlfn.LET(
  _xlpm.result, _xlfn.XLOOKUP($B360, Result_Database!$A$2:$A$500, Result_Database!M$2:M$500),
  _xlfn.IFNA(_xlpm.result, "")
)</f>
        <v/>
      </c>
      <c r="O360" t="str">
        <f>_xlfn.LET(
  _xlpm.result, _xlfn.XLOOKUP($B360, Result_Database!$A$2:$A$500, Result_Database!N$2:N$500),
  _xlfn.IFNA(_xlpm.result, "")
)</f>
        <v/>
      </c>
      <c r="P360" t="str">
        <f>_xlfn.LET(
  _xlpm.result, _xlfn.XLOOKUP($B360, Result_Database!$A$2:$A$500, Result_Database!O$2:O$500),
  _xlfn.IFNA(_xlpm.result, "")
)</f>
        <v/>
      </c>
      <c r="Q360" t="str">
        <f>_xlfn.LET(
  _xlpm.result, _xlfn.XLOOKUP($B360, Result_Database!$A$2:$A$500, Result_Database!P$2:P$500),
  _xlfn.IFNA(_xlpm.result, "")
)</f>
        <v/>
      </c>
      <c r="R360" t="str">
        <f>_xlfn.LET(
  _xlpm.result, _xlfn.XLOOKUP($B360, Result_Database!$A$2:$A$500, Result_Database!Q$2:Q$500),
  _xlfn.IFNA(_xlpm.result, "")
)</f>
        <v/>
      </c>
      <c r="S360" t="str">
        <f>_xlfn.LET(
  _xlpm.result, _xlfn.XLOOKUP($B360, Result_Database!$A$2:$A$500, Result_Database!R$2:R$500),
  _xlfn.IFNA(_xlpm.result, "")
)</f>
        <v/>
      </c>
      <c r="T360" t="str">
        <f>_xlfn.LET(
  _xlpm.result, _xlfn.XLOOKUP($B360, Result_Database!$A$2:$A$500, Result_Database!S$2:S$500),
  _xlfn.IFNA(_xlpm.result, "")
)</f>
        <v/>
      </c>
      <c r="U360" t="str">
        <f>_xlfn.LET(
  _xlpm.result, _xlfn.XLOOKUP($B360, Result_Database!$A$2:$A$500, Result_Database!T$2:T$500),
  _xlfn.IFNA(_xlpm.result, "")
)</f>
        <v/>
      </c>
      <c r="V360" t="str">
        <f>_xlfn.LET(
  _xlpm.result, _xlfn.XLOOKUP($B360, Result_Database!$A$2:$A$500, Result_Database!U$2:U$500),
  _xlfn.IFNA(_xlpm.result, "")
)</f>
        <v/>
      </c>
      <c r="W360" t="str">
        <f>_xlfn.LET(
  _xlpm.result, _xlfn.XLOOKUP($B360, Result_Database!$A$2:$A$500, Result_Database!V$2:V$500),
  _xlfn.IFNA(_xlpm.result, "")
)</f>
        <v/>
      </c>
      <c r="X360" t="str">
        <f>_xlfn.LET(
  _xlpm.result, _xlfn.XLOOKUP($B360, Result_Database!$A$2:$A$500, Result_Database!W$2:W$500),
  _xlfn.IFNA(_xlpm.result, "")
)</f>
        <v/>
      </c>
      <c r="Y360" t="str">
        <f>_xlfn.LET(
  _xlpm.result, _xlfn.XLOOKUP($B360, Result_Database!$A$2:$A$500, Result_Database!X$2:X$500),
  _xlfn.IFNA(_xlpm.result, "")
)</f>
        <v/>
      </c>
      <c r="Z360" t="str">
        <f>_xlfn.LET(
  _xlpm.result, _xlfn.XLOOKUP($B360, Result_Database!$A$2:$A$500, Result_Database!Y$2:Y$500),
  _xlfn.IFNA(_xlpm.result, "")
)</f>
        <v/>
      </c>
      <c r="AA360" t="str">
        <f>_xlfn.LET(
  _xlpm.result, _xlfn.XLOOKUP($B360, Result_Database!$A$2:$A$500, Result_Database!Z$2:Z$500),
  _xlfn.IFNA(_xlpm.result, "")
)</f>
        <v/>
      </c>
      <c r="AB360" t="str">
        <f>_xlfn.LET(
  _xlpm.result, _xlfn.XLOOKUP($B360, Result_Database!$A$2:$A$500, Result_Database!AA$2:AA$500),
  _xlfn.IFNA(_xlpm.result, "")
)</f>
        <v/>
      </c>
      <c r="AC360" t="str">
        <f>_xlfn.LET(
  _xlpm.result, _xlfn.XLOOKUP($B360, Result_Database!$A$2:$A$500, Result_Database!AB$2:AB$500),
  _xlfn.IFNA(_xlpm.result, "")
)</f>
        <v/>
      </c>
      <c r="AD360" t="str">
        <f>_xlfn.LET(
  _xlpm.result, _xlfn.XLOOKUP($B360, Result_Database!$A$2:$A$500, Result_Database!AC$2:AC$500),
  _xlfn.IFNA(_xlpm.result, "")
)</f>
        <v/>
      </c>
      <c r="AE360" t="str">
        <f>_xlfn.LET(
  _xlpm.result, _xlfn.XLOOKUP($B360, Result_Database!$A$2:$A$500, Result_Database!AD$2:AD$500),
  _xlfn.IFNA(_xlpm.result, "")
)</f>
        <v/>
      </c>
      <c r="AF360" t="str">
        <f>_xlfn.LET(
  _xlpm.result, _xlfn.XLOOKUP($B360, Result_Database!$A$2:$A$500, Result_Database!AE$2:AE$500),
  _xlfn.IFNA(_xlpm.result, "")
)</f>
        <v/>
      </c>
      <c r="AG360" t="str">
        <f>_xlfn.LET(
  _xlpm.result, _xlfn.XLOOKUP($B360, Result_Database!$A$2:$A$500, Result_Database!AF$2:AF$500),
  _xlfn.IFNA(_xlpm.result, "")
)</f>
        <v/>
      </c>
      <c r="AH360" t="str">
        <f>_xlfn.LET(
  _xlpm.result, _xlfn.XLOOKUP($B360, Result_Database!$A$2:$A$500, Result_Database!AG$2:AG$500),
  _xlfn.IFNA(_xlpm.result, "")
)</f>
        <v/>
      </c>
      <c r="AI360" t="str">
        <f>_xlfn.LET(
  _xlpm.result, _xlfn.XLOOKUP($B360, Result_Database!$A$2:$A$500, Result_Database!AH$2:AH$500),
  _xlfn.IFNA(_xlpm.result, "")
)</f>
        <v/>
      </c>
      <c r="AJ360" t="str">
        <f>_xlfn.LET(
  _xlpm.result, _xlfn.XLOOKUP($B360, Result_Database!$A$2:$A$500, Result_Database!AI$2:AI$500),
  _xlfn.IFNA(_xlpm.result, "")
)</f>
        <v/>
      </c>
      <c r="AK360" t="str">
        <f>_xlfn.LET(
  _xlpm.result, _xlfn.XLOOKUP($B360, Result_Database!$A$2:$A$500, Result_Database!AJ$2:AJ$500),
  _xlfn.IFNA(_xlpm.result, "")
)</f>
        <v/>
      </c>
      <c r="AL360" t="str">
        <f>_xlfn.LET(
  _xlpm.result, _xlfn.XLOOKUP($B360, Result_Database!$A$2:$A$500, Result_Database!AK$2:AK$500),
  _xlfn.IFNA(_xlpm.result, "")
)</f>
        <v/>
      </c>
      <c r="AM36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6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6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6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6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6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6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6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6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60" t="str">
        <f>IF(SUM(Table5[[#This Row],[A1]:[C6]])&lt;&gt;0,SUM(Table5[[#This Row],[A1]:[C6]]),"")</f>
        <v/>
      </c>
      <c r="AW360" t="str">
        <f>IF(SUM(Table5[[#This Row],[D7]:[F9]])=0,"",SUM(Table5[[#This Row],[D7]:[F9]]))</f>
        <v/>
      </c>
      <c r="AX36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6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6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6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6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6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60" t="str">
        <f>IF(COUNTIF(Table5[[#This Row],[English Language]:[Electrical/ Electronics]],"WITHHELD")=0,"",COUNTIF(Table5[[#This Row],[English Language]:[Electrical/ Electronics]],"WITHHELD"))</f>
        <v/>
      </c>
      <c r="BE360" t="str">
        <f>IF(SUM(Table5[[#This Row],[NO OF CREDITS]:[BELOW CREDITS]])=0,"",SUM(Table5[[#This Row],[NO OF CREDITS]:[BELOW CREDITS]]))</f>
        <v/>
      </c>
    </row>
    <row r="361" spans="1:57" x14ac:dyDescent="0.3">
      <c r="A361" t="str">
        <f>IF(B361&lt;&gt;"",COUNTA($B$6:B361),"")</f>
        <v/>
      </c>
      <c r="B361" t="str">
        <f>IF(Result_Database!A357="","",Result_Database!A357)</f>
        <v/>
      </c>
      <c r="C361" t="str">
        <f>_xlfn.LET(
_xlpm.result,_xlfn.XLOOKUP($B361,Result_Database!$A$2:$A$500,Result_Database!$B$2:$B$500),
_xlfn.IFNA(_xlpm.result,"")
)</f>
        <v/>
      </c>
      <c r="D361" t="str">
        <f>_xlfn.LET(
  _xlpm.result, _xlfn.XLOOKUP($B361, Result_Database!$A$2:$A$500, Result_Database!C$2:C$500),
  _xlfn.IFNA(_xlpm.result, "")
)</f>
        <v/>
      </c>
      <c r="E361" t="str">
        <f>_xlfn.LET(
  _xlpm.result, _xlfn.XLOOKUP($B361, Result_Database!$A$2:$A$500, Result_Database!D$2:D$500),
  _xlfn.IFNA(_xlpm.result, "")
)</f>
        <v/>
      </c>
      <c r="F361" t="str">
        <f>_xlfn.LET(
  _xlpm.result, _xlfn.XLOOKUP($B361, Result_Database!$A$2:$A$500, Result_Database!E$2:E$500),
  _xlfn.IFNA(_xlpm.result, "")
)</f>
        <v/>
      </c>
      <c r="G361" t="str">
        <f>_xlfn.LET(
  _xlpm.result, _xlfn.XLOOKUP($B361, Result_Database!$A$2:$A$500, Result_Database!F$2:F$500),
  _xlfn.IFNA(_xlpm.result, "")
)</f>
        <v/>
      </c>
      <c r="H361" t="str">
        <f>_xlfn.LET(
  _xlpm.result, _xlfn.XLOOKUP($B361, Result_Database!$A$2:$A$500, Result_Database!G$2:G$500),
  _xlfn.IFNA(_xlpm.result, "")
)</f>
        <v/>
      </c>
      <c r="I361" t="str">
        <f>_xlfn.LET(
  _xlpm.result, _xlfn.XLOOKUP($B361, Result_Database!$A$2:$A$500, Result_Database!H$2:H$500),
  _xlfn.IFNA(_xlpm.result, "")
)</f>
        <v/>
      </c>
      <c r="J361" t="str">
        <f>_xlfn.LET(
  _xlpm.result, _xlfn.XLOOKUP($B361, Result_Database!$A$2:$A$500, Result_Database!I$2:I$500),
  _xlfn.IFNA(_xlpm.result, "")
)</f>
        <v/>
      </c>
      <c r="K361" t="str">
        <f>_xlfn.LET(
  _xlpm.result, _xlfn.XLOOKUP($B361, Result_Database!$A$2:$A$500, Result_Database!J$2:J$500),
  _xlfn.IFNA(_xlpm.result, "")
)</f>
        <v/>
      </c>
      <c r="L361" t="str">
        <f>_xlfn.LET(
  _xlpm.result, _xlfn.XLOOKUP($B361, Result_Database!$A$2:$A$500, Result_Database!K$2:K$500),
  _xlfn.IFNA(_xlpm.result, "")
)</f>
        <v/>
      </c>
      <c r="M361" t="str">
        <f>_xlfn.LET(
  _xlpm.result, _xlfn.XLOOKUP($B361, Result_Database!$A$2:$A$500, Result_Database!L$2:L$500),
  _xlfn.IFNA(_xlpm.result, "")
)</f>
        <v/>
      </c>
      <c r="N361" t="str">
        <f>_xlfn.LET(
  _xlpm.result, _xlfn.XLOOKUP($B361, Result_Database!$A$2:$A$500, Result_Database!M$2:M$500),
  _xlfn.IFNA(_xlpm.result, "")
)</f>
        <v/>
      </c>
      <c r="O361" t="str">
        <f>_xlfn.LET(
  _xlpm.result, _xlfn.XLOOKUP($B361, Result_Database!$A$2:$A$500, Result_Database!N$2:N$500),
  _xlfn.IFNA(_xlpm.result, "")
)</f>
        <v/>
      </c>
      <c r="P361" t="str">
        <f>_xlfn.LET(
  _xlpm.result, _xlfn.XLOOKUP($B361, Result_Database!$A$2:$A$500, Result_Database!O$2:O$500),
  _xlfn.IFNA(_xlpm.result, "")
)</f>
        <v/>
      </c>
      <c r="Q361" t="str">
        <f>_xlfn.LET(
  _xlpm.result, _xlfn.XLOOKUP($B361, Result_Database!$A$2:$A$500, Result_Database!P$2:P$500),
  _xlfn.IFNA(_xlpm.result, "")
)</f>
        <v/>
      </c>
      <c r="R361" t="str">
        <f>_xlfn.LET(
  _xlpm.result, _xlfn.XLOOKUP($B361, Result_Database!$A$2:$A$500, Result_Database!Q$2:Q$500),
  _xlfn.IFNA(_xlpm.result, "")
)</f>
        <v/>
      </c>
      <c r="S361" t="str">
        <f>_xlfn.LET(
  _xlpm.result, _xlfn.XLOOKUP($B361, Result_Database!$A$2:$A$500, Result_Database!R$2:R$500),
  _xlfn.IFNA(_xlpm.result, "")
)</f>
        <v/>
      </c>
      <c r="T361" t="str">
        <f>_xlfn.LET(
  _xlpm.result, _xlfn.XLOOKUP($B361, Result_Database!$A$2:$A$500, Result_Database!S$2:S$500),
  _xlfn.IFNA(_xlpm.result, "")
)</f>
        <v/>
      </c>
      <c r="U361" t="str">
        <f>_xlfn.LET(
  _xlpm.result, _xlfn.XLOOKUP($B361, Result_Database!$A$2:$A$500, Result_Database!T$2:T$500),
  _xlfn.IFNA(_xlpm.result, "")
)</f>
        <v/>
      </c>
      <c r="V361" t="str">
        <f>_xlfn.LET(
  _xlpm.result, _xlfn.XLOOKUP($B361, Result_Database!$A$2:$A$500, Result_Database!U$2:U$500),
  _xlfn.IFNA(_xlpm.result, "")
)</f>
        <v/>
      </c>
      <c r="W361" t="str">
        <f>_xlfn.LET(
  _xlpm.result, _xlfn.XLOOKUP($B361, Result_Database!$A$2:$A$500, Result_Database!V$2:V$500),
  _xlfn.IFNA(_xlpm.result, "")
)</f>
        <v/>
      </c>
      <c r="X361" t="str">
        <f>_xlfn.LET(
  _xlpm.result, _xlfn.XLOOKUP($B361, Result_Database!$A$2:$A$500, Result_Database!W$2:W$500),
  _xlfn.IFNA(_xlpm.result, "")
)</f>
        <v/>
      </c>
      <c r="Y361" t="str">
        <f>_xlfn.LET(
  _xlpm.result, _xlfn.XLOOKUP($B361, Result_Database!$A$2:$A$500, Result_Database!X$2:X$500),
  _xlfn.IFNA(_xlpm.result, "")
)</f>
        <v/>
      </c>
      <c r="Z361" t="str">
        <f>_xlfn.LET(
  _xlpm.result, _xlfn.XLOOKUP($B361, Result_Database!$A$2:$A$500, Result_Database!Y$2:Y$500),
  _xlfn.IFNA(_xlpm.result, "")
)</f>
        <v/>
      </c>
      <c r="AA361" t="str">
        <f>_xlfn.LET(
  _xlpm.result, _xlfn.XLOOKUP($B361, Result_Database!$A$2:$A$500, Result_Database!Z$2:Z$500),
  _xlfn.IFNA(_xlpm.result, "")
)</f>
        <v/>
      </c>
      <c r="AB361" t="str">
        <f>_xlfn.LET(
  _xlpm.result, _xlfn.XLOOKUP($B361, Result_Database!$A$2:$A$500, Result_Database!AA$2:AA$500),
  _xlfn.IFNA(_xlpm.result, "")
)</f>
        <v/>
      </c>
      <c r="AC361" t="str">
        <f>_xlfn.LET(
  _xlpm.result, _xlfn.XLOOKUP($B361, Result_Database!$A$2:$A$500, Result_Database!AB$2:AB$500),
  _xlfn.IFNA(_xlpm.result, "")
)</f>
        <v/>
      </c>
      <c r="AD361" t="str">
        <f>_xlfn.LET(
  _xlpm.result, _xlfn.XLOOKUP($B361, Result_Database!$A$2:$A$500, Result_Database!AC$2:AC$500),
  _xlfn.IFNA(_xlpm.result, "")
)</f>
        <v/>
      </c>
      <c r="AE361" t="str">
        <f>_xlfn.LET(
  _xlpm.result, _xlfn.XLOOKUP($B361, Result_Database!$A$2:$A$500, Result_Database!AD$2:AD$500),
  _xlfn.IFNA(_xlpm.result, "")
)</f>
        <v/>
      </c>
      <c r="AF361" t="str">
        <f>_xlfn.LET(
  _xlpm.result, _xlfn.XLOOKUP($B361, Result_Database!$A$2:$A$500, Result_Database!AE$2:AE$500),
  _xlfn.IFNA(_xlpm.result, "")
)</f>
        <v/>
      </c>
      <c r="AG361" t="str">
        <f>_xlfn.LET(
  _xlpm.result, _xlfn.XLOOKUP($B361, Result_Database!$A$2:$A$500, Result_Database!AF$2:AF$500),
  _xlfn.IFNA(_xlpm.result, "")
)</f>
        <v/>
      </c>
      <c r="AH361" t="str">
        <f>_xlfn.LET(
  _xlpm.result, _xlfn.XLOOKUP($B361, Result_Database!$A$2:$A$500, Result_Database!AG$2:AG$500),
  _xlfn.IFNA(_xlpm.result, "")
)</f>
        <v/>
      </c>
      <c r="AI361" t="str">
        <f>_xlfn.LET(
  _xlpm.result, _xlfn.XLOOKUP($B361, Result_Database!$A$2:$A$500, Result_Database!AH$2:AH$500),
  _xlfn.IFNA(_xlpm.result, "")
)</f>
        <v/>
      </c>
      <c r="AJ361" t="str">
        <f>_xlfn.LET(
  _xlpm.result, _xlfn.XLOOKUP($B361, Result_Database!$A$2:$A$500, Result_Database!AI$2:AI$500),
  _xlfn.IFNA(_xlpm.result, "")
)</f>
        <v/>
      </c>
      <c r="AK361" t="str">
        <f>_xlfn.LET(
  _xlpm.result, _xlfn.XLOOKUP($B361, Result_Database!$A$2:$A$500, Result_Database!AJ$2:AJ$500),
  _xlfn.IFNA(_xlpm.result, "")
)</f>
        <v/>
      </c>
      <c r="AL361" t="str">
        <f>_xlfn.LET(
  _xlpm.result, _xlfn.XLOOKUP($B361, Result_Database!$A$2:$A$500, Result_Database!AK$2:AK$500),
  _xlfn.IFNA(_xlpm.result, "")
)</f>
        <v/>
      </c>
      <c r="AM36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6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6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6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6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6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6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6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6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61" t="str">
        <f>IF(SUM(Table5[[#This Row],[A1]:[C6]])&lt;&gt;0,SUM(Table5[[#This Row],[A1]:[C6]]),"")</f>
        <v/>
      </c>
      <c r="AW361" t="str">
        <f>IF(SUM(Table5[[#This Row],[D7]:[F9]])=0,"",SUM(Table5[[#This Row],[D7]:[F9]]))</f>
        <v/>
      </c>
      <c r="AX36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6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6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6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6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6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61" t="str">
        <f>IF(COUNTIF(Table5[[#This Row],[English Language]:[Electrical/ Electronics]],"WITHHELD")=0,"",COUNTIF(Table5[[#This Row],[English Language]:[Electrical/ Electronics]],"WITHHELD"))</f>
        <v/>
      </c>
      <c r="BE361" t="str">
        <f>IF(SUM(Table5[[#This Row],[NO OF CREDITS]:[BELOW CREDITS]])=0,"",SUM(Table5[[#This Row],[NO OF CREDITS]:[BELOW CREDITS]]))</f>
        <v/>
      </c>
    </row>
    <row r="362" spans="1:57" x14ac:dyDescent="0.3">
      <c r="A362" t="str">
        <f>IF(B362&lt;&gt;"",COUNTA($B$6:B362),"")</f>
        <v/>
      </c>
      <c r="B362" t="str">
        <f>IF(Result_Database!A358="","",Result_Database!A358)</f>
        <v/>
      </c>
      <c r="C362" t="str">
        <f>_xlfn.LET(
_xlpm.result,_xlfn.XLOOKUP($B362,Result_Database!$A$2:$A$500,Result_Database!$B$2:$B$500),
_xlfn.IFNA(_xlpm.result,"")
)</f>
        <v/>
      </c>
      <c r="D362" t="str">
        <f>_xlfn.LET(
  _xlpm.result, _xlfn.XLOOKUP($B362, Result_Database!$A$2:$A$500, Result_Database!C$2:C$500),
  _xlfn.IFNA(_xlpm.result, "")
)</f>
        <v/>
      </c>
      <c r="E362" t="str">
        <f>_xlfn.LET(
  _xlpm.result, _xlfn.XLOOKUP($B362, Result_Database!$A$2:$A$500, Result_Database!D$2:D$500),
  _xlfn.IFNA(_xlpm.result, "")
)</f>
        <v/>
      </c>
      <c r="F362" t="str">
        <f>_xlfn.LET(
  _xlpm.result, _xlfn.XLOOKUP($B362, Result_Database!$A$2:$A$500, Result_Database!E$2:E$500),
  _xlfn.IFNA(_xlpm.result, "")
)</f>
        <v/>
      </c>
      <c r="G362" t="str">
        <f>_xlfn.LET(
  _xlpm.result, _xlfn.XLOOKUP($B362, Result_Database!$A$2:$A$500, Result_Database!F$2:F$500),
  _xlfn.IFNA(_xlpm.result, "")
)</f>
        <v/>
      </c>
      <c r="H362" t="str">
        <f>_xlfn.LET(
  _xlpm.result, _xlfn.XLOOKUP($B362, Result_Database!$A$2:$A$500, Result_Database!G$2:G$500),
  _xlfn.IFNA(_xlpm.result, "")
)</f>
        <v/>
      </c>
      <c r="I362" t="str">
        <f>_xlfn.LET(
  _xlpm.result, _xlfn.XLOOKUP($B362, Result_Database!$A$2:$A$500, Result_Database!H$2:H$500),
  _xlfn.IFNA(_xlpm.result, "")
)</f>
        <v/>
      </c>
      <c r="J362" t="str">
        <f>_xlfn.LET(
  _xlpm.result, _xlfn.XLOOKUP($B362, Result_Database!$A$2:$A$500, Result_Database!I$2:I$500),
  _xlfn.IFNA(_xlpm.result, "")
)</f>
        <v/>
      </c>
      <c r="K362" t="str">
        <f>_xlfn.LET(
  _xlpm.result, _xlfn.XLOOKUP($B362, Result_Database!$A$2:$A$500, Result_Database!J$2:J$500),
  _xlfn.IFNA(_xlpm.result, "")
)</f>
        <v/>
      </c>
      <c r="L362" t="str">
        <f>_xlfn.LET(
  _xlpm.result, _xlfn.XLOOKUP($B362, Result_Database!$A$2:$A$500, Result_Database!K$2:K$500),
  _xlfn.IFNA(_xlpm.result, "")
)</f>
        <v/>
      </c>
      <c r="M362" t="str">
        <f>_xlfn.LET(
  _xlpm.result, _xlfn.XLOOKUP($B362, Result_Database!$A$2:$A$500, Result_Database!L$2:L$500),
  _xlfn.IFNA(_xlpm.result, "")
)</f>
        <v/>
      </c>
      <c r="N362" t="str">
        <f>_xlfn.LET(
  _xlpm.result, _xlfn.XLOOKUP($B362, Result_Database!$A$2:$A$500, Result_Database!M$2:M$500),
  _xlfn.IFNA(_xlpm.result, "")
)</f>
        <v/>
      </c>
      <c r="O362" t="str">
        <f>_xlfn.LET(
  _xlpm.result, _xlfn.XLOOKUP($B362, Result_Database!$A$2:$A$500, Result_Database!N$2:N$500),
  _xlfn.IFNA(_xlpm.result, "")
)</f>
        <v/>
      </c>
      <c r="P362" t="str">
        <f>_xlfn.LET(
  _xlpm.result, _xlfn.XLOOKUP($B362, Result_Database!$A$2:$A$500, Result_Database!O$2:O$500),
  _xlfn.IFNA(_xlpm.result, "")
)</f>
        <v/>
      </c>
      <c r="Q362" t="str">
        <f>_xlfn.LET(
  _xlpm.result, _xlfn.XLOOKUP($B362, Result_Database!$A$2:$A$500, Result_Database!P$2:P$500),
  _xlfn.IFNA(_xlpm.result, "")
)</f>
        <v/>
      </c>
      <c r="R362" t="str">
        <f>_xlfn.LET(
  _xlpm.result, _xlfn.XLOOKUP($B362, Result_Database!$A$2:$A$500, Result_Database!Q$2:Q$500),
  _xlfn.IFNA(_xlpm.result, "")
)</f>
        <v/>
      </c>
      <c r="S362" t="str">
        <f>_xlfn.LET(
  _xlpm.result, _xlfn.XLOOKUP($B362, Result_Database!$A$2:$A$500, Result_Database!R$2:R$500),
  _xlfn.IFNA(_xlpm.result, "")
)</f>
        <v/>
      </c>
      <c r="T362" t="str">
        <f>_xlfn.LET(
  _xlpm.result, _xlfn.XLOOKUP($B362, Result_Database!$A$2:$A$500, Result_Database!S$2:S$500),
  _xlfn.IFNA(_xlpm.result, "")
)</f>
        <v/>
      </c>
      <c r="U362" t="str">
        <f>_xlfn.LET(
  _xlpm.result, _xlfn.XLOOKUP($B362, Result_Database!$A$2:$A$500, Result_Database!T$2:T$500),
  _xlfn.IFNA(_xlpm.result, "")
)</f>
        <v/>
      </c>
      <c r="V362" t="str">
        <f>_xlfn.LET(
  _xlpm.result, _xlfn.XLOOKUP($B362, Result_Database!$A$2:$A$500, Result_Database!U$2:U$500),
  _xlfn.IFNA(_xlpm.result, "")
)</f>
        <v/>
      </c>
      <c r="W362" t="str">
        <f>_xlfn.LET(
  _xlpm.result, _xlfn.XLOOKUP($B362, Result_Database!$A$2:$A$500, Result_Database!V$2:V$500),
  _xlfn.IFNA(_xlpm.result, "")
)</f>
        <v/>
      </c>
      <c r="X362" t="str">
        <f>_xlfn.LET(
  _xlpm.result, _xlfn.XLOOKUP($B362, Result_Database!$A$2:$A$500, Result_Database!W$2:W$500),
  _xlfn.IFNA(_xlpm.result, "")
)</f>
        <v/>
      </c>
      <c r="Y362" t="str">
        <f>_xlfn.LET(
  _xlpm.result, _xlfn.XLOOKUP($B362, Result_Database!$A$2:$A$500, Result_Database!X$2:X$500),
  _xlfn.IFNA(_xlpm.result, "")
)</f>
        <v/>
      </c>
      <c r="Z362" t="str">
        <f>_xlfn.LET(
  _xlpm.result, _xlfn.XLOOKUP($B362, Result_Database!$A$2:$A$500, Result_Database!Y$2:Y$500),
  _xlfn.IFNA(_xlpm.result, "")
)</f>
        <v/>
      </c>
      <c r="AA362" t="str">
        <f>_xlfn.LET(
  _xlpm.result, _xlfn.XLOOKUP($B362, Result_Database!$A$2:$A$500, Result_Database!Z$2:Z$500),
  _xlfn.IFNA(_xlpm.result, "")
)</f>
        <v/>
      </c>
      <c r="AB362" t="str">
        <f>_xlfn.LET(
  _xlpm.result, _xlfn.XLOOKUP($B362, Result_Database!$A$2:$A$500, Result_Database!AA$2:AA$500),
  _xlfn.IFNA(_xlpm.result, "")
)</f>
        <v/>
      </c>
      <c r="AC362" t="str">
        <f>_xlfn.LET(
  _xlpm.result, _xlfn.XLOOKUP($B362, Result_Database!$A$2:$A$500, Result_Database!AB$2:AB$500),
  _xlfn.IFNA(_xlpm.result, "")
)</f>
        <v/>
      </c>
      <c r="AD362" t="str">
        <f>_xlfn.LET(
  _xlpm.result, _xlfn.XLOOKUP($B362, Result_Database!$A$2:$A$500, Result_Database!AC$2:AC$500),
  _xlfn.IFNA(_xlpm.result, "")
)</f>
        <v/>
      </c>
      <c r="AE362" t="str">
        <f>_xlfn.LET(
  _xlpm.result, _xlfn.XLOOKUP($B362, Result_Database!$A$2:$A$500, Result_Database!AD$2:AD$500),
  _xlfn.IFNA(_xlpm.result, "")
)</f>
        <v/>
      </c>
      <c r="AF362" t="str">
        <f>_xlfn.LET(
  _xlpm.result, _xlfn.XLOOKUP($B362, Result_Database!$A$2:$A$500, Result_Database!AE$2:AE$500),
  _xlfn.IFNA(_xlpm.result, "")
)</f>
        <v/>
      </c>
      <c r="AG362" t="str">
        <f>_xlfn.LET(
  _xlpm.result, _xlfn.XLOOKUP($B362, Result_Database!$A$2:$A$500, Result_Database!AF$2:AF$500),
  _xlfn.IFNA(_xlpm.result, "")
)</f>
        <v/>
      </c>
      <c r="AH362" t="str">
        <f>_xlfn.LET(
  _xlpm.result, _xlfn.XLOOKUP($B362, Result_Database!$A$2:$A$500, Result_Database!AG$2:AG$500),
  _xlfn.IFNA(_xlpm.result, "")
)</f>
        <v/>
      </c>
      <c r="AI362" t="str">
        <f>_xlfn.LET(
  _xlpm.result, _xlfn.XLOOKUP($B362, Result_Database!$A$2:$A$500, Result_Database!AH$2:AH$500),
  _xlfn.IFNA(_xlpm.result, "")
)</f>
        <v/>
      </c>
      <c r="AJ362" t="str">
        <f>_xlfn.LET(
  _xlpm.result, _xlfn.XLOOKUP($B362, Result_Database!$A$2:$A$500, Result_Database!AI$2:AI$500),
  _xlfn.IFNA(_xlpm.result, "")
)</f>
        <v/>
      </c>
      <c r="AK362" t="str">
        <f>_xlfn.LET(
  _xlpm.result, _xlfn.XLOOKUP($B362, Result_Database!$A$2:$A$500, Result_Database!AJ$2:AJ$500),
  _xlfn.IFNA(_xlpm.result, "")
)</f>
        <v/>
      </c>
      <c r="AL362" t="str">
        <f>_xlfn.LET(
  _xlpm.result, _xlfn.XLOOKUP($B362, Result_Database!$A$2:$A$500, Result_Database!AK$2:AK$500),
  _xlfn.IFNA(_xlpm.result, "")
)</f>
        <v/>
      </c>
      <c r="AM36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6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6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6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6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6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6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6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6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62" t="str">
        <f>IF(SUM(Table5[[#This Row],[A1]:[C6]])&lt;&gt;0,SUM(Table5[[#This Row],[A1]:[C6]]),"")</f>
        <v/>
      </c>
      <c r="AW362" t="str">
        <f>IF(SUM(Table5[[#This Row],[D7]:[F9]])=0,"",SUM(Table5[[#This Row],[D7]:[F9]]))</f>
        <v/>
      </c>
      <c r="AX36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6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6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6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6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6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62" t="str">
        <f>IF(COUNTIF(Table5[[#This Row],[English Language]:[Electrical/ Electronics]],"WITHHELD")=0,"",COUNTIF(Table5[[#This Row],[English Language]:[Electrical/ Electronics]],"WITHHELD"))</f>
        <v/>
      </c>
      <c r="BE362" t="str">
        <f>IF(SUM(Table5[[#This Row],[NO OF CREDITS]:[BELOW CREDITS]])=0,"",SUM(Table5[[#This Row],[NO OF CREDITS]:[BELOW CREDITS]]))</f>
        <v/>
      </c>
    </row>
    <row r="363" spans="1:57" x14ac:dyDescent="0.3">
      <c r="A363" t="str">
        <f>IF(B363&lt;&gt;"",COUNTA($B$6:B363),"")</f>
        <v/>
      </c>
      <c r="B363" t="str">
        <f>IF(Result_Database!A359="","",Result_Database!A359)</f>
        <v/>
      </c>
      <c r="C363" t="str">
        <f>_xlfn.LET(
_xlpm.result,_xlfn.XLOOKUP($B363,Result_Database!$A$2:$A$500,Result_Database!$B$2:$B$500),
_xlfn.IFNA(_xlpm.result,"")
)</f>
        <v/>
      </c>
      <c r="D363" t="str">
        <f>_xlfn.LET(
  _xlpm.result, _xlfn.XLOOKUP($B363, Result_Database!$A$2:$A$500, Result_Database!C$2:C$500),
  _xlfn.IFNA(_xlpm.result, "")
)</f>
        <v/>
      </c>
      <c r="E363" t="str">
        <f>_xlfn.LET(
  _xlpm.result, _xlfn.XLOOKUP($B363, Result_Database!$A$2:$A$500, Result_Database!D$2:D$500),
  _xlfn.IFNA(_xlpm.result, "")
)</f>
        <v/>
      </c>
      <c r="F363" t="str">
        <f>_xlfn.LET(
  _xlpm.result, _xlfn.XLOOKUP($B363, Result_Database!$A$2:$A$500, Result_Database!E$2:E$500),
  _xlfn.IFNA(_xlpm.result, "")
)</f>
        <v/>
      </c>
      <c r="G363" t="str">
        <f>_xlfn.LET(
  _xlpm.result, _xlfn.XLOOKUP($B363, Result_Database!$A$2:$A$500, Result_Database!F$2:F$500),
  _xlfn.IFNA(_xlpm.result, "")
)</f>
        <v/>
      </c>
      <c r="H363" t="str">
        <f>_xlfn.LET(
  _xlpm.result, _xlfn.XLOOKUP($B363, Result_Database!$A$2:$A$500, Result_Database!G$2:G$500),
  _xlfn.IFNA(_xlpm.result, "")
)</f>
        <v/>
      </c>
      <c r="I363" t="str">
        <f>_xlfn.LET(
  _xlpm.result, _xlfn.XLOOKUP($B363, Result_Database!$A$2:$A$500, Result_Database!H$2:H$500),
  _xlfn.IFNA(_xlpm.result, "")
)</f>
        <v/>
      </c>
      <c r="J363" t="str">
        <f>_xlfn.LET(
  _xlpm.result, _xlfn.XLOOKUP($B363, Result_Database!$A$2:$A$500, Result_Database!I$2:I$500),
  _xlfn.IFNA(_xlpm.result, "")
)</f>
        <v/>
      </c>
      <c r="K363" t="str">
        <f>_xlfn.LET(
  _xlpm.result, _xlfn.XLOOKUP($B363, Result_Database!$A$2:$A$500, Result_Database!J$2:J$500),
  _xlfn.IFNA(_xlpm.result, "")
)</f>
        <v/>
      </c>
      <c r="L363" t="str">
        <f>_xlfn.LET(
  _xlpm.result, _xlfn.XLOOKUP($B363, Result_Database!$A$2:$A$500, Result_Database!K$2:K$500),
  _xlfn.IFNA(_xlpm.result, "")
)</f>
        <v/>
      </c>
      <c r="M363" t="str">
        <f>_xlfn.LET(
  _xlpm.result, _xlfn.XLOOKUP($B363, Result_Database!$A$2:$A$500, Result_Database!L$2:L$500),
  _xlfn.IFNA(_xlpm.result, "")
)</f>
        <v/>
      </c>
      <c r="N363" t="str">
        <f>_xlfn.LET(
  _xlpm.result, _xlfn.XLOOKUP($B363, Result_Database!$A$2:$A$500, Result_Database!M$2:M$500),
  _xlfn.IFNA(_xlpm.result, "")
)</f>
        <v/>
      </c>
      <c r="O363" t="str">
        <f>_xlfn.LET(
  _xlpm.result, _xlfn.XLOOKUP($B363, Result_Database!$A$2:$A$500, Result_Database!N$2:N$500),
  _xlfn.IFNA(_xlpm.result, "")
)</f>
        <v/>
      </c>
      <c r="P363" t="str">
        <f>_xlfn.LET(
  _xlpm.result, _xlfn.XLOOKUP($B363, Result_Database!$A$2:$A$500, Result_Database!O$2:O$500),
  _xlfn.IFNA(_xlpm.result, "")
)</f>
        <v/>
      </c>
      <c r="Q363" t="str">
        <f>_xlfn.LET(
  _xlpm.result, _xlfn.XLOOKUP($B363, Result_Database!$A$2:$A$500, Result_Database!P$2:P$500),
  _xlfn.IFNA(_xlpm.result, "")
)</f>
        <v/>
      </c>
      <c r="R363" t="str">
        <f>_xlfn.LET(
  _xlpm.result, _xlfn.XLOOKUP($B363, Result_Database!$A$2:$A$500, Result_Database!Q$2:Q$500),
  _xlfn.IFNA(_xlpm.result, "")
)</f>
        <v/>
      </c>
      <c r="S363" t="str">
        <f>_xlfn.LET(
  _xlpm.result, _xlfn.XLOOKUP($B363, Result_Database!$A$2:$A$500, Result_Database!R$2:R$500),
  _xlfn.IFNA(_xlpm.result, "")
)</f>
        <v/>
      </c>
      <c r="T363" t="str">
        <f>_xlfn.LET(
  _xlpm.result, _xlfn.XLOOKUP($B363, Result_Database!$A$2:$A$500, Result_Database!S$2:S$500),
  _xlfn.IFNA(_xlpm.result, "")
)</f>
        <v/>
      </c>
      <c r="U363" t="str">
        <f>_xlfn.LET(
  _xlpm.result, _xlfn.XLOOKUP($B363, Result_Database!$A$2:$A$500, Result_Database!T$2:T$500),
  _xlfn.IFNA(_xlpm.result, "")
)</f>
        <v/>
      </c>
      <c r="V363" t="str">
        <f>_xlfn.LET(
  _xlpm.result, _xlfn.XLOOKUP($B363, Result_Database!$A$2:$A$500, Result_Database!U$2:U$500),
  _xlfn.IFNA(_xlpm.result, "")
)</f>
        <v/>
      </c>
      <c r="W363" t="str">
        <f>_xlfn.LET(
  _xlpm.result, _xlfn.XLOOKUP($B363, Result_Database!$A$2:$A$500, Result_Database!V$2:V$500),
  _xlfn.IFNA(_xlpm.result, "")
)</f>
        <v/>
      </c>
      <c r="X363" t="str">
        <f>_xlfn.LET(
  _xlpm.result, _xlfn.XLOOKUP($B363, Result_Database!$A$2:$A$500, Result_Database!W$2:W$500),
  _xlfn.IFNA(_xlpm.result, "")
)</f>
        <v/>
      </c>
      <c r="Y363" t="str">
        <f>_xlfn.LET(
  _xlpm.result, _xlfn.XLOOKUP($B363, Result_Database!$A$2:$A$500, Result_Database!X$2:X$500),
  _xlfn.IFNA(_xlpm.result, "")
)</f>
        <v/>
      </c>
      <c r="Z363" t="str">
        <f>_xlfn.LET(
  _xlpm.result, _xlfn.XLOOKUP($B363, Result_Database!$A$2:$A$500, Result_Database!Y$2:Y$500),
  _xlfn.IFNA(_xlpm.result, "")
)</f>
        <v/>
      </c>
      <c r="AA363" t="str">
        <f>_xlfn.LET(
  _xlpm.result, _xlfn.XLOOKUP($B363, Result_Database!$A$2:$A$500, Result_Database!Z$2:Z$500),
  _xlfn.IFNA(_xlpm.result, "")
)</f>
        <v/>
      </c>
      <c r="AB363" t="str">
        <f>_xlfn.LET(
  _xlpm.result, _xlfn.XLOOKUP($B363, Result_Database!$A$2:$A$500, Result_Database!AA$2:AA$500),
  _xlfn.IFNA(_xlpm.result, "")
)</f>
        <v/>
      </c>
      <c r="AC363" t="str">
        <f>_xlfn.LET(
  _xlpm.result, _xlfn.XLOOKUP($B363, Result_Database!$A$2:$A$500, Result_Database!AB$2:AB$500),
  _xlfn.IFNA(_xlpm.result, "")
)</f>
        <v/>
      </c>
      <c r="AD363" t="str">
        <f>_xlfn.LET(
  _xlpm.result, _xlfn.XLOOKUP($B363, Result_Database!$A$2:$A$500, Result_Database!AC$2:AC$500),
  _xlfn.IFNA(_xlpm.result, "")
)</f>
        <v/>
      </c>
      <c r="AE363" t="str">
        <f>_xlfn.LET(
  _xlpm.result, _xlfn.XLOOKUP($B363, Result_Database!$A$2:$A$500, Result_Database!AD$2:AD$500),
  _xlfn.IFNA(_xlpm.result, "")
)</f>
        <v/>
      </c>
      <c r="AF363" t="str">
        <f>_xlfn.LET(
  _xlpm.result, _xlfn.XLOOKUP($B363, Result_Database!$A$2:$A$500, Result_Database!AE$2:AE$500),
  _xlfn.IFNA(_xlpm.result, "")
)</f>
        <v/>
      </c>
      <c r="AG363" t="str">
        <f>_xlfn.LET(
  _xlpm.result, _xlfn.XLOOKUP($B363, Result_Database!$A$2:$A$500, Result_Database!AF$2:AF$500),
  _xlfn.IFNA(_xlpm.result, "")
)</f>
        <v/>
      </c>
      <c r="AH363" t="str">
        <f>_xlfn.LET(
  _xlpm.result, _xlfn.XLOOKUP($B363, Result_Database!$A$2:$A$500, Result_Database!AG$2:AG$500),
  _xlfn.IFNA(_xlpm.result, "")
)</f>
        <v/>
      </c>
      <c r="AI363" t="str">
        <f>_xlfn.LET(
  _xlpm.result, _xlfn.XLOOKUP($B363, Result_Database!$A$2:$A$500, Result_Database!AH$2:AH$500),
  _xlfn.IFNA(_xlpm.result, "")
)</f>
        <v/>
      </c>
      <c r="AJ363" t="str">
        <f>_xlfn.LET(
  _xlpm.result, _xlfn.XLOOKUP($B363, Result_Database!$A$2:$A$500, Result_Database!AI$2:AI$500),
  _xlfn.IFNA(_xlpm.result, "")
)</f>
        <v/>
      </c>
      <c r="AK363" t="str">
        <f>_xlfn.LET(
  _xlpm.result, _xlfn.XLOOKUP($B363, Result_Database!$A$2:$A$500, Result_Database!AJ$2:AJ$500),
  _xlfn.IFNA(_xlpm.result, "")
)</f>
        <v/>
      </c>
      <c r="AL363" t="str">
        <f>_xlfn.LET(
  _xlpm.result, _xlfn.XLOOKUP($B363, Result_Database!$A$2:$A$500, Result_Database!AK$2:AK$500),
  _xlfn.IFNA(_xlpm.result, "")
)</f>
        <v/>
      </c>
      <c r="AM36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6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6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6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6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6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6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6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6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63" t="str">
        <f>IF(SUM(Table5[[#This Row],[A1]:[C6]])&lt;&gt;0,SUM(Table5[[#This Row],[A1]:[C6]]),"")</f>
        <v/>
      </c>
      <c r="AW363" t="str">
        <f>IF(SUM(Table5[[#This Row],[D7]:[F9]])=0,"",SUM(Table5[[#This Row],[D7]:[F9]]))</f>
        <v/>
      </c>
      <c r="AX36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6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6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6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6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6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63" t="str">
        <f>IF(COUNTIF(Table5[[#This Row],[English Language]:[Electrical/ Electronics]],"WITHHELD")=0,"",COUNTIF(Table5[[#This Row],[English Language]:[Electrical/ Electronics]],"WITHHELD"))</f>
        <v/>
      </c>
      <c r="BE363" t="str">
        <f>IF(SUM(Table5[[#This Row],[NO OF CREDITS]:[BELOW CREDITS]])=0,"",SUM(Table5[[#This Row],[NO OF CREDITS]:[BELOW CREDITS]]))</f>
        <v/>
      </c>
    </row>
    <row r="364" spans="1:57" x14ac:dyDescent="0.3">
      <c r="A364" t="str">
        <f>IF(B364&lt;&gt;"",COUNTA($B$6:B364),"")</f>
        <v/>
      </c>
      <c r="B364" t="str">
        <f>IF(Result_Database!A360="","",Result_Database!A360)</f>
        <v/>
      </c>
      <c r="C364" t="str">
        <f>_xlfn.LET(
_xlpm.result,_xlfn.XLOOKUP($B364,Result_Database!$A$2:$A$500,Result_Database!$B$2:$B$500),
_xlfn.IFNA(_xlpm.result,"")
)</f>
        <v/>
      </c>
      <c r="D364" t="str">
        <f>_xlfn.LET(
  _xlpm.result, _xlfn.XLOOKUP($B364, Result_Database!$A$2:$A$500, Result_Database!C$2:C$500),
  _xlfn.IFNA(_xlpm.result, "")
)</f>
        <v/>
      </c>
      <c r="E364" t="str">
        <f>_xlfn.LET(
  _xlpm.result, _xlfn.XLOOKUP($B364, Result_Database!$A$2:$A$500, Result_Database!D$2:D$500),
  _xlfn.IFNA(_xlpm.result, "")
)</f>
        <v/>
      </c>
      <c r="F364" t="str">
        <f>_xlfn.LET(
  _xlpm.result, _xlfn.XLOOKUP($B364, Result_Database!$A$2:$A$500, Result_Database!E$2:E$500),
  _xlfn.IFNA(_xlpm.result, "")
)</f>
        <v/>
      </c>
      <c r="G364" t="str">
        <f>_xlfn.LET(
  _xlpm.result, _xlfn.XLOOKUP($B364, Result_Database!$A$2:$A$500, Result_Database!F$2:F$500),
  _xlfn.IFNA(_xlpm.result, "")
)</f>
        <v/>
      </c>
      <c r="H364" t="str">
        <f>_xlfn.LET(
  _xlpm.result, _xlfn.XLOOKUP($B364, Result_Database!$A$2:$A$500, Result_Database!G$2:G$500),
  _xlfn.IFNA(_xlpm.result, "")
)</f>
        <v/>
      </c>
      <c r="I364" t="str">
        <f>_xlfn.LET(
  _xlpm.result, _xlfn.XLOOKUP($B364, Result_Database!$A$2:$A$500, Result_Database!H$2:H$500),
  _xlfn.IFNA(_xlpm.result, "")
)</f>
        <v/>
      </c>
      <c r="J364" t="str">
        <f>_xlfn.LET(
  _xlpm.result, _xlfn.XLOOKUP($B364, Result_Database!$A$2:$A$500, Result_Database!I$2:I$500),
  _xlfn.IFNA(_xlpm.result, "")
)</f>
        <v/>
      </c>
      <c r="K364" t="str">
        <f>_xlfn.LET(
  _xlpm.result, _xlfn.XLOOKUP($B364, Result_Database!$A$2:$A$500, Result_Database!J$2:J$500),
  _xlfn.IFNA(_xlpm.result, "")
)</f>
        <v/>
      </c>
      <c r="L364" t="str">
        <f>_xlfn.LET(
  _xlpm.result, _xlfn.XLOOKUP($B364, Result_Database!$A$2:$A$500, Result_Database!K$2:K$500),
  _xlfn.IFNA(_xlpm.result, "")
)</f>
        <v/>
      </c>
      <c r="M364" t="str">
        <f>_xlfn.LET(
  _xlpm.result, _xlfn.XLOOKUP($B364, Result_Database!$A$2:$A$500, Result_Database!L$2:L$500),
  _xlfn.IFNA(_xlpm.result, "")
)</f>
        <v/>
      </c>
      <c r="N364" t="str">
        <f>_xlfn.LET(
  _xlpm.result, _xlfn.XLOOKUP($B364, Result_Database!$A$2:$A$500, Result_Database!M$2:M$500),
  _xlfn.IFNA(_xlpm.result, "")
)</f>
        <v/>
      </c>
      <c r="O364" t="str">
        <f>_xlfn.LET(
  _xlpm.result, _xlfn.XLOOKUP($B364, Result_Database!$A$2:$A$500, Result_Database!N$2:N$500),
  _xlfn.IFNA(_xlpm.result, "")
)</f>
        <v/>
      </c>
      <c r="P364" t="str">
        <f>_xlfn.LET(
  _xlpm.result, _xlfn.XLOOKUP($B364, Result_Database!$A$2:$A$500, Result_Database!O$2:O$500),
  _xlfn.IFNA(_xlpm.result, "")
)</f>
        <v/>
      </c>
      <c r="Q364" t="str">
        <f>_xlfn.LET(
  _xlpm.result, _xlfn.XLOOKUP($B364, Result_Database!$A$2:$A$500, Result_Database!P$2:P$500),
  _xlfn.IFNA(_xlpm.result, "")
)</f>
        <v/>
      </c>
      <c r="R364" t="str">
        <f>_xlfn.LET(
  _xlpm.result, _xlfn.XLOOKUP($B364, Result_Database!$A$2:$A$500, Result_Database!Q$2:Q$500),
  _xlfn.IFNA(_xlpm.result, "")
)</f>
        <v/>
      </c>
      <c r="S364" t="str">
        <f>_xlfn.LET(
  _xlpm.result, _xlfn.XLOOKUP($B364, Result_Database!$A$2:$A$500, Result_Database!R$2:R$500),
  _xlfn.IFNA(_xlpm.result, "")
)</f>
        <v/>
      </c>
      <c r="T364" t="str">
        <f>_xlfn.LET(
  _xlpm.result, _xlfn.XLOOKUP($B364, Result_Database!$A$2:$A$500, Result_Database!S$2:S$500),
  _xlfn.IFNA(_xlpm.result, "")
)</f>
        <v/>
      </c>
      <c r="U364" t="str">
        <f>_xlfn.LET(
  _xlpm.result, _xlfn.XLOOKUP($B364, Result_Database!$A$2:$A$500, Result_Database!T$2:T$500),
  _xlfn.IFNA(_xlpm.result, "")
)</f>
        <v/>
      </c>
      <c r="V364" t="str">
        <f>_xlfn.LET(
  _xlpm.result, _xlfn.XLOOKUP($B364, Result_Database!$A$2:$A$500, Result_Database!U$2:U$500),
  _xlfn.IFNA(_xlpm.result, "")
)</f>
        <v/>
      </c>
      <c r="W364" t="str">
        <f>_xlfn.LET(
  _xlpm.result, _xlfn.XLOOKUP($B364, Result_Database!$A$2:$A$500, Result_Database!V$2:V$500),
  _xlfn.IFNA(_xlpm.result, "")
)</f>
        <v/>
      </c>
      <c r="X364" t="str">
        <f>_xlfn.LET(
  _xlpm.result, _xlfn.XLOOKUP($B364, Result_Database!$A$2:$A$500, Result_Database!W$2:W$500),
  _xlfn.IFNA(_xlpm.result, "")
)</f>
        <v/>
      </c>
      <c r="Y364" t="str">
        <f>_xlfn.LET(
  _xlpm.result, _xlfn.XLOOKUP($B364, Result_Database!$A$2:$A$500, Result_Database!X$2:X$500),
  _xlfn.IFNA(_xlpm.result, "")
)</f>
        <v/>
      </c>
      <c r="Z364" t="str">
        <f>_xlfn.LET(
  _xlpm.result, _xlfn.XLOOKUP($B364, Result_Database!$A$2:$A$500, Result_Database!Y$2:Y$500),
  _xlfn.IFNA(_xlpm.result, "")
)</f>
        <v/>
      </c>
      <c r="AA364" t="str">
        <f>_xlfn.LET(
  _xlpm.result, _xlfn.XLOOKUP($B364, Result_Database!$A$2:$A$500, Result_Database!Z$2:Z$500),
  _xlfn.IFNA(_xlpm.result, "")
)</f>
        <v/>
      </c>
      <c r="AB364" t="str">
        <f>_xlfn.LET(
  _xlpm.result, _xlfn.XLOOKUP($B364, Result_Database!$A$2:$A$500, Result_Database!AA$2:AA$500),
  _xlfn.IFNA(_xlpm.result, "")
)</f>
        <v/>
      </c>
      <c r="AC364" t="str">
        <f>_xlfn.LET(
  _xlpm.result, _xlfn.XLOOKUP($B364, Result_Database!$A$2:$A$500, Result_Database!AB$2:AB$500),
  _xlfn.IFNA(_xlpm.result, "")
)</f>
        <v/>
      </c>
      <c r="AD364" t="str">
        <f>_xlfn.LET(
  _xlpm.result, _xlfn.XLOOKUP($B364, Result_Database!$A$2:$A$500, Result_Database!AC$2:AC$500),
  _xlfn.IFNA(_xlpm.result, "")
)</f>
        <v/>
      </c>
      <c r="AE364" t="str">
        <f>_xlfn.LET(
  _xlpm.result, _xlfn.XLOOKUP($B364, Result_Database!$A$2:$A$500, Result_Database!AD$2:AD$500),
  _xlfn.IFNA(_xlpm.result, "")
)</f>
        <v/>
      </c>
      <c r="AF364" t="str">
        <f>_xlfn.LET(
  _xlpm.result, _xlfn.XLOOKUP($B364, Result_Database!$A$2:$A$500, Result_Database!AE$2:AE$500),
  _xlfn.IFNA(_xlpm.result, "")
)</f>
        <v/>
      </c>
      <c r="AG364" t="str">
        <f>_xlfn.LET(
  _xlpm.result, _xlfn.XLOOKUP($B364, Result_Database!$A$2:$A$500, Result_Database!AF$2:AF$500),
  _xlfn.IFNA(_xlpm.result, "")
)</f>
        <v/>
      </c>
      <c r="AH364" t="str">
        <f>_xlfn.LET(
  _xlpm.result, _xlfn.XLOOKUP($B364, Result_Database!$A$2:$A$500, Result_Database!AG$2:AG$500),
  _xlfn.IFNA(_xlpm.result, "")
)</f>
        <v/>
      </c>
      <c r="AI364" t="str">
        <f>_xlfn.LET(
  _xlpm.result, _xlfn.XLOOKUP($B364, Result_Database!$A$2:$A$500, Result_Database!AH$2:AH$500),
  _xlfn.IFNA(_xlpm.result, "")
)</f>
        <v/>
      </c>
      <c r="AJ364" t="str">
        <f>_xlfn.LET(
  _xlpm.result, _xlfn.XLOOKUP($B364, Result_Database!$A$2:$A$500, Result_Database!AI$2:AI$500),
  _xlfn.IFNA(_xlpm.result, "")
)</f>
        <v/>
      </c>
      <c r="AK364" t="str">
        <f>_xlfn.LET(
  _xlpm.result, _xlfn.XLOOKUP($B364, Result_Database!$A$2:$A$500, Result_Database!AJ$2:AJ$500),
  _xlfn.IFNA(_xlpm.result, "")
)</f>
        <v/>
      </c>
      <c r="AL364" t="str">
        <f>_xlfn.LET(
  _xlpm.result, _xlfn.XLOOKUP($B364, Result_Database!$A$2:$A$500, Result_Database!AK$2:AK$500),
  _xlfn.IFNA(_xlpm.result, "")
)</f>
        <v/>
      </c>
      <c r="AM36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6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6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6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6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6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6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6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6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64" t="str">
        <f>IF(SUM(Table5[[#This Row],[A1]:[C6]])&lt;&gt;0,SUM(Table5[[#This Row],[A1]:[C6]]),"")</f>
        <v/>
      </c>
      <c r="AW364" t="str">
        <f>IF(SUM(Table5[[#This Row],[D7]:[F9]])=0,"",SUM(Table5[[#This Row],[D7]:[F9]]))</f>
        <v/>
      </c>
      <c r="AX36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6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6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6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6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6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64" t="str">
        <f>IF(COUNTIF(Table5[[#This Row],[English Language]:[Electrical/ Electronics]],"WITHHELD")=0,"",COUNTIF(Table5[[#This Row],[English Language]:[Electrical/ Electronics]],"WITHHELD"))</f>
        <v/>
      </c>
      <c r="BE364" t="str">
        <f>IF(SUM(Table5[[#This Row],[NO OF CREDITS]:[BELOW CREDITS]])=0,"",SUM(Table5[[#This Row],[NO OF CREDITS]:[BELOW CREDITS]]))</f>
        <v/>
      </c>
    </row>
    <row r="365" spans="1:57" x14ac:dyDescent="0.3">
      <c r="A365" t="str">
        <f>IF(B365&lt;&gt;"",COUNTA($B$6:B365),"")</f>
        <v/>
      </c>
      <c r="B365" t="str">
        <f>IF(Result_Database!A361="","",Result_Database!A361)</f>
        <v/>
      </c>
      <c r="C365" t="str">
        <f>_xlfn.LET(
_xlpm.result,_xlfn.XLOOKUP($B365,Result_Database!$A$2:$A$500,Result_Database!$B$2:$B$500),
_xlfn.IFNA(_xlpm.result,"")
)</f>
        <v/>
      </c>
      <c r="D365" t="str">
        <f>_xlfn.LET(
  _xlpm.result, _xlfn.XLOOKUP($B365, Result_Database!$A$2:$A$500, Result_Database!C$2:C$500),
  _xlfn.IFNA(_xlpm.result, "")
)</f>
        <v/>
      </c>
      <c r="E365" t="str">
        <f>_xlfn.LET(
  _xlpm.result, _xlfn.XLOOKUP($B365, Result_Database!$A$2:$A$500, Result_Database!D$2:D$500),
  _xlfn.IFNA(_xlpm.result, "")
)</f>
        <v/>
      </c>
      <c r="F365" t="str">
        <f>_xlfn.LET(
  _xlpm.result, _xlfn.XLOOKUP($B365, Result_Database!$A$2:$A$500, Result_Database!E$2:E$500),
  _xlfn.IFNA(_xlpm.result, "")
)</f>
        <v/>
      </c>
      <c r="G365" t="str">
        <f>_xlfn.LET(
  _xlpm.result, _xlfn.XLOOKUP($B365, Result_Database!$A$2:$A$500, Result_Database!F$2:F$500),
  _xlfn.IFNA(_xlpm.result, "")
)</f>
        <v/>
      </c>
      <c r="H365" t="str">
        <f>_xlfn.LET(
  _xlpm.result, _xlfn.XLOOKUP($B365, Result_Database!$A$2:$A$500, Result_Database!G$2:G$500),
  _xlfn.IFNA(_xlpm.result, "")
)</f>
        <v/>
      </c>
      <c r="I365" t="str">
        <f>_xlfn.LET(
  _xlpm.result, _xlfn.XLOOKUP($B365, Result_Database!$A$2:$A$500, Result_Database!H$2:H$500),
  _xlfn.IFNA(_xlpm.result, "")
)</f>
        <v/>
      </c>
      <c r="J365" t="str">
        <f>_xlfn.LET(
  _xlpm.result, _xlfn.XLOOKUP($B365, Result_Database!$A$2:$A$500, Result_Database!I$2:I$500),
  _xlfn.IFNA(_xlpm.result, "")
)</f>
        <v/>
      </c>
      <c r="K365" t="str">
        <f>_xlfn.LET(
  _xlpm.result, _xlfn.XLOOKUP($B365, Result_Database!$A$2:$A$500, Result_Database!J$2:J$500),
  _xlfn.IFNA(_xlpm.result, "")
)</f>
        <v/>
      </c>
      <c r="L365" t="str">
        <f>_xlfn.LET(
  _xlpm.result, _xlfn.XLOOKUP($B365, Result_Database!$A$2:$A$500, Result_Database!K$2:K$500),
  _xlfn.IFNA(_xlpm.result, "")
)</f>
        <v/>
      </c>
      <c r="M365" t="str">
        <f>_xlfn.LET(
  _xlpm.result, _xlfn.XLOOKUP($B365, Result_Database!$A$2:$A$500, Result_Database!L$2:L$500),
  _xlfn.IFNA(_xlpm.result, "")
)</f>
        <v/>
      </c>
      <c r="N365" t="str">
        <f>_xlfn.LET(
  _xlpm.result, _xlfn.XLOOKUP($B365, Result_Database!$A$2:$A$500, Result_Database!M$2:M$500),
  _xlfn.IFNA(_xlpm.result, "")
)</f>
        <v/>
      </c>
      <c r="O365" t="str">
        <f>_xlfn.LET(
  _xlpm.result, _xlfn.XLOOKUP($B365, Result_Database!$A$2:$A$500, Result_Database!N$2:N$500),
  _xlfn.IFNA(_xlpm.result, "")
)</f>
        <v/>
      </c>
      <c r="P365" t="str">
        <f>_xlfn.LET(
  _xlpm.result, _xlfn.XLOOKUP($B365, Result_Database!$A$2:$A$500, Result_Database!O$2:O$500),
  _xlfn.IFNA(_xlpm.result, "")
)</f>
        <v/>
      </c>
      <c r="Q365" t="str">
        <f>_xlfn.LET(
  _xlpm.result, _xlfn.XLOOKUP($B365, Result_Database!$A$2:$A$500, Result_Database!P$2:P$500),
  _xlfn.IFNA(_xlpm.result, "")
)</f>
        <v/>
      </c>
      <c r="R365" t="str">
        <f>_xlfn.LET(
  _xlpm.result, _xlfn.XLOOKUP($B365, Result_Database!$A$2:$A$500, Result_Database!Q$2:Q$500),
  _xlfn.IFNA(_xlpm.result, "")
)</f>
        <v/>
      </c>
      <c r="S365" t="str">
        <f>_xlfn.LET(
  _xlpm.result, _xlfn.XLOOKUP($B365, Result_Database!$A$2:$A$500, Result_Database!R$2:R$500),
  _xlfn.IFNA(_xlpm.result, "")
)</f>
        <v/>
      </c>
      <c r="T365" t="str">
        <f>_xlfn.LET(
  _xlpm.result, _xlfn.XLOOKUP($B365, Result_Database!$A$2:$A$500, Result_Database!S$2:S$500),
  _xlfn.IFNA(_xlpm.result, "")
)</f>
        <v/>
      </c>
      <c r="U365" t="str">
        <f>_xlfn.LET(
  _xlpm.result, _xlfn.XLOOKUP($B365, Result_Database!$A$2:$A$500, Result_Database!T$2:T$500),
  _xlfn.IFNA(_xlpm.result, "")
)</f>
        <v/>
      </c>
      <c r="V365" t="str">
        <f>_xlfn.LET(
  _xlpm.result, _xlfn.XLOOKUP($B365, Result_Database!$A$2:$A$500, Result_Database!U$2:U$500),
  _xlfn.IFNA(_xlpm.result, "")
)</f>
        <v/>
      </c>
      <c r="W365" t="str">
        <f>_xlfn.LET(
  _xlpm.result, _xlfn.XLOOKUP($B365, Result_Database!$A$2:$A$500, Result_Database!V$2:V$500),
  _xlfn.IFNA(_xlpm.result, "")
)</f>
        <v/>
      </c>
      <c r="X365" t="str">
        <f>_xlfn.LET(
  _xlpm.result, _xlfn.XLOOKUP($B365, Result_Database!$A$2:$A$500, Result_Database!W$2:W$500),
  _xlfn.IFNA(_xlpm.result, "")
)</f>
        <v/>
      </c>
      <c r="Y365" t="str">
        <f>_xlfn.LET(
  _xlpm.result, _xlfn.XLOOKUP($B365, Result_Database!$A$2:$A$500, Result_Database!X$2:X$500),
  _xlfn.IFNA(_xlpm.result, "")
)</f>
        <v/>
      </c>
      <c r="Z365" t="str">
        <f>_xlfn.LET(
  _xlpm.result, _xlfn.XLOOKUP($B365, Result_Database!$A$2:$A$500, Result_Database!Y$2:Y$500),
  _xlfn.IFNA(_xlpm.result, "")
)</f>
        <v/>
      </c>
      <c r="AA365" t="str">
        <f>_xlfn.LET(
  _xlpm.result, _xlfn.XLOOKUP($B365, Result_Database!$A$2:$A$500, Result_Database!Z$2:Z$500),
  _xlfn.IFNA(_xlpm.result, "")
)</f>
        <v/>
      </c>
      <c r="AB365" t="str">
        <f>_xlfn.LET(
  _xlpm.result, _xlfn.XLOOKUP($B365, Result_Database!$A$2:$A$500, Result_Database!AA$2:AA$500),
  _xlfn.IFNA(_xlpm.result, "")
)</f>
        <v/>
      </c>
      <c r="AC365" t="str">
        <f>_xlfn.LET(
  _xlpm.result, _xlfn.XLOOKUP($B365, Result_Database!$A$2:$A$500, Result_Database!AB$2:AB$500),
  _xlfn.IFNA(_xlpm.result, "")
)</f>
        <v/>
      </c>
      <c r="AD365" t="str">
        <f>_xlfn.LET(
  _xlpm.result, _xlfn.XLOOKUP($B365, Result_Database!$A$2:$A$500, Result_Database!AC$2:AC$500),
  _xlfn.IFNA(_xlpm.result, "")
)</f>
        <v/>
      </c>
      <c r="AE365" t="str">
        <f>_xlfn.LET(
  _xlpm.result, _xlfn.XLOOKUP($B365, Result_Database!$A$2:$A$500, Result_Database!AD$2:AD$500),
  _xlfn.IFNA(_xlpm.result, "")
)</f>
        <v/>
      </c>
      <c r="AF365" t="str">
        <f>_xlfn.LET(
  _xlpm.result, _xlfn.XLOOKUP($B365, Result_Database!$A$2:$A$500, Result_Database!AE$2:AE$500),
  _xlfn.IFNA(_xlpm.result, "")
)</f>
        <v/>
      </c>
      <c r="AG365" t="str">
        <f>_xlfn.LET(
  _xlpm.result, _xlfn.XLOOKUP($B365, Result_Database!$A$2:$A$500, Result_Database!AF$2:AF$500),
  _xlfn.IFNA(_xlpm.result, "")
)</f>
        <v/>
      </c>
      <c r="AH365" t="str">
        <f>_xlfn.LET(
  _xlpm.result, _xlfn.XLOOKUP($B365, Result_Database!$A$2:$A$500, Result_Database!AG$2:AG$500),
  _xlfn.IFNA(_xlpm.result, "")
)</f>
        <v/>
      </c>
      <c r="AI365" t="str">
        <f>_xlfn.LET(
  _xlpm.result, _xlfn.XLOOKUP($B365, Result_Database!$A$2:$A$500, Result_Database!AH$2:AH$500),
  _xlfn.IFNA(_xlpm.result, "")
)</f>
        <v/>
      </c>
      <c r="AJ365" t="str">
        <f>_xlfn.LET(
  _xlpm.result, _xlfn.XLOOKUP($B365, Result_Database!$A$2:$A$500, Result_Database!AI$2:AI$500),
  _xlfn.IFNA(_xlpm.result, "")
)</f>
        <v/>
      </c>
      <c r="AK365" t="str">
        <f>_xlfn.LET(
  _xlpm.result, _xlfn.XLOOKUP($B365, Result_Database!$A$2:$A$500, Result_Database!AJ$2:AJ$500),
  _xlfn.IFNA(_xlpm.result, "")
)</f>
        <v/>
      </c>
      <c r="AL365" t="str">
        <f>_xlfn.LET(
  _xlpm.result, _xlfn.XLOOKUP($B365, Result_Database!$A$2:$A$500, Result_Database!AK$2:AK$500),
  _xlfn.IFNA(_xlpm.result, "")
)</f>
        <v/>
      </c>
      <c r="AM36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6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6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6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6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6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6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6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6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65" t="str">
        <f>IF(SUM(Table5[[#This Row],[A1]:[C6]])&lt;&gt;0,SUM(Table5[[#This Row],[A1]:[C6]]),"")</f>
        <v/>
      </c>
      <c r="AW365" t="str">
        <f>IF(SUM(Table5[[#This Row],[D7]:[F9]])=0,"",SUM(Table5[[#This Row],[D7]:[F9]]))</f>
        <v/>
      </c>
      <c r="AX36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6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6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6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6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6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65" t="str">
        <f>IF(COUNTIF(Table5[[#This Row],[English Language]:[Electrical/ Electronics]],"WITHHELD")=0,"",COUNTIF(Table5[[#This Row],[English Language]:[Electrical/ Electronics]],"WITHHELD"))</f>
        <v/>
      </c>
      <c r="BE365" t="str">
        <f>IF(SUM(Table5[[#This Row],[NO OF CREDITS]:[BELOW CREDITS]])=0,"",SUM(Table5[[#This Row],[NO OF CREDITS]:[BELOW CREDITS]]))</f>
        <v/>
      </c>
    </row>
    <row r="366" spans="1:57" x14ac:dyDescent="0.3">
      <c r="A366" t="str">
        <f>IF(B366&lt;&gt;"",COUNTA($B$6:B366),"")</f>
        <v/>
      </c>
      <c r="B366" t="str">
        <f>IF(Result_Database!A362="","",Result_Database!A362)</f>
        <v/>
      </c>
      <c r="C366" t="str">
        <f>_xlfn.LET(
_xlpm.result,_xlfn.XLOOKUP($B366,Result_Database!$A$2:$A$500,Result_Database!$B$2:$B$500),
_xlfn.IFNA(_xlpm.result,"")
)</f>
        <v/>
      </c>
      <c r="D366" t="str">
        <f>_xlfn.LET(
  _xlpm.result, _xlfn.XLOOKUP($B366, Result_Database!$A$2:$A$500, Result_Database!C$2:C$500),
  _xlfn.IFNA(_xlpm.result, "")
)</f>
        <v/>
      </c>
      <c r="E366" t="str">
        <f>_xlfn.LET(
  _xlpm.result, _xlfn.XLOOKUP($B366, Result_Database!$A$2:$A$500, Result_Database!D$2:D$500),
  _xlfn.IFNA(_xlpm.result, "")
)</f>
        <v/>
      </c>
      <c r="F366" t="str">
        <f>_xlfn.LET(
  _xlpm.result, _xlfn.XLOOKUP($B366, Result_Database!$A$2:$A$500, Result_Database!E$2:E$500),
  _xlfn.IFNA(_xlpm.result, "")
)</f>
        <v/>
      </c>
      <c r="G366" t="str">
        <f>_xlfn.LET(
  _xlpm.result, _xlfn.XLOOKUP($B366, Result_Database!$A$2:$A$500, Result_Database!F$2:F$500),
  _xlfn.IFNA(_xlpm.result, "")
)</f>
        <v/>
      </c>
      <c r="H366" t="str">
        <f>_xlfn.LET(
  _xlpm.result, _xlfn.XLOOKUP($B366, Result_Database!$A$2:$A$500, Result_Database!G$2:G$500),
  _xlfn.IFNA(_xlpm.result, "")
)</f>
        <v/>
      </c>
      <c r="I366" t="str">
        <f>_xlfn.LET(
  _xlpm.result, _xlfn.XLOOKUP($B366, Result_Database!$A$2:$A$500, Result_Database!H$2:H$500),
  _xlfn.IFNA(_xlpm.result, "")
)</f>
        <v/>
      </c>
      <c r="J366" t="str">
        <f>_xlfn.LET(
  _xlpm.result, _xlfn.XLOOKUP($B366, Result_Database!$A$2:$A$500, Result_Database!I$2:I$500),
  _xlfn.IFNA(_xlpm.result, "")
)</f>
        <v/>
      </c>
      <c r="K366" t="str">
        <f>_xlfn.LET(
  _xlpm.result, _xlfn.XLOOKUP($B366, Result_Database!$A$2:$A$500, Result_Database!J$2:J$500),
  _xlfn.IFNA(_xlpm.result, "")
)</f>
        <v/>
      </c>
      <c r="L366" t="str">
        <f>_xlfn.LET(
  _xlpm.result, _xlfn.XLOOKUP($B366, Result_Database!$A$2:$A$500, Result_Database!K$2:K$500),
  _xlfn.IFNA(_xlpm.result, "")
)</f>
        <v/>
      </c>
      <c r="M366" t="str">
        <f>_xlfn.LET(
  _xlpm.result, _xlfn.XLOOKUP($B366, Result_Database!$A$2:$A$500, Result_Database!L$2:L$500),
  _xlfn.IFNA(_xlpm.result, "")
)</f>
        <v/>
      </c>
      <c r="N366" t="str">
        <f>_xlfn.LET(
  _xlpm.result, _xlfn.XLOOKUP($B366, Result_Database!$A$2:$A$500, Result_Database!M$2:M$500),
  _xlfn.IFNA(_xlpm.result, "")
)</f>
        <v/>
      </c>
      <c r="O366" t="str">
        <f>_xlfn.LET(
  _xlpm.result, _xlfn.XLOOKUP($B366, Result_Database!$A$2:$A$500, Result_Database!N$2:N$500),
  _xlfn.IFNA(_xlpm.result, "")
)</f>
        <v/>
      </c>
      <c r="P366" t="str">
        <f>_xlfn.LET(
  _xlpm.result, _xlfn.XLOOKUP($B366, Result_Database!$A$2:$A$500, Result_Database!O$2:O$500),
  _xlfn.IFNA(_xlpm.result, "")
)</f>
        <v/>
      </c>
      <c r="Q366" t="str">
        <f>_xlfn.LET(
  _xlpm.result, _xlfn.XLOOKUP($B366, Result_Database!$A$2:$A$500, Result_Database!P$2:P$500),
  _xlfn.IFNA(_xlpm.result, "")
)</f>
        <v/>
      </c>
      <c r="R366" t="str">
        <f>_xlfn.LET(
  _xlpm.result, _xlfn.XLOOKUP($B366, Result_Database!$A$2:$A$500, Result_Database!Q$2:Q$500),
  _xlfn.IFNA(_xlpm.result, "")
)</f>
        <v/>
      </c>
      <c r="S366" t="str">
        <f>_xlfn.LET(
  _xlpm.result, _xlfn.XLOOKUP($B366, Result_Database!$A$2:$A$500, Result_Database!R$2:R$500),
  _xlfn.IFNA(_xlpm.result, "")
)</f>
        <v/>
      </c>
      <c r="T366" t="str">
        <f>_xlfn.LET(
  _xlpm.result, _xlfn.XLOOKUP($B366, Result_Database!$A$2:$A$500, Result_Database!S$2:S$500),
  _xlfn.IFNA(_xlpm.result, "")
)</f>
        <v/>
      </c>
      <c r="U366" t="str">
        <f>_xlfn.LET(
  _xlpm.result, _xlfn.XLOOKUP($B366, Result_Database!$A$2:$A$500, Result_Database!T$2:T$500),
  _xlfn.IFNA(_xlpm.result, "")
)</f>
        <v/>
      </c>
      <c r="V366" t="str">
        <f>_xlfn.LET(
  _xlpm.result, _xlfn.XLOOKUP($B366, Result_Database!$A$2:$A$500, Result_Database!U$2:U$500),
  _xlfn.IFNA(_xlpm.result, "")
)</f>
        <v/>
      </c>
      <c r="W366" t="str">
        <f>_xlfn.LET(
  _xlpm.result, _xlfn.XLOOKUP($B366, Result_Database!$A$2:$A$500, Result_Database!V$2:V$500),
  _xlfn.IFNA(_xlpm.result, "")
)</f>
        <v/>
      </c>
      <c r="X366" t="str">
        <f>_xlfn.LET(
  _xlpm.result, _xlfn.XLOOKUP($B366, Result_Database!$A$2:$A$500, Result_Database!W$2:W$500),
  _xlfn.IFNA(_xlpm.result, "")
)</f>
        <v/>
      </c>
      <c r="Y366" t="str">
        <f>_xlfn.LET(
  _xlpm.result, _xlfn.XLOOKUP($B366, Result_Database!$A$2:$A$500, Result_Database!X$2:X$500),
  _xlfn.IFNA(_xlpm.result, "")
)</f>
        <v/>
      </c>
      <c r="Z366" t="str">
        <f>_xlfn.LET(
  _xlpm.result, _xlfn.XLOOKUP($B366, Result_Database!$A$2:$A$500, Result_Database!Y$2:Y$500),
  _xlfn.IFNA(_xlpm.result, "")
)</f>
        <v/>
      </c>
      <c r="AA366" t="str">
        <f>_xlfn.LET(
  _xlpm.result, _xlfn.XLOOKUP($B366, Result_Database!$A$2:$A$500, Result_Database!Z$2:Z$500),
  _xlfn.IFNA(_xlpm.result, "")
)</f>
        <v/>
      </c>
      <c r="AB366" t="str">
        <f>_xlfn.LET(
  _xlpm.result, _xlfn.XLOOKUP($B366, Result_Database!$A$2:$A$500, Result_Database!AA$2:AA$500),
  _xlfn.IFNA(_xlpm.result, "")
)</f>
        <v/>
      </c>
      <c r="AC366" t="str">
        <f>_xlfn.LET(
  _xlpm.result, _xlfn.XLOOKUP($B366, Result_Database!$A$2:$A$500, Result_Database!AB$2:AB$500),
  _xlfn.IFNA(_xlpm.result, "")
)</f>
        <v/>
      </c>
      <c r="AD366" t="str">
        <f>_xlfn.LET(
  _xlpm.result, _xlfn.XLOOKUP($B366, Result_Database!$A$2:$A$500, Result_Database!AC$2:AC$500),
  _xlfn.IFNA(_xlpm.result, "")
)</f>
        <v/>
      </c>
      <c r="AE366" t="str">
        <f>_xlfn.LET(
  _xlpm.result, _xlfn.XLOOKUP($B366, Result_Database!$A$2:$A$500, Result_Database!AD$2:AD$500),
  _xlfn.IFNA(_xlpm.result, "")
)</f>
        <v/>
      </c>
      <c r="AF366" t="str">
        <f>_xlfn.LET(
  _xlpm.result, _xlfn.XLOOKUP($B366, Result_Database!$A$2:$A$500, Result_Database!AE$2:AE$500),
  _xlfn.IFNA(_xlpm.result, "")
)</f>
        <v/>
      </c>
      <c r="AG366" t="str">
        <f>_xlfn.LET(
  _xlpm.result, _xlfn.XLOOKUP($B366, Result_Database!$A$2:$A$500, Result_Database!AF$2:AF$500),
  _xlfn.IFNA(_xlpm.result, "")
)</f>
        <v/>
      </c>
      <c r="AH366" t="str">
        <f>_xlfn.LET(
  _xlpm.result, _xlfn.XLOOKUP($B366, Result_Database!$A$2:$A$500, Result_Database!AG$2:AG$500),
  _xlfn.IFNA(_xlpm.result, "")
)</f>
        <v/>
      </c>
      <c r="AI366" t="str">
        <f>_xlfn.LET(
  _xlpm.result, _xlfn.XLOOKUP($B366, Result_Database!$A$2:$A$500, Result_Database!AH$2:AH$500),
  _xlfn.IFNA(_xlpm.result, "")
)</f>
        <v/>
      </c>
      <c r="AJ366" t="str">
        <f>_xlfn.LET(
  _xlpm.result, _xlfn.XLOOKUP($B366, Result_Database!$A$2:$A$500, Result_Database!AI$2:AI$500),
  _xlfn.IFNA(_xlpm.result, "")
)</f>
        <v/>
      </c>
      <c r="AK366" t="str">
        <f>_xlfn.LET(
  _xlpm.result, _xlfn.XLOOKUP($B366, Result_Database!$A$2:$A$500, Result_Database!AJ$2:AJ$500),
  _xlfn.IFNA(_xlpm.result, "")
)</f>
        <v/>
      </c>
      <c r="AL366" t="str">
        <f>_xlfn.LET(
  _xlpm.result, _xlfn.XLOOKUP($B366, Result_Database!$A$2:$A$500, Result_Database!AK$2:AK$500),
  _xlfn.IFNA(_xlpm.result, "")
)</f>
        <v/>
      </c>
      <c r="AM36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6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6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6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6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6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6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6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6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66" t="str">
        <f>IF(SUM(Table5[[#This Row],[A1]:[C6]])&lt;&gt;0,SUM(Table5[[#This Row],[A1]:[C6]]),"")</f>
        <v/>
      </c>
      <c r="AW366" t="str">
        <f>IF(SUM(Table5[[#This Row],[D7]:[F9]])=0,"",SUM(Table5[[#This Row],[D7]:[F9]]))</f>
        <v/>
      </c>
      <c r="AX36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6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6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6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6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6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66" t="str">
        <f>IF(COUNTIF(Table5[[#This Row],[English Language]:[Electrical/ Electronics]],"WITHHELD")=0,"",COUNTIF(Table5[[#This Row],[English Language]:[Electrical/ Electronics]],"WITHHELD"))</f>
        <v/>
      </c>
      <c r="BE366" t="str">
        <f>IF(SUM(Table5[[#This Row],[NO OF CREDITS]:[BELOW CREDITS]])=0,"",SUM(Table5[[#This Row],[NO OF CREDITS]:[BELOW CREDITS]]))</f>
        <v/>
      </c>
    </row>
    <row r="367" spans="1:57" x14ac:dyDescent="0.3">
      <c r="A367" t="str">
        <f>IF(B367&lt;&gt;"",COUNTA($B$6:B367),"")</f>
        <v/>
      </c>
      <c r="B367" t="str">
        <f>IF(Result_Database!A363="","",Result_Database!A363)</f>
        <v/>
      </c>
      <c r="C367" t="str">
        <f>_xlfn.LET(
_xlpm.result,_xlfn.XLOOKUP($B367,Result_Database!$A$2:$A$500,Result_Database!$B$2:$B$500),
_xlfn.IFNA(_xlpm.result,"")
)</f>
        <v/>
      </c>
      <c r="D367" t="str">
        <f>_xlfn.LET(
  _xlpm.result, _xlfn.XLOOKUP($B367, Result_Database!$A$2:$A$500, Result_Database!C$2:C$500),
  _xlfn.IFNA(_xlpm.result, "")
)</f>
        <v/>
      </c>
      <c r="E367" t="str">
        <f>_xlfn.LET(
  _xlpm.result, _xlfn.XLOOKUP($B367, Result_Database!$A$2:$A$500, Result_Database!D$2:D$500),
  _xlfn.IFNA(_xlpm.result, "")
)</f>
        <v/>
      </c>
      <c r="F367" t="str">
        <f>_xlfn.LET(
  _xlpm.result, _xlfn.XLOOKUP($B367, Result_Database!$A$2:$A$500, Result_Database!E$2:E$500),
  _xlfn.IFNA(_xlpm.result, "")
)</f>
        <v/>
      </c>
      <c r="G367" t="str">
        <f>_xlfn.LET(
  _xlpm.result, _xlfn.XLOOKUP($B367, Result_Database!$A$2:$A$500, Result_Database!F$2:F$500),
  _xlfn.IFNA(_xlpm.result, "")
)</f>
        <v/>
      </c>
      <c r="H367" t="str">
        <f>_xlfn.LET(
  _xlpm.result, _xlfn.XLOOKUP($B367, Result_Database!$A$2:$A$500, Result_Database!G$2:G$500),
  _xlfn.IFNA(_xlpm.result, "")
)</f>
        <v/>
      </c>
      <c r="I367" t="str">
        <f>_xlfn.LET(
  _xlpm.result, _xlfn.XLOOKUP($B367, Result_Database!$A$2:$A$500, Result_Database!H$2:H$500),
  _xlfn.IFNA(_xlpm.result, "")
)</f>
        <v/>
      </c>
      <c r="J367" t="str">
        <f>_xlfn.LET(
  _xlpm.result, _xlfn.XLOOKUP($B367, Result_Database!$A$2:$A$500, Result_Database!I$2:I$500),
  _xlfn.IFNA(_xlpm.result, "")
)</f>
        <v/>
      </c>
      <c r="K367" t="str">
        <f>_xlfn.LET(
  _xlpm.result, _xlfn.XLOOKUP($B367, Result_Database!$A$2:$A$500, Result_Database!J$2:J$500),
  _xlfn.IFNA(_xlpm.result, "")
)</f>
        <v/>
      </c>
      <c r="L367" t="str">
        <f>_xlfn.LET(
  _xlpm.result, _xlfn.XLOOKUP($B367, Result_Database!$A$2:$A$500, Result_Database!K$2:K$500),
  _xlfn.IFNA(_xlpm.result, "")
)</f>
        <v/>
      </c>
      <c r="M367" t="str">
        <f>_xlfn.LET(
  _xlpm.result, _xlfn.XLOOKUP($B367, Result_Database!$A$2:$A$500, Result_Database!L$2:L$500),
  _xlfn.IFNA(_xlpm.result, "")
)</f>
        <v/>
      </c>
      <c r="N367" t="str">
        <f>_xlfn.LET(
  _xlpm.result, _xlfn.XLOOKUP($B367, Result_Database!$A$2:$A$500, Result_Database!M$2:M$500),
  _xlfn.IFNA(_xlpm.result, "")
)</f>
        <v/>
      </c>
      <c r="O367" t="str">
        <f>_xlfn.LET(
  _xlpm.result, _xlfn.XLOOKUP($B367, Result_Database!$A$2:$A$500, Result_Database!N$2:N$500),
  _xlfn.IFNA(_xlpm.result, "")
)</f>
        <v/>
      </c>
      <c r="P367" t="str">
        <f>_xlfn.LET(
  _xlpm.result, _xlfn.XLOOKUP($B367, Result_Database!$A$2:$A$500, Result_Database!O$2:O$500),
  _xlfn.IFNA(_xlpm.result, "")
)</f>
        <v/>
      </c>
      <c r="Q367" t="str">
        <f>_xlfn.LET(
  _xlpm.result, _xlfn.XLOOKUP($B367, Result_Database!$A$2:$A$500, Result_Database!P$2:P$500),
  _xlfn.IFNA(_xlpm.result, "")
)</f>
        <v/>
      </c>
      <c r="R367" t="str">
        <f>_xlfn.LET(
  _xlpm.result, _xlfn.XLOOKUP($B367, Result_Database!$A$2:$A$500, Result_Database!Q$2:Q$500),
  _xlfn.IFNA(_xlpm.result, "")
)</f>
        <v/>
      </c>
      <c r="S367" t="str">
        <f>_xlfn.LET(
  _xlpm.result, _xlfn.XLOOKUP($B367, Result_Database!$A$2:$A$500, Result_Database!R$2:R$500),
  _xlfn.IFNA(_xlpm.result, "")
)</f>
        <v/>
      </c>
      <c r="T367" t="str">
        <f>_xlfn.LET(
  _xlpm.result, _xlfn.XLOOKUP($B367, Result_Database!$A$2:$A$500, Result_Database!S$2:S$500),
  _xlfn.IFNA(_xlpm.result, "")
)</f>
        <v/>
      </c>
      <c r="U367" t="str">
        <f>_xlfn.LET(
  _xlpm.result, _xlfn.XLOOKUP($B367, Result_Database!$A$2:$A$500, Result_Database!T$2:T$500),
  _xlfn.IFNA(_xlpm.result, "")
)</f>
        <v/>
      </c>
      <c r="V367" t="str">
        <f>_xlfn.LET(
  _xlpm.result, _xlfn.XLOOKUP($B367, Result_Database!$A$2:$A$500, Result_Database!U$2:U$500),
  _xlfn.IFNA(_xlpm.result, "")
)</f>
        <v/>
      </c>
      <c r="W367" t="str">
        <f>_xlfn.LET(
  _xlpm.result, _xlfn.XLOOKUP($B367, Result_Database!$A$2:$A$500, Result_Database!V$2:V$500),
  _xlfn.IFNA(_xlpm.result, "")
)</f>
        <v/>
      </c>
      <c r="X367" t="str">
        <f>_xlfn.LET(
  _xlpm.result, _xlfn.XLOOKUP($B367, Result_Database!$A$2:$A$500, Result_Database!W$2:W$500),
  _xlfn.IFNA(_xlpm.result, "")
)</f>
        <v/>
      </c>
      <c r="Y367" t="str">
        <f>_xlfn.LET(
  _xlpm.result, _xlfn.XLOOKUP($B367, Result_Database!$A$2:$A$500, Result_Database!X$2:X$500),
  _xlfn.IFNA(_xlpm.result, "")
)</f>
        <v/>
      </c>
      <c r="Z367" t="str">
        <f>_xlfn.LET(
  _xlpm.result, _xlfn.XLOOKUP($B367, Result_Database!$A$2:$A$500, Result_Database!Y$2:Y$500),
  _xlfn.IFNA(_xlpm.result, "")
)</f>
        <v/>
      </c>
      <c r="AA367" t="str">
        <f>_xlfn.LET(
  _xlpm.result, _xlfn.XLOOKUP($B367, Result_Database!$A$2:$A$500, Result_Database!Z$2:Z$500),
  _xlfn.IFNA(_xlpm.result, "")
)</f>
        <v/>
      </c>
      <c r="AB367" t="str">
        <f>_xlfn.LET(
  _xlpm.result, _xlfn.XLOOKUP($B367, Result_Database!$A$2:$A$500, Result_Database!AA$2:AA$500),
  _xlfn.IFNA(_xlpm.result, "")
)</f>
        <v/>
      </c>
      <c r="AC367" t="str">
        <f>_xlfn.LET(
  _xlpm.result, _xlfn.XLOOKUP($B367, Result_Database!$A$2:$A$500, Result_Database!AB$2:AB$500),
  _xlfn.IFNA(_xlpm.result, "")
)</f>
        <v/>
      </c>
      <c r="AD367" t="str">
        <f>_xlfn.LET(
  _xlpm.result, _xlfn.XLOOKUP($B367, Result_Database!$A$2:$A$500, Result_Database!AC$2:AC$500),
  _xlfn.IFNA(_xlpm.result, "")
)</f>
        <v/>
      </c>
      <c r="AE367" t="str">
        <f>_xlfn.LET(
  _xlpm.result, _xlfn.XLOOKUP($B367, Result_Database!$A$2:$A$500, Result_Database!AD$2:AD$500),
  _xlfn.IFNA(_xlpm.result, "")
)</f>
        <v/>
      </c>
      <c r="AF367" t="str">
        <f>_xlfn.LET(
  _xlpm.result, _xlfn.XLOOKUP($B367, Result_Database!$A$2:$A$500, Result_Database!AE$2:AE$500),
  _xlfn.IFNA(_xlpm.result, "")
)</f>
        <v/>
      </c>
      <c r="AG367" t="str">
        <f>_xlfn.LET(
  _xlpm.result, _xlfn.XLOOKUP($B367, Result_Database!$A$2:$A$500, Result_Database!AF$2:AF$500),
  _xlfn.IFNA(_xlpm.result, "")
)</f>
        <v/>
      </c>
      <c r="AH367" t="str">
        <f>_xlfn.LET(
  _xlpm.result, _xlfn.XLOOKUP($B367, Result_Database!$A$2:$A$500, Result_Database!AG$2:AG$500),
  _xlfn.IFNA(_xlpm.result, "")
)</f>
        <v/>
      </c>
      <c r="AI367" t="str">
        <f>_xlfn.LET(
  _xlpm.result, _xlfn.XLOOKUP($B367, Result_Database!$A$2:$A$500, Result_Database!AH$2:AH$500),
  _xlfn.IFNA(_xlpm.result, "")
)</f>
        <v/>
      </c>
      <c r="AJ367" t="str">
        <f>_xlfn.LET(
  _xlpm.result, _xlfn.XLOOKUP($B367, Result_Database!$A$2:$A$500, Result_Database!AI$2:AI$500),
  _xlfn.IFNA(_xlpm.result, "")
)</f>
        <v/>
      </c>
      <c r="AK367" t="str">
        <f>_xlfn.LET(
  _xlpm.result, _xlfn.XLOOKUP($B367, Result_Database!$A$2:$A$500, Result_Database!AJ$2:AJ$500),
  _xlfn.IFNA(_xlpm.result, "")
)</f>
        <v/>
      </c>
      <c r="AL367" t="str">
        <f>_xlfn.LET(
  _xlpm.result, _xlfn.XLOOKUP($B367, Result_Database!$A$2:$A$500, Result_Database!AK$2:AK$500),
  _xlfn.IFNA(_xlpm.result, "")
)</f>
        <v/>
      </c>
      <c r="AM36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6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6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6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6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6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6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6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6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67" t="str">
        <f>IF(SUM(Table5[[#This Row],[A1]:[C6]])&lt;&gt;0,SUM(Table5[[#This Row],[A1]:[C6]]),"")</f>
        <v/>
      </c>
      <c r="AW367" t="str">
        <f>IF(SUM(Table5[[#This Row],[D7]:[F9]])=0,"",SUM(Table5[[#This Row],[D7]:[F9]]))</f>
        <v/>
      </c>
      <c r="AX36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6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6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6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6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6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67" t="str">
        <f>IF(COUNTIF(Table5[[#This Row],[English Language]:[Electrical/ Electronics]],"WITHHELD")=0,"",COUNTIF(Table5[[#This Row],[English Language]:[Electrical/ Electronics]],"WITHHELD"))</f>
        <v/>
      </c>
      <c r="BE367" t="str">
        <f>IF(SUM(Table5[[#This Row],[NO OF CREDITS]:[BELOW CREDITS]])=0,"",SUM(Table5[[#This Row],[NO OF CREDITS]:[BELOW CREDITS]]))</f>
        <v/>
      </c>
    </row>
    <row r="368" spans="1:57" x14ac:dyDescent="0.3">
      <c r="A368" t="str">
        <f>IF(B368&lt;&gt;"",COUNTA($B$6:B368),"")</f>
        <v/>
      </c>
      <c r="B368" t="str">
        <f>IF(Result_Database!A364="","",Result_Database!A364)</f>
        <v/>
      </c>
      <c r="C368" t="str">
        <f>_xlfn.LET(
_xlpm.result,_xlfn.XLOOKUP($B368,Result_Database!$A$2:$A$500,Result_Database!$B$2:$B$500),
_xlfn.IFNA(_xlpm.result,"")
)</f>
        <v/>
      </c>
      <c r="D368" t="str">
        <f>_xlfn.LET(
  _xlpm.result, _xlfn.XLOOKUP($B368, Result_Database!$A$2:$A$500, Result_Database!C$2:C$500),
  _xlfn.IFNA(_xlpm.result, "")
)</f>
        <v/>
      </c>
      <c r="E368" t="str">
        <f>_xlfn.LET(
  _xlpm.result, _xlfn.XLOOKUP($B368, Result_Database!$A$2:$A$500, Result_Database!D$2:D$500),
  _xlfn.IFNA(_xlpm.result, "")
)</f>
        <v/>
      </c>
      <c r="F368" t="str">
        <f>_xlfn.LET(
  _xlpm.result, _xlfn.XLOOKUP($B368, Result_Database!$A$2:$A$500, Result_Database!E$2:E$500),
  _xlfn.IFNA(_xlpm.result, "")
)</f>
        <v/>
      </c>
      <c r="G368" t="str">
        <f>_xlfn.LET(
  _xlpm.result, _xlfn.XLOOKUP($B368, Result_Database!$A$2:$A$500, Result_Database!F$2:F$500),
  _xlfn.IFNA(_xlpm.result, "")
)</f>
        <v/>
      </c>
      <c r="H368" t="str">
        <f>_xlfn.LET(
  _xlpm.result, _xlfn.XLOOKUP($B368, Result_Database!$A$2:$A$500, Result_Database!G$2:G$500),
  _xlfn.IFNA(_xlpm.result, "")
)</f>
        <v/>
      </c>
      <c r="I368" t="str">
        <f>_xlfn.LET(
  _xlpm.result, _xlfn.XLOOKUP($B368, Result_Database!$A$2:$A$500, Result_Database!H$2:H$500),
  _xlfn.IFNA(_xlpm.result, "")
)</f>
        <v/>
      </c>
      <c r="J368" t="str">
        <f>_xlfn.LET(
  _xlpm.result, _xlfn.XLOOKUP($B368, Result_Database!$A$2:$A$500, Result_Database!I$2:I$500),
  _xlfn.IFNA(_xlpm.result, "")
)</f>
        <v/>
      </c>
      <c r="K368" t="str">
        <f>_xlfn.LET(
  _xlpm.result, _xlfn.XLOOKUP($B368, Result_Database!$A$2:$A$500, Result_Database!J$2:J$500),
  _xlfn.IFNA(_xlpm.result, "")
)</f>
        <v/>
      </c>
      <c r="L368" t="str">
        <f>_xlfn.LET(
  _xlpm.result, _xlfn.XLOOKUP($B368, Result_Database!$A$2:$A$500, Result_Database!K$2:K$500),
  _xlfn.IFNA(_xlpm.result, "")
)</f>
        <v/>
      </c>
      <c r="M368" t="str">
        <f>_xlfn.LET(
  _xlpm.result, _xlfn.XLOOKUP($B368, Result_Database!$A$2:$A$500, Result_Database!L$2:L$500),
  _xlfn.IFNA(_xlpm.result, "")
)</f>
        <v/>
      </c>
      <c r="N368" t="str">
        <f>_xlfn.LET(
  _xlpm.result, _xlfn.XLOOKUP($B368, Result_Database!$A$2:$A$500, Result_Database!M$2:M$500),
  _xlfn.IFNA(_xlpm.result, "")
)</f>
        <v/>
      </c>
      <c r="O368" t="str">
        <f>_xlfn.LET(
  _xlpm.result, _xlfn.XLOOKUP($B368, Result_Database!$A$2:$A$500, Result_Database!N$2:N$500),
  _xlfn.IFNA(_xlpm.result, "")
)</f>
        <v/>
      </c>
      <c r="P368" t="str">
        <f>_xlfn.LET(
  _xlpm.result, _xlfn.XLOOKUP($B368, Result_Database!$A$2:$A$500, Result_Database!O$2:O$500),
  _xlfn.IFNA(_xlpm.result, "")
)</f>
        <v/>
      </c>
      <c r="Q368" t="str">
        <f>_xlfn.LET(
  _xlpm.result, _xlfn.XLOOKUP($B368, Result_Database!$A$2:$A$500, Result_Database!P$2:P$500),
  _xlfn.IFNA(_xlpm.result, "")
)</f>
        <v/>
      </c>
      <c r="R368" t="str">
        <f>_xlfn.LET(
  _xlpm.result, _xlfn.XLOOKUP($B368, Result_Database!$A$2:$A$500, Result_Database!Q$2:Q$500),
  _xlfn.IFNA(_xlpm.result, "")
)</f>
        <v/>
      </c>
      <c r="S368" t="str">
        <f>_xlfn.LET(
  _xlpm.result, _xlfn.XLOOKUP($B368, Result_Database!$A$2:$A$500, Result_Database!R$2:R$500),
  _xlfn.IFNA(_xlpm.result, "")
)</f>
        <v/>
      </c>
      <c r="T368" t="str">
        <f>_xlfn.LET(
  _xlpm.result, _xlfn.XLOOKUP($B368, Result_Database!$A$2:$A$500, Result_Database!S$2:S$500),
  _xlfn.IFNA(_xlpm.result, "")
)</f>
        <v/>
      </c>
      <c r="U368" t="str">
        <f>_xlfn.LET(
  _xlpm.result, _xlfn.XLOOKUP($B368, Result_Database!$A$2:$A$500, Result_Database!T$2:T$500),
  _xlfn.IFNA(_xlpm.result, "")
)</f>
        <v/>
      </c>
      <c r="V368" t="str">
        <f>_xlfn.LET(
  _xlpm.result, _xlfn.XLOOKUP($B368, Result_Database!$A$2:$A$500, Result_Database!U$2:U$500),
  _xlfn.IFNA(_xlpm.result, "")
)</f>
        <v/>
      </c>
      <c r="W368" t="str">
        <f>_xlfn.LET(
  _xlpm.result, _xlfn.XLOOKUP($B368, Result_Database!$A$2:$A$500, Result_Database!V$2:V$500),
  _xlfn.IFNA(_xlpm.result, "")
)</f>
        <v/>
      </c>
      <c r="X368" t="str">
        <f>_xlfn.LET(
  _xlpm.result, _xlfn.XLOOKUP($B368, Result_Database!$A$2:$A$500, Result_Database!W$2:W$500),
  _xlfn.IFNA(_xlpm.result, "")
)</f>
        <v/>
      </c>
      <c r="Y368" t="str">
        <f>_xlfn.LET(
  _xlpm.result, _xlfn.XLOOKUP($B368, Result_Database!$A$2:$A$500, Result_Database!X$2:X$500),
  _xlfn.IFNA(_xlpm.result, "")
)</f>
        <v/>
      </c>
      <c r="Z368" t="str">
        <f>_xlfn.LET(
  _xlpm.result, _xlfn.XLOOKUP($B368, Result_Database!$A$2:$A$500, Result_Database!Y$2:Y$500),
  _xlfn.IFNA(_xlpm.result, "")
)</f>
        <v/>
      </c>
      <c r="AA368" t="str">
        <f>_xlfn.LET(
  _xlpm.result, _xlfn.XLOOKUP($B368, Result_Database!$A$2:$A$500, Result_Database!Z$2:Z$500),
  _xlfn.IFNA(_xlpm.result, "")
)</f>
        <v/>
      </c>
      <c r="AB368" t="str">
        <f>_xlfn.LET(
  _xlpm.result, _xlfn.XLOOKUP($B368, Result_Database!$A$2:$A$500, Result_Database!AA$2:AA$500),
  _xlfn.IFNA(_xlpm.result, "")
)</f>
        <v/>
      </c>
      <c r="AC368" t="str">
        <f>_xlfn.LET(
  _xlpm.result, _xlfn.XLOOKUP($B368, Result_Database!$A$2:$A$500, Result_Database!AB$2:AB$500),
  _xlfn.IFNA(_xlpm.result, "")
)</f>
        <v/>
      </c>
      <c r="AD368" t="str">
        <f>_xlfn.LET(
  _xlpm.result, _xlfn.XLOOKUP($B368, Result_Database!$A$2:$A$500, Result_Database!AC$2:AC$500),
  _xlfn.IFNA(_xlpm.result, "")
)</f>
        <v/>
      </c>
      <c r="AE368" t="str">
        <f>_xlfn.LET(
  _xlpm.result, _xlfn.XLOOKUP($B368, Result_Database!$A$2:$A$500, Result_Database!AD$2:AD$500),
  _xlfn.IFNA(_xlpm.result, "")
)</f>
        <v/>
      </c>
      <c r="AF368" t="str">
        <f>_xlfn.LET(
  _xlpm.result, _xlfn.XLOOKUP($B368, Result_Database!$A$2:$A$500, Result_Database!AE$2:AE$500),
  _xlfn.IFNA(_xlpm.result, "")
)</f>
        <v/>
      </c>
      <c r="AG368" t="str">
        <f>_xlfn.LET(
  _xlpm.result, _xlfn.XLOOKUP($B368, Result_Database!$A$2:$A$500, Result_Database!AF$2:AF$500),
  _xlfn.IFNA(_xlpm.result, "")
)</f>
        <v/>
      </c>
      <c r="AH368" t="str">
        <f>_xlfn.LET(
  _xlpm.result, _xlfn.XLOOKUP($B368, Result_Database!$A$2:$A$500, Result_Database!AG$2:AG$500),
  _xlfn.IFNA(_xlpm.result, "")
)</f>
        <v/>
      </c>
      <c r="AI368" t="str">
        <f>_xlfn.LET(
  _xlpm.result, _xlfn.XLOOKUP($B368, Result_Database!$A$2:$A$500, Result_Database!AH$2:AH$500),
  _xlfn.IFNA(_xlpm.result, "")
)</f>
        <v/>
      </c>
      <c r="AJ368" t="str">
        <f>_xlfn.LET(
  _xlpm.result, _xlfn.XLOOKUP($B368, Result_Database!$A$2:$A$500, Result_Database!AI$2:AI$500),
  _xlfn.IFNA(_xlpm.result, "")
)</f>
        <v/>
      </c>
      <c r="AK368" t="str">
        <f>_xlfn.LET(
  _xlpm.result, _xlfn.XLOOKUP($B368, Result_Database!$A$2:$A$500, Result_Database!AJ$2:AJ$500),
  _xlfn.IFNA(_xlpm.result, "")
)</f>
        <v/>
      </c>
      <c r="AL368" t="str">
        <f>_xlfn.LET(
  _xlpm.result, _xlfn.XLOOKUP($B368, Result_Database!$A$2:$A$500, Result_Database!AK$2:AK$500),
  _xlfn.IFNA(_xlpm.result, "")
)</f>
        <v/>
      </c>
      <c r="AM36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6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6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6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6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6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6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6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6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68" t="str">
        <f>IF(SUM(Table5[[#This Row],[A1]:[C6]])&lt;&gt;0,SUM(Table5[[#This Row],[A1]:[C6]]),"")</f>
        <v/>
      </c>
      <c r="AW368" t="str">
        <f>IF(SUM(Table5[[#This Row],[D7]:[F9]])=0,"",SUM(Table5[[#This Row],[D7]:[F9]]))</f>
        <v/>
      </c>
      <c r="AX36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6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6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6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6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6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68" t="str">
        <f>IF(COUNTIF(Table5[[#This Row],[English Language]:[Electrical/ Electronics]],"WITHHELD")=0,"",COUNTIF(Table5[[#This Row],[English Language]:[Electrical/ Electronics]],"WITHHELD"))</f>
        <v/>
      </c>
      <c r="BE368" t="str">
        <f>IF(SUM(Table5[[#This Row],[NO OF CREDITS]:[BELOW CREDITS]])=0,"",SUM(Table5[[#This Row],[NO OF CREDITS]:[BELOW CREDITS]]))</f>
        <v/>
      </c>
    </row>
    <row r="369" spans="1:57" x14ac:dyDescent="0.3">
      <c r="A369" t="str">
        <f>IF(B369&lt;&gt;"",COUNTA($B$6:B369),"")</f>
        <v/>
      </c>
      <c r="B369" t="str">
        <f>IF(Result_Database!A365="","",Result_Database!A365)</f>
        <v/>
      </c>
      <c r="C369" t="str">
        <f>_xlfn.LET(
_xlpm.result,_xlfn.XLOOKUP($B369,Result_Database!$A$2:$A$500,Result_Database!$B$2:$B$500),
_xlfn.IFNA(_xlpm.result,"")
)</f>
        <v/>
      </c>
      <c r="D369" t="str">
        <f>_xlfn.LET(
  _xlpm.result, _xlfn.XLOOKUP($B369, Result_Database!$A$2:$A$500, Result_Database!C$2:C$500),
  _xlfn.IFNA(_xlpm.result, "")
)</f>
        <v/>
      </c>
      <c r="E369" t="str">
        <f>_xlfn.LET(
  _xlpm.result, _xlfn.XLOOKUP($B369, Result_Database!$A$2:$A$500, Result_Database!D$2:D$500),
  _xlfn.IFNA(_xlpm.result, "")
)</f>
        <v/>
      </c>
      <c r="F369" t="str">
        <f>_xlfn.LET(
  _xlpm.result, _xlfn.XLOOKUP($B369, Result_Database!$A$2:$A$500, Result_Database!E$2:E$500),
  _xlfn.IFNA(_xlpm.result, "")
)</f>
        <v/>
      </c>
      <c r="G369" t="str">
        <f>_xlfn.LET(
  _xlpm.result, _xlfn.XLOOKUP($B369, Result_Database!$A$2:$A$500, Result_Database!F$2:F$500),
  _xlfn.IFNA(_xlpm.result, "")
)</f>
        <v/>
      </c>
      <c r="H369" t="str">
        <f>_xlfn.LET(
  _xlpm.result, _xlfn.XLOOKUP($B369, Result_Database!$A$2:$A$500, Result_Database!G$2:G$500),
  _xlfn.IFNA(_xlpm.result, "")
)</f>
        <v/>
      </c>
      <c r="I369" t="str">
        <f>_xlfn.LET(
  _xlpm.result, _xlfn.XLOOKUP($B369, Result_Database!$A$2:$A$500, Result_Database!H$2:H$500),
  _xlfn.IFNA(_xlpm.result, "")
)</f>
        <v/>
      </c>
      <c r="J369" t="str">
        <f>_xlfn.LET(
  _xlpm.result, _xlfn.XLOOKUP($B369, Result_Database!$A$2:$A$500, Result_Database!I$2:I$500),
  _xlfn.IFNA(_xlpm.result, "")
)</f>
        <v/>
      </c>
      <c r="K369" t="str">
        <f>_xlfn.LET(
  _xlpm.result, _xlfn.XLOOKUP($B369, Result_Database!$A$2:$A$500, Result_Database!J$2:J$500),
  _xlfn.IFNA(_xlpm.result, "")
)</f>
        <v/>
      </c>
      <c r="L369" t="str">
        <f>_xlfn.LET(
  _xlpm.result, _xlfn.XLOOKUP($B369, Result_Database!$A$2:$A$500, Result_Database!K$2:K$500),
  _xlfn.IFNA(_xlpm.result, "")
)</f>
        <v/>
      </c>
      <c r="M369" t="str">
        <f>_xlfn.LET(
  _xlpm.result, _xlfn.XLOOKUP($B369, Result_Database!$A$2:$A$500, Result_Database!L$2:L$500),
  _xlfn.IFNA(_xlpm.result, "")
)</f>
        <v/>
      </c>
      <c r="N369" t="str">
        <f>_xlfn.LET(
  _xlpm.result, _xlfn.XLOOKUP($B369, Result_Database!$A$2:$A$500, Result_Database!M$2:M$500),
  _xlfn.IFNA(_xlpm.result, "")
)</f>
        <v/>
      </c>
      <c r="O369" t="str">
        <f>_xlfn.LET(
  _xlpm.result, _xlfn.XLOOKUP($B369, Result_Database!$A$2:$A$500, Result_Database!N$2:N$500),
  _xlfn.IFNA(_xlpm.result, "")
)</f>
        <v/>
      </c>
      <c r="P369" t="str">
        <f>_xlfn.LET(
  _xlpm.result, _xlfn.XLOOKUP($B369, Result_Database!$A$2:$A$500, Result_Database!O$2:O$500),
  _xlfn.IFNA(_xlpm.result, "")
)</f>
        <v/>
      </c>
      <c r="Q369" t="str">
        <f>_xlfn.LET(
  _xlpm.result, _xlfn.XLOOKUP($B369, Result_Database!$A$2:$A$500, Result_Database!P$2:P$500),
  _xlfn.IFNA(_xlpm.result, "")
)</f>
        <v/>
      </c>
      <c r="R369" t="str">
        <f>_xlfn.LET(
  _xlpm.result, _xlfn.XLOOKUP($B369, Result_Database!$A$2:$A$500, Result_Database!Q$2:Q$500),
  _xlfn.IFNA(_xlpm.result, "")
)</f>
        <v/>
      </c>
      <c r="S369" t="str">
        <f>_xlfn.LET(
  _xlpm.result, _xlfn.XLOOKUP($B369, Result_Database!$A$2:$A$500, Result_Database!R$2:R$500),
  _xlfn.IFNA(_xlpm.result, "")
)</f>
        <v/>
      </c>
      <c r="T369" t="str">
        <f>_xlfn.LET(
  _xlpm.result, _xlfn.XLOOKUP($B369, Result_Database!$A$2:$A$500, Result_Database!S$2:S$500),
  _xlfn.IFNA(_xlpm.result, "")
)</f>
        <v/>
      </c>
      <c r="U369" t="str">
        <f>_xlfn.LET(
  _xlpm.result, _xlfn.XLOOKUP($B369, Result_Database!$A$2:$A$500, Result_Database!T$2:T$500),
  _xlfn.IFNA(_xlpm.result, "")
)</f>
        <v/>
      </c>
      <c r="V369" t="str">
        <f>_xlfn.LET(
  _xlpm.result, _xlfn.XLOOKUP($B369, Result_Database!$A$2:$A$500, Result_Database!U$2:U$500),
  _xlfn.IFNA(_xlpm.result, "")
)</f>
        <v/>
      </c>
      <c r="W369" t="str">
        <f>_xlfn.LET(
  _xlpm.result, _xlfn.XLOOKUP($B369, Result_Database!$A$2:$A$500, Result_Database!V$2:V$500),
  _xlfn.IFNA(_xlpm.result, "")
)</f>
        <v/>
      </c>
      <c r="X369" t="str">
        <f>_xlfn.LET(
  _xlpm.result, _xlfn.XLOOKUP($B369, Result_Database!$A$2:$A$500, Result_Database!W$2:W$500),
  _xlfn.IFNA(_xlpm.result, "")
)</f>
        <v/>
      </c>
      <c r="Y369" t="str">
        <f>_xlfn.LET(
  _xlpm.result, _xlfn.XLOOKUP($B369, Result_Database!$A$2:$A$500, Result_Database!X$2:X$500),
  _xlfn.IFNA(_xlpm.result, "")
)</f>
        <v/>
      </c>
      <c r="Z369" t="str">
        <f>_xlfn.LET(
  _xlpm.result, _xlfn.XLOOKUP($B369, Result_Database!$A$2:$A$500, Result_Database!Y$2:Y$500),
  _xlfn.IFNA(_xlpm.result, "")
)</f>
        <v/>
      </c>
      <c r="AA369" t="str">
        <f>_xlfn.LET(
  _xlpm.result, _xlfn.XLOOKUP($B369, Result_Database!$A$2:$A$500, Result_Database!Z$2:Z$500),
  _xlfn.IFNA(_xlpm.result, "")
)</f>
        <v/>
      </c>
      <c r="AB369" t="str">
        <f>_xlfn.LET(
  _xlpm.result, _xlfn.XLOOKUP($B369, Result_Database!$A$2:$A$500, Result_Database!AA$2:AA$500),
  _xlfn.IFNA(_xlpm.result, "")
)</f>
        <v/>
      </c>
      <c r="AC369" t="str">
        <f>_xlfn.LET(
  _xlpm.result, _xlfn.XLOOKUP($B369, Result_Database!$A$2:$A$500, Result_Database!AB$2:AB$500),
  _xlfn.IFNA(_xlpm.result, "")
)</f>
        <v/>
      </c>
      <c r="AD369" t="str">
        <f>_xlfn.LET(
  _xlpm.result, _xlfn.XLOOKUP($B369, Result_Database!$A$2:$A$500, Result_Database!AC$2:AC$500),
  _xlfn.IFNA(_xlpm.result, "")
)</f>
        <v/>
      </c>
      <c r="AE369" t="str">
        <f>_xlfn.LET(
  _xlpm.result, _xlfn.XLOOKUP($B369, Result_Database!$A$2:$A$500, Result_Database!AD$2:AD$500),
  _xlfn.IFNA(_xlpm.result, "")
)</f>
        <v/>
      </c>
      <c r="AF369" t="str">
        <f>_xlfn.LET(
  _xlpm.result, _xlfn.XLOOKUP($B369, Result_Database!$A$2:$A$500, Result_Database!AE$2:AE$500),
  _xlfn.IFNA(_xlpm.result, "")
)</f>
        <v/>
      </c>
      <c r="AG369" t="str">
        <f>_xlfn.LET(
  _xlpm.result, _xlfn.XLOOKUP($B369, Result_Database!$A$2:$A$500, Result_Database!AF$2:AF$500),
  _xlfn.IFNA(_xlpm.result, "")
)</f>
        <v/>
      </c>
      <c r="AH369" t="str">
        <f>_xlfn.LET(
  _xlpm.result, _xlfn.XLOOKUP($B369, Result_Database!$A$2:$A$500, Result_Database!AG$2:AG$500),
  _xlfn.IFNA(_xlpm.result, "")
)</f>
        <v/>
      </c>
      <c r="AI369" t="str">
        <f>_xlfn.LET(
  _xlpm.result, _xlfn.XLOOKUP($B369, Result_Database!$A$2:$A$500, Result_Database!AH$2:AH$500),
  _xlfn.IFNA(_xlpm.result, "")
)</f>
        <v/>
      </c>
      <c r="AJ369" t="str">
        <f>_xlfn.LET(
  _xlpm.result, _xlfn.XLOOKUP($B369, Result_Database!$A$2:$A$500, Result_Database!AI$2:AI$500),
  _xlfn.IFNA(_xlpm.result, "")
)</f>
        <v/>
      </c>
      <c r="AK369" t="str">
        <f>_xlfn.LET(
  _xlpm.result, _xlfn.XLOOKUP($B369, Result_Database!$A$2:$A$500, Result_Database!AJ$2:AJ$500),
  _xlfn.IFNA(_xlpm.result, "")
)</f>
        <v/>
      </c>
      <c r="AL369" t="str">
        <f>_xlfn.LET(
  _xlpm.result, _xlfn.XLOOKUP($B369, Result_Database!$A$2:$A$500, Result_Database!AK$2:AK$500),
  _xlfn.IFNA(_xlpm.result, "")
)</f>
        <v/>
      </c>
      <c r="AM36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6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6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6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6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6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6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6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6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69" t="str">
        <f>IF(SUM(Table5[[#This Row],[A1]:[C6]])&lt;&gt;0,SUM(Table5[[#This Row],[A1]:[C6]]),"")</f>
        <v/>
      </c>
      <c r="AW369" t="str">
        <f>IF(SUM(Table5[[#This Row],[D7]:[F9]])=0,"",SUM(Table5[[#This Row],[D7]:[F9]]))</f>
        <v/>
      </c>
      <c r="AX36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6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6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6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6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6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69" t="str">
        <f>IF(COUNTIF(Table5[[#This Row],[English Language]:[Electrical/ Electronics]],"WITHHELD")=0,"",COUNTIF(Table5[[#This Row],[English Language]:[Electrical/ Electronics]],"WITHHELD"))</f>
        <v/>
      </c>
      <c r="BE369" t="str">
        <f>IF(SUM(Table5[[#This Row],[NO OF CREDITS]:[BELOW CREDITS]])=0,"",SUM(Table5[[#This Row],[NO OF CREDITS]:[BELOW CREDITS]]))</f>
        <v/>
      </c>
    </row>
    <row r="370" spans="1:57" x14ac:dyDescent="0.3">
      <c r="A370" t="str">
        <f>IF(B370&lt;&gt;"",COUNTA($B$6:B370),"")</f>
        <v/>
      </c>
      <c r="B370" t="str">
        <f>IF(Result_Database!A366="","",Result_Database!A366)</f>
        <v/>
      </c>
      <c r="C370" t="str">
        <f>_xlfn.LET(
_xlpm.result,_xlfn.XLOOKUP($B370,Result_Database!$A$2:$A$500,Result_Database!$B$2:$B$500),
_xlfn.IFNA(_xlpm.result,"")
)</f>
        <v/>
      </c>
      <c r="D370" t="str">
        <f>_xlfn.LET(
  _xlpm.result, _xlfn.XLOOKUP($B370, Result_Database!$A$2:$A$500, Result_Database!C$2:C$500),
  _xlfn.IFNA(_xlpm.result, "")
)</f>
        <v/>
      </c>
      <c r="E370" t="str">
        <f>_xlfn.LET(
  _xlpm.result, _xlfn.XLOOKUP($B370, Result_Database!$A$2:$A$500, Result_Database!D$2:D$500),
  _xlfn.IFNA(_xlpm.result, "")
)</f>
        <v/>
      </c>
      <c r="F370" t="str">
        <f>_xlfn.LET(
  _xlpm.result, _xlfn.XLOOKUP($B370, Result_Database!$A$2:$A$500, Result_Database!E$2:E$500),
  _xlfn.IFNA(_xlpm.result, "")
)</f>
        <v/>
      </c>
      <c r="G370" t="str">
        <f>_xlfn.LET(
  _xlpm.result, _xlfn.XLOOKUP($B370, Result_Database!$A$2:$A$500, Result_Database!F$2:F$500),
  _xlfn.IFNA(_xlpm.result, "")
)</f>
        <v/>
      </c>
      <c r="H370" t="str">
        <f>_xlfn.LET(
  _xlpm.result, _xlfn.XLOOKUP($B370, Result_Database!$A$2:$A$500, Result_Database!G$2:G$500),
  _xlfn.IFNA(_xlpm.result, "")
)</f>
        <v/>
      </c>
      <c r="I370" t="str">
        <f>_xlfn.LET(
  _xlpm.result, _xlfn.XLOOKUP($B370, Result_Database!$A$2:$A$500, Result_Database!H$2:H$500),
  _xlfn.IFNA(_xlpm.result, "")
)</f>
        <v/>
      </c>
      <c r="J370" t="str">
        <f>_xlfn.LET(
  _xlpm.result, _xlfn.XLOOKUP($B370, Result_Database!$A$2:$A$500, Result_Database!I$2:I$500),
  _xlfn.IFNA(_xlpm.result, "")
)</f>
        <v/>
      </c>
      <c r="K370" t="str">
        <f>_xlfn.LET(
  _xlpm.result, _xlfn.XLOOKUP($B370, Result_Database!$A$2:$A$500, Result_Database!J$2:J$500),
  _xlfn.IFNA(_xlpm.result, "")
)</f>
        <v/>
      </c>
      <c r="L370" t="str">
        <f>_xlfn.LET(
  _xlpm.result, _xlfn.XLOOKUP($B370, Result_Database!$A$2:$A$500, Result_Database!K$2:K$500),
  _xlfn.IFNA(_xlpm.result, "")
)</f>
        <v/>
      </c>
      <c r="M370" t="str">
        <f>_xlfn.LET(
  _xlpm.result, _xlfn.XLOOKUP($B370, Result_Database!$A$2:$A$500, Result_Database!L$2:L$500),
  _xlfn.IFNA(_xlpm.result, "")
)</f>
        <v/>
      </c>
      <c r="N370" t="str">
        <f>_xlfn.LET(
  _xlpm.result, _xlfn.XLOOKUP($B370, Result_Database!$A$2:$A$500, Result_Database!M$2:M$500),
  _xlfn.IFNA(_xlpm.result, "")
)</f>
        <v/>
      </c>
      <c r="O370" t="str">
        <f>_xlfn.LET(
  _xlpm.result, _xlfn.XLOOKUP($B370, Result_Database!$A$2:$A$500, Result_Database!N$2:N$500),
  _xlfn.IFNA(_xlpm.result, "")
)</f>
        <v/>
      </c>
      <c r="P370" t="str">
        <f>_xlfn.LET(
  _xlpm.result, _xlfn.XLOOKUP($B370, Result_Database!$A$2:$A$500, Result_Database!O$2:O$500),
  _xlfn.IFNA(_xlpm.result, "")
)</f>
        <v/>
      </c>
      <c r="Q370" t="str">
        <f>_xlfn.LET(
  _xlpm.result, _xlfn.XLOOKUP($B370, Result_Database!$A$2:$A$500, Result_Database!P$2:P$500),
  _xlfn.IFNA(_xlpm.result, "")
)</f>
        <v/>
      </c>
      <c r="R370" t="str">
        <f>_xlfn.LET(
  _xlpm.result, _xlfn.XLOOKUP($B370, Result_Database!$A$2:$A$500, Result_Database!Q$2:Q$500),
  _xlfn.IFNA(_xlpm.result, "")
)</f>
        <v/>
      </c>
      <c r="S370" t="str">
        <f>_xlfn.LET(
  _xlpm.result, _xlfn.XLOOKUP($B370, Result_Database!$A$2:$A$500, Result_Database!R$2:R$500),
  _xlfn.IFNA(_xlpm.result, "")
)</f>
        <v/>
      </c>
      <c r="T370" t="str">
        <f>_xlfn.LET(
  _xlpm.result, _xlfn.XLOOKUP($B370, Result_Database!$A$2:$A$500, Result_Database!S$2:S$500),
  _xlfn.IFNA(_xlpm.result, "")
)</f>
        <v/>
      </c>
      <c r="U370" t="str">
        <f>_xlfn.LET(
  _xlpm.result, _xlfn.XLOOKUP($B370, Result_Database!$A$2:$A$500, Result_Database!T$2:T$500),
  _xlfn.IFNA(_xlpm.result, "")
)</f>
        <v/>
      </c>
      <c r="V370" t="str">
        <f>_xlfn.LET(
  _xlpm.result, _xlfn.XLOOKUP($B370, Result_Database!$A$2:$A$500, Result_Database!U$2:U$500),
  _xlfn.IFNA(_xlpm.result, "")
)</f>
        <v/>
      </c>
      <c r="W370" t="str">
        <f>_xlfn.LET(
  _xlpm.result, _xlfn.XLOOKUP($B370, Result_Database!$A$2:$A$500, Result_Database!V$2:V$500),
  _xlfn.IFNA(_xlpm.result, "")
)</f>
        <v/>
      </c>
      <c r="X370" t="str">
        <f>_xlfn.LET(
  _xlpm.result, _xlfn.XLOOKUP($B370, Result_Database!$A$2:$A$500, Result_Database!W$2:W$500),
  _xlfn.IFNA(_xlpm.result, "")
)</f>
        <v/>
      </c>
      <c r="Y370" t="str">
        <f>_xlfn.LET(
  _xlpm.result, _xlfn.XLOOKUP($B370, Result_Database!$A$2:$A$500, Result_Database!X$2:X$500),
  _xlfn.IFNA(_xlpm.result, "")
)</f>
        <v/>
      </c>
      <c r="Z370" t="str">
        <f>_xlfn.LET(
  _xlpm.result, _xlfn.XLOOKUP($B370, Result_Database!$A$2:$A$500, Result_Database!Y$2:Y$500),
  _xlfn.IFNA(_xlpm.result, "")
)</f>
        <v/>
      </c>
      <c r="AA370" t="str">
        <f>_xlfn.LET(
  _xlpm.result, _xlfn.XLOOKUP($B370, Result_Database!$A$2:$A$500, Result_Database!Z$2:Z$500),
  _xlfn.IFNA(_xlpm.result, "")
)</f>
        <v/>
      </c>
      <c r="AB370" t="str">
        <f>_xlfn.LET(
  _xlpm.result, _xlfn.XLOOKUP($B370, Result_Database!$A$2:$A$500, Result_Database!AA$2:AA$500),
  _xlfn.IFNA(_xlpm.result, "")
)</f>
        <v/>
      </c>
      <c r="AC370" t="str">
        <f>_xlfn.LET(
  _xlpm.result, _xlfn.XLOOKUP($B370, Result_Database!$A$2:$A$500, Result_Database!AB$2:AB$500),
  _xlfn.IFNA(_xlpm.result, "")
)</f>
        <v/>
      </c>
      <c r="AD370" t="str">
        <f>_xlfn.LET(
  _xlpm.result, _xlfn.XLOOKUP($B370, Result_Database!$A$2:$A$500, Result_Database!AC$2:AC$500),
  _xlfn.IFNA(_xlpm.result, "")
)</f>
        <v/>
      </c>
      <c r="AE370" t="str">
        <f>_xlfn.LET(
  _xlpm.result, _xlfn.XLOOKUP($B370, Result_Database!$A$2:$A$500, Result_Database!AD$2:AD$500),
  _xlfn.IFNA(_xlpm.result, "")
)</f>
        <v/>
      </c>
      <c r="AF370" t="str">
        <f>_xlfn.LET(
  _xlpm.result, _xlfn.XLOOKUP($B370, Result_Database!$A$2:$A$500, Result_Database!AE$2:AE$500),
  _xlfn.IFNA(_xlpm.result, "")
)</f>
        <v/>
      </c>
      <c r="AG370" t="str">
        <f>_xlfn.LET(
  _xlpm.result, _xlfn.XLOOKUP($B370, Result_Database!$A$2:$A$500, Result_Database!AF$2:AF$500),
  _xlfn.IFNA(_xlpm.result, "")
)</f>
        <v/>
      </c>
      <c r="AH370" t="str">
        <f>_xlfn.LET(
  _xlpm.result, _xlfn.XLOOKUP($B370, Result_Database!$A$2:$A$500, Result_Database!AG$2:AG$500),
  _xlfn.IFNA(_xlpm.result, "")
)</f>
        <v/>
      </c>
      <c r="AI370" t="str">
        <f>_xlfn.LET(
  _xlpm.result, _xlfn.XLOOKUP($B370, Result_Database!$A$2:$A$500, Result_Database!AH$2:AH$500),
  _xlfn.IFNA(_xlpm.result, "")
)</f>
        <v/>
      </c>
      <c r="AJ370" t="str">
        <f>_xlfn.LET(
  _xlpm.result, _xlfn.XLOOKUP($B370, Result_Database!$A$2:$A$500, Result_Database!AI$2:AI$500),
  _xlfn.IFNA(_xlpm.result, "")
)</f>
        <v/>
      </c>
      <c r="AK370" t="str">
        <f>_xlfn.LET(
  _xlpm.result, _xlfn.XLOOKUP($B370, Result_Database!$A$2:$A$500, Result_Database!AJ$2:AJ$500),
  _xlfn.IFNA(_xlpm.result, "")
)</f>
        <v/>
      </c>
      <c r="AL370" t="str">
        <f>_xlfn.LET(
  _xlpm.result, _xlfn.XLOOKUP($B370, Result_Database!$A$2:$A$500, Result_Database!AK$2:AK$500),
  _xlfn.IFNA(_xlpm.result, "")
)</f>
        <v/>
      </c>
      <c r="AM37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7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7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7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7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7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7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7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7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70" t="str">
        <f>IF(SUM(Table5[[#This Row],[A1]:[C6]])&lt;&gt;0,SUM(Table5[[#This Row],[A1]:[C6]]),"")</f>
        <v/>
      </c>
      <c r="AW370" t="str">
        <f>IF(SUM(Table5[[#This Row],[D7]:[F9]])=0,"",SUM(Table5[[#This Row],[D7]:[F9]]))</f>
        <v/>
      </c>
      <c r="AX37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7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7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7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7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7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70" t="str">
        <f>IF(COUNTIF(Table5[[#This Row],[English Language]:[Electrical/ Electronics]],"WITHHELD")=0,"",COUNTIF(Table5[[#This Row],[English Language]:[Electrical/ Electronics]],"WITHHELD"))</f>
        <v/>
      </c>
      <c r="BE370" t="str">
        <f>IF(SUM(Table5[[#This Row],[NO OF CREDITS]:[BELOW CREDITS]])=0,"",SUM(Table5[[#This Row],[NO OF CREDITS]:[BELOW CREDITS]]))</f>
        <v/>
      </c>
    </row>
    <row r="371" spans="1:57" x14ac:dyDescent="0.3">
      <c r="A371" t="str">
        <f>IF(B371&lt;&gt;"",COUNTA($B$6:B371),"")</f>
        <v/>
      </c>
      <c r="B371" t="str">
        <f>IF(Result_Database!A367="","",Result_Database!A367)</f>
        <v/>
      </c>
      <c r="C371" t="str">
        <f>_xlfn.LET(
_xlpm.result,_xlfn.XLOOKUP($B371,Result_Database!$A$2:$A$500,Result_Database!$B$2:$B$500),
_xlfn.IFNA(_xlpm.result,"")
)</f>
        <v/>
      </c>
      <c r="D371" t="str">
        <f>_xlfn.LET(
  _xlpm.result, _xlfn.XLOOKUP($B371, Result_Database!$A$2:$A$500, Result_Database!C$2:C$500),
  _xlfn.IFNA(_xlpm.result, "")
)</f>
        <v/>
      </c>
      <c r="E371" t="str">
        <f>_xlfn.LET(
  _xlpm.result, _xlfn.XLOOKUP($B371, Result_Database!$A$2:$A$500, Result_Database!D$2:D$500),
  _xlfn.IFNA(_xlpm.result, "")
)</f>
        <v/>
      </c>
      <c r="F371" t="str">
        <f>_xlfn.LET(
  _xlpm.result, _xlfn.XLOOKUP($B371, Result_Database!$A$2:$A$500, Result_Database!E$2:E$500),
  _xlfn.IFNA(_xlpm.result, "")
)</f>
        <v/>
      </c>
      <c r="G371" t="str">
        <f>_xlfn.LET(
  _xlpm.result, _xlfn.XLOOKUP($B371, Result_Database!$A$2:$A$500, Result_Database!F$2:F$500),
  _xlfn.IFNA(_xlpm.result, "")
)</f>
        <v/>
      </c>
      <c r="H371" t="str">
        <f>_xlfn.LET(
  _xlpm.result, _xlfn.XLOOKUP($B371, Result_Database!$A$2:$A$500, Result_Database!G$2:G$500),
  _xlfn.IFNA(_xlpm.result, "")
)</f>
        <v/>
      </c>
      <c r="I371" t="str">
        <f>_xlfn.LET(
  _xlpm.result, _xlfn.XLOOKUP($B371, Result_Database!$A$2:$A$500, Result_Database!H$2:H$500),
  _xlfn.IFNA(_xlpm.result, "")
)</f>
        <v/>
      </c>
      <c r="J371" t="str">
        <f>_xlfn.LET(
  _xlpm.result, _xlfn.XLOOKUP($B371, Result_Database!$A$2:$A$500, Result_Database!I$2:I$500),
  _xlfn.IFNA(_xlpm.result, "")
)</f>
        <v/>
      </c>
      <c r="K371" t="str">
        <f>_xlfn.LET(
  _xlpm.result, _xlfn.XLOOKUP($B371, Result_Database!$A$2:$A$500, Result_Database!J$2:J$500),
  _xlfn.IFNA(_xlpm.result, "")
)</f>
        <v/>
      </c>
      <c r="L371" t="str">
        <f>_xlfn.LET(
  _xlpm.result, _xlfn.XLOOKUP($B371, Result_Database!$A$2:$A$500, Result_Database!K$2:K$500),
  _xlfn.IFNA(_xlpm.result, "")
)</f>
        <v/>
      </c>
      <c r="M371" t="str">
        <f>_xlfn.LET(
  _xlpm.result, _xlfn.XLOOKUP($B371, Result_Database!$A$2:$A$500, Result_Database!L$2:L$500),
  _xlfn.IFNA(_xlpm.result, "")
)</f>
        <v/>
      </c>
      <c r="N371" t="str">
        <f>_xlfn.LET(
  _xlpm.result, _xlfn.XLOOKUP($B371, Result_Database!$A$2:$A$500, Result_Database!M$2:M$500),
  _xlfn.IFNA(_xlpm.result, "")
)</f>
        <v/>
      </c>
      <c r="O371" t="str">
        <f>_xlfn.LET(
  _xlpm.result, _xlfn.XLOOKUP($B371, Result_Database!$A$2:$A$500, Result_Database!N$2:N$500),
  _xlfn.IFNA(_xlpm.result, "")
)</f>
        <v/>
      </c>
      <c r="P371" t="str">
        <f>_xlfn.LET(
  _xlpm.result, _xlfn.XLOOKUP($B371, Result_Database!$A$2:$A$500, Result_Database!O$2:O$500),
  _xlfn.IFNA(_xlpm.result, "")
)</f>
        <v/>
      </c>
      <c r="Q371" t="str">
        <f>_xlfn.LET(
  _xlpm.result, _xlfn.XLOOKUP($B371, Result_Database!$A$2:$A$500, Result_Database!P$2:P$500),
  _xlfn.IFNA(_xlpm.result, "")
)</f>
        <v/>
      </c>
      <c r="R371" t="str">
        <f>_xlfn.LET(
  _xlpm.result, _xlfn.XLOOKUP($B371, Result_Database!$A$2:$A$500, Result_Database!Q$2:Q$500),
  _xlfn.IFNA(_xlpm.result, "")
)</f>
        <v/>
      </c>
      <c r="S371" t="str">
        <f>_xlfn.LET(
  _xlpm.result, _xlfn.XLOOKUP($B371, Result_Database!$A$2:$A$500, Result_Database!R$2:R$500),
  _xlfn.IFNA(_xlpm.result, "")
)</f>
        <v/>
      </c>
      <c r="T371" t="str">
        <f>_xlfn.LET(
  _xlpm.result, _xlfn.XLOOKUP($B371, Result_Database!$A$2:$A$500, Result_Database!S$2:S$500),
  _xlfn.IFNA(_xlpm.result, "")
)</f>
        <v/>
      </c>
      <c r="U371" t="str">
        <f>_xlfn.LET(
  _xlpm.result, _xlfn.XLOOKUP($B371, Result_Database!$A$2:$A$500, Result_Database!T$2:T$500),
  _xlfn.IFNA(_xlpm.result, "")
)</f>
        <v/>
      </c>
      <c r="V371" t="str">
        <f>_xlfn.LET(
  _xlpm.result, _xlfn.XLOOKUP($B371, Result_Database!$A$2:$A$500, Result_Database!U$2:U$500),
  _xlfn.IFNA(_xlpm.result, "")
)</f>
        <v/>
      </c>
      <c r="W371" t="str">
        <f>_xlfn.LET(
  _xlpm.result, _xlfn.XLOOKUP($B371, Result_Database!$A$2:$A$500, Result_Database!V$2:V$500),
  _xlfn.IFNA(_xlpm.result, "")
)</f>
        <v/>
      </c>
      <c r="X371" t="str">
        <f>_xlfn.LET(
  _xlpm.result, _xlfn.XLOOKUP($B371, Result_Database!$A$2:$A$500, Result_Database!W$2:W$500),
  _xlfn.IFNA(_xlpm.result, "")
)</f>
        <v/>
      </c>
      <c r="Y371" t="str">
        <f>_xlfn.LET(
  _xlpm.result, _xlfn.XLOOKUP($B371, Result_Database!$A$2:$A$500, Result_Database!X$2:X$500),
  _xlfn.IFNA(_xlpm.result, "")
)</f>
        <v/>
      </c>
      <c r="Z371" t="str">
        <f>_xlfn.LET(
  _xlpm.result, _xlfn.XLOOKUP($B371, Result_Database!$A$2:$A$500, Result_Database!Y$2:Y$500),
  _xlfn.IFNA(_xlpm.result, "")
)</f>
        <v/>
      </c>
      <c r="AA371" t="str">
        <f>_xlfn.LET(
  _xlpm.result, _xlfn.XLOOKUP($B371, Result_Database!$A$2:$A$500, Result_Database!Z$2:Z$500),
  _xlfn.IFNA(_xlpm.result, "")
)</f>
        <v/>
      </c>
      <c r="AB371" t="str">
        <f>_xlfn.LET(
  _xlpm.result, _xlfn.XLOOKUP($B371, Result_Database!$A$2:$A$500, Result_Database!AA$2:AA$500),
  _xlfn.IFNA(_xlpm.result, "")
)</f>
        <v/>
      </c>
      <c r="AC371" t="str">
        <f>_xlfn.LET(
  _xlpm.result, _xlfn.XLOOKUP($B371, Result_Database!$A$2:$A$500, Result_Database!AB$2:AB$500),
  _xlfn.IFNA(_xlpm.result, "")
)</f>
        <v/>
      </c>
      <c r="AD371" t="str">
        <f>_xlfn.LET(
  _xlpm.result, _xlfn.XLOOKUP($B371, Result_Database!$A$2:$A$500, Result_Database!AC$2:AC$500),
  _xlfn.IFNA(_xlpm.result, "")
)</f>
        <v/>
      </c>
      <c r="AE371" t="str">
        <f>_xlfn.LET(
  _xlpm.result, _xlfn.XLOOKUP($B371, Result_Database!$A$2:$A$500, Result_Database!AD$2:AD$500),
  _xlfn.IFNA(_xlpm.result, "")
)</f>
        <v/>
      </c>
      <c r="AF371" t="str">
        <f>_xlfn.LET(
  _xlpm.result, _xlfn.XLOOKUP($B371, Result_Database!$A$2:$A$500, Result_Database!AE$2:AE$500),
  _xlfn.IFNA(_xlpm.result, "")
)</f>
        <v/>
      </c>
      <c r="AG371" t="str">
        <f>_xlfn.LET(
  _xlpm.result, _xlfn.XLOOKUP($B371, Result_Database!$A$2:$A$500, Result_Database!AF$2:AF$500),
  _xlfn.IFNA(_xlpm.result, "")
)</f>
        <v/>
      </c>
      <c r="AH371" t="str">
        <f>_xlfn.LET(
  _xlpm.result, _xlfn.XLOOKUP($B371, Result_Database!$A$2:$A$500, Result_Database!AG$2:AG$500),
  _xlfn.IFNA(_xlpm.result, "")
)</f>
        <v/>
      </c>
      <c r="AI371" t="str">
        <f>_xlfn.LET(
  _xlpm.result, _xlfn.XLOOKUP($B371, Result_Database!$A$2:$A$500, Result_Database!AH$2:AH$500),
  _xlfn.IFNA(_xlpm.result, "")
)</f>
        <v/>
      </c>
      <c r="AJ371" t="str">
        <f>_xlfn.LET(
  _xlpm.result, _xlfn.XLOOKUP($B371, Result_Database!$A$2:$A$500, Result_Database!AI$2:AI$500),
  _xlfn.IFNA(_xlpm.result, "")
)</f>
        <v/>
      </c>
      <c r="AK371" t="str">
        <f>_xlfn.LET(
  _xlpm.result, _xlfn.XLOOKUP($B371, Result_Database!$A$2:$A$500, Result_Database!AJ$2:AJ$500),
  _xlfn.IFNA(_xlpm.result, "")
)</f>
        <v/>
      </c>
      <c r="AL371" t="str">
        <f>_xlfn.LET(
  _xlpm.result, _xlfn.XLOOKUP($B371, Result_Database!$A$2:$A$500, Result_Database!AK$2:AK$500),
  _xlfn.IFNA(_xlpm.result, "")
)</f>
        <v/>
      </c>
      <c r="AM37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7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7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7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7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7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7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7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7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71" t="str">
        <f>IF(SUM(Table5[[#This Row],[A1]:[C6]])&lt;&gt;0,SUM(Table5[[#This Row],[A1]:[C6]]),"")</f>
        <v/>
      </c>
      <c r="AW371" t="str">
        <f>IF(SUM(Table5[[#This Row],[D7]:[F9]])=0,"",SUM(Table5[[#This Row],[D7]:[F9]]))</f>
        <v/>
      </c>
      <c r="AX37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7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7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7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7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7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71" t="str">
        <f>IF(COUNTIF(Table5[[#This Row],[English Language]:[Electrical/ Electronics]],"WITHHELD")=0,"",COUNTIF(Table5[[#This Row],[English Language]:[Electrical/ Electronics]],"WITHHELD"))</f>
        <v/>
      </c>
      <c r="BE371" t="str">
        <f>IF(SUM(Table5[[#This Row],[NO OF CREDITS]:[BELOW CREDITS]])=0,"",SUM(Table5[[#This Row],[NO OF CREDITS]:[BELOW CREDITS]]))</f>
        <v/>
      </c>
    </row>
    <row r="372" spans="1:57" x14ac:dyDescent="0.3">
      <c r="A372" t="str">
        <f>IF(B372&lt;&gt;"",COUNTA($B$6:B372),"")</f>
        <v/>
      </c>
      <c r="B372" t="str">
        <f>IF(Result_Database!A368="","",Result_Database!A368)</f>
        <v/>
      </c>
      <c r="C372" t="str">
        <f>_xlfn.LET(
_xlpm.result,_xlfn.XLOOKUP($B372,Result_Database!$A$2:$A$500,Result_Database!$B$2:$B$500),
_xlfn.IFNA(_xlpm.result,"")
)</f>
        <v/>
      </c>
      <c r="D372" t="str">
        <f>_xlfn.LET(
  _xlpm.result, _xlfn.XLOOKUP($B372, Result_Database!$A$2:$A$500, Result_Database!C$2:C$500),
  _xlfn.IFNA(_xlpm.result, "")
)</f>
        <v/>
      </c>
      <c r="E372" t="str">
        <f>_xlfn.LET(
  _xlpm.result, _xlfn.XLOOKUP($B372, Result_Database!$A$2:$A$500, Result_Database!D$2:D$500),
  _xlfn.IFNA(_xlpm.result, "")
)</f>
        <v/>
      </c>
      <c r="F372" t="str">
        <f>_xlfn.LET(
  _xlpm.result, _xlfn.XLOOKUP($B372, Result_Database!$A$2:$A$500, Result_Database!E$2:E$500),
  _xlfn.IFNA(_xlpm.result, "")
)</f>
        <v/>
      </c>
      <c r="G372" t="str">
        <f>_xlfn.LET(
  _xlpm.result, _xlfn.XLOOKUP($B372, Result_Database!$A$2:$A$500, Result_Database!F$2:F$500),
  _xlfn.IFNA(_xlpm.result, "")
)</f>
        <v/>
      </c>
      <c r="H372" t="str">
        <f>_xlfn.LET(
  _xlpm.result, _xlfn.XLOOKUP($B372, Result_Database!$A$2:$A$500, Result_Database!G$2:G$500),
  _xlfn.IFNA(_xlpm.result, "")
)</f>
        <v/>
      </c>
      <c r="I372" t="str">
        <f>_xlfn.LET(
  _xlpm.result, _xlfn.XLOOKUP($B372, Result_Database!$A$2:$A$500, Result_Database!H$2:H$500),
  _xlfn.IFNA(_xlpm.result, "")
)</f>
        <v/>
      </c>
      <c r="J372" t="str">
        <f>_xlfn.LET(
  _xlpm.result, _xlfn.XLOOKUP($B372, Result_Database!$A$2:$A$500, Result_Database!I$2:I$500),
  _xlfn.IFNA(_xlpm.result, "")
)</f>
        <v/>
      </c>
      <c r="K372" t="str">
        <f>_xlfn.LET(
  _xlpm.result, _xlfn.XLOOKUP($B372, Result_Database!$A$2:$A$500, Result_Database!J$2:J$500),
  _xlfn.IFNA(_xlpm.result, "")
)</f>
        <v/>
      </c>
      <c r="L372" t="str">
        <f>_xlfn.LET(
  _xlpm.result, _xlfn.XLOOKUP($B372, Result_Database!$A$2:$A$500, Result_Database!K$2:K$500),
  _xlfn.IFNA(_xlpm.result, "")
)</f>
        <v/>
      </c>
      <c r="M372" t="str">
        <f>_xlfn.LET(
  _xlpm.result, _xlfn.XLOOKUP($B372, Result_Database!$A$2:$A$500, Result_Database!L$2:L$500),
  _xlfn.IFNA(_xlpm.result, "")
)</f>
        <v/>
      </c>
      <c r="N372" t="str">
        <f>_xlfn.LET(
  _xlpm.result, _xlfn.XLOOKUP($B372, Result_Database!$A$2:$A$500, Result_Database!M$2:M$500),
  _xlfn.IFNA(_xlpm.result, "")
)</f>
        <v/>
      </c>
      <c r="O372" t="str">
        <f>_xlfn.LET(
  _xlpm.result, _xlfn.XLOOKUP($B372, Result_Database!$A$2:$A$500, Result_Database!N$2:N$500),
  _xlfn.IFNA(_xlpm.result, "")
)</f>
        <v/>
      </c>
      <c r="P372" t="str">
        <f>_xlfn.LET(
  _xlpm.result, _xlfn.XLOOKUP($B372, Result_Database!$A$2:$A$500, Result_Database!O$2:O$500),
  _xlfn.IFNA(_xlpm.result, "")
)</f>
        <v/>
      </c>
      <c r="Q372" t="str">
        <f>_xlfn.LET(
  _xlpm.result, _xlfn.XLOOKUP($B372, Result_Database!$A$2:$A$500, Result_Database!P$2:P$500),
  _xlfn.IFNA(_xlpm.result, "")
)</f>
        <v/>
      </c>
      <c r="R372" t="str">
        <f>_xlfn.LET(
  _xlpm.result, _xlfn.XLOOKUP($B372, Result_Database!$A$2:$A$500, Result_Database!Q$2:Q$500),
  _xlfn.IFNA(_xlpm.result, "")
)</f>
        <v/>
      </c>
      <c r="S372" t="str">
        <f>_xlfn.LET(
  _xlpm.result, _xlfn.XLOOKUP($B372, Result_Database!$A$2:$A$500, Result_Database!R$2:R$500),
  _xlfn.IFNA(_xlpm.result, "")
)</f>
        <v/>
      </c>
      <c r="T372" t="str">
        <f>_xlfn.LET(
  _xlpm.result, _xlfn.XLOOKUP($B372, Result_Database!$A$2:$A$500, Result_Database!S$2:S$500),
  _xlfn.IFNA(_xlpm.result, "")
)</f>
        <v/>
      </c>
      <c r="U372" t="str">
        <f>_xlfn.LET(
  _xlpm.result, _xlfn.XLOOKUP($B372, Result_Database!$A$2:$A$500, Result_Database!T$2:T$500),
  _xlfn.IFNA(_xlpm.result, "")
)</f>
        <v/>
      </c>
      <c r="V372" t="str">
        <f>_xlfn.LET(
  _xlpm.result, _xlfn.XLOOKUP($B372, Result_Database!$A$2:$A$500, Result_Database!U$2:U$500),
  _xlfn.IFNA(_xlpm.result, "")
)</f>
        <v/>
      </c>
      <c r="W372" t="str">
        <f>_xlfn.LET(
  _xlpm.result, _xlfn.XLOOKUP($B372, Result_Database!$A$2:$A$500, Result_Database!V$2:V$500),
  _xlfn.IFNA(_xlpm.result, "")
)</f>
        <v/>
      </c>
      <c r="X372" t="str">
        <f>_xlfn.LET(
  _xlpm.result, _xlfn.XLOOKUP($B372, Result_Database!$A$2:$A$500, Result_Database!W$2:W$500),
  _xlfn.IFNA(_xlpm.result, "")
)</f>
        <v/>
      </c>
      <c r="Y372" t="str">
        <f>_xlfn.LET(
  _xlpm.result, _xlfn.XLOOKUP($B372, Result_Database!$A$2:$A$500, Result_Database!X$2:X$500),
  _xlfn.IFNA(_xlpm.result, "")
)</f>
        <v/>
      </c>
      <c r="Z372" t="str">
        <f>_xlfn.LET(
  _xlpm.result, _xlfn.XLOOKUP($B372, Result_Database!$A$2:$A$500, Result_Database!Y$2:Y$500),
  _xlfn.IFNA(_xlpm.result, "")
)</f>
        <v/>
      </c>
      <c r="AA372" t="str">
        <f>_xlfn.LET(
  _xlpm.result, _xlfn.XLOOKUP($B372, Result_Database!$A$2:$A$500, Result_Database!Z$2:Z$500),
  _xlfn.IFNA(_xlpm.result, "")
)</f>
        <v/>
      </c>
      <c r="AB372" t="str">
        <f>_xlfn.LET(
  _xlpm.result, _xlfn.XLOOKUP($B372, Result_Database!$A$2:$A$500, Result_Database!AA$2:AA$500),
  _xlfn.IFNA(_xlpm.result, "")
)</f>
        <v/>
      </c>
      <c r="AC372" t="str">
        <f>_xlfn.LET(
  _xlpm.result, _xlfn.XLOOKUP($B372, Result_Database!$A$2:$A$500, Result_Database!AB$2:AB$500),
  _xlfn.IFNA(_xlpm.result, "")
)</f>
        <v/>
      </c>
      <c r="AD372" t="str">
        <f>_xlfn.LET(
  _xlpm.result, _xlfn.XLOOKUP($B372, Result_Database!$A$2:$A$500, Result_Database!AC$2:AC$500),
  _xlfn.IFNA(_xlpm.result, "")
)</f>
        <v/>
      </c>
      <c r="AE372" t="str">
        <f>_xlfn.LET(
  _xlpm.result, _xlfn.XLOOKUP($B372, Result_Database!$A$2:$A$500, Result_Database!AD$2:AD$500),
  _xlfn.IFNA(_xlpm.result, "")
)</f>
        <v/>
      </c>
      <c r="AF372" t="str">
        <f>_xlfn.LET(
  _xlpm.result, _xlfn.XLOOKUP($B372, Result_Database!$A$2:$A$500, Result_Database!AE$2:AE$500),
  _xlfn.IFNA(_xlpm.result, "")
)</f>
        <v/>
      </c>
      <c r="AG372" t="str">
        <f>_xlfn.LET(
  _xlpm.result, _xlfn.XLOOKUP($B372, Result_Database!$A$2:$A$500, Result_Database!AF$2:AF$500),
  _xlfn.IFNA(_xlpm.result, "")
)</f>
        <v/>
      </c>
      <c r="AH372" t="str">
        <f>_xlfn.LET(
  _xlpm.result, _xlfn.XLOOKUP($B372, Result_Database!$A$2:$A$500, Result_Database!AG$2:AG$500),
  _xlfn.IFNA(_xlpm.result, "")
)</f>
        <v/>
      </c>
      <c r="AI372" t="str">
        <f>_xlfn.LET(
  _xlpm.result, _xlfn.XLOOKUP($B372, Result_Database!$A$2:$A$500, Result_Database!AH$2:AH$500),
  _xlfn.IFNA(_xlpm.result, "")
)</f>
        <v/>
      </c>
      <c r="AJ372" t="str">
        <f>_xlfn.LET(
  _xlpm.result, _xlfn.XLOOKUP($B372, Result_Database!$A$2:$A$500, Result_Database!AI$2:AI$500),
  _xlfn.IFNA(_xlpm.result, "")
)</f>
        <v/>
      </c>
      <c r="AK372" t="str">
        <f>_xlfn.LET(
  _xlpm.result, _xlfn.XLOOKUP($B372, Result_Database!$A$2:$A$500, Result_Database!AJ$2:AJ$500),
  _xlfn.IFNA(_xlpm.result, "")
)</f>
        <v/>
      </c>
      <c r="AL372" t="str">
        <f>_xlfn.LET(
  _xlpm.result, _xlfn.XLOOKUP($B372, Result_Database!$A$2:$A$500, Result_Database!AK$2:AK$500),
  _xlfn.IFNA(_xlpm.result, "")
)</f>
        <v/>
      </c>
      <c r="AM37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7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7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7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7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7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7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7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7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72" t="str">
        <f>IF(SUM(Table5[[#This Row],[A1]:[C6]])&lt;&gt;0,SUM(Table5[[#This Row],[A1]:[C6]]),"")</f>
        <v/>
      </c>
      <c r="AW372" t="str">
        <f>IF(SUM(Table5[[#This Row],[D7]:[F9]])=0,"",SUM(Table5[[#This Row],[D7]:[F9]]))</f>
        <v/>
      </c>
      <c r="AX37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7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7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7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7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7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72" t="str">
        <f>IF(COUNTIF(Table5[[#This Row],[English Language]:[Electrical/ Electronics]],"WITHHELD")=0,"",COUNTIF(Table5[[#This Row],[English Language]:[Electrical/ Electronics]],"WITHHELD"))</f>
        <v/>
      </c>
      <c r="BE372" t="str">
        <f>IF(SUM(Table5[[#This Row],[NO OF CREDITS]:[BELOW CREDITS]])=0,"",SUM(Table5[[#This Row],[NO OF CREDITS]:[BELOW CREDITS]]))</f>
        <v/>
      </c>
    </row>
    <row r="373" spans="1:57" x14ac:dyDescent="0.3">
      <c r="A373" t="str">
        <f>IF(B373&lt;&gt;"",COUNTA($B$6:B373),"")</f>
        <v/>
      </c>
      <c r="B373" t="str">
        <f>IF(Result_Database!A369="","",Result_Database!A369)</f>
        <v/>
      </c>
      <c r="C373" t="str">
        <f>_xlfn.LET(
_xlpm.result,_xlfn.XLOOKUP($B373,Result_Database!$A$2:$A$500,Result_Database!$B$2:$B$500),
_xlfn.IFNA(_xlpm.result,"")
)</f>
        <v/>
      </c>
      <c r="D373" t="str">
        <f>_xlfn.LET(
  _xlpm.result, _xlfn.XLOOKUP($B373, Result_Database!$A$2:$A$500, Result_Database!C$2:C$500),
  _xlfn.IFNA(_xlpm.result, "")
)</f>
        <v/>
      </c>
      <c r="E373" t="str">
        <f>_xlfn.LET(
  _xlpm.result, _xlfn.XLOOKUP($B373, Result_Database!$A$2:$A$500, Result_Database!D$2:D$500),
  _xlfn.IFNA(_xlpm.result, "")
)</f>
        <v/>
      </c>
      <c r="F373" t="str">
        <f>_xlfn.LET(
  _xlpm.result, _xlfn.XLOOKUP($B373, Result_Database!$A$2:$A$500, Result_Database!E$2:E$500),
  _xlfn.IFNA(_xlpm.result, "")
)</f>
        <v/>
      </c>
      <c r="G373" t="str">
        <f>_xlfn.LET(
  _xlpm.result, _xlfn.XLOOKUP($B373, Result_Database!$A$2:$A$500, Result_Database!F$2:F$500),
  _xlfn.IFNA(_xlpm.result, "")
)</f>
        <v/>
      </c>
      <c r="H373" t="str">
        <f>_xlfn.LET(
  _xlpm.result, _xlfn.XLOOKUP($B373, Result_Database!$A$2:$A$500, Result_Database!G$2:G$500),
  _xlfn.IFNA(_xlpm.result, "")
)</f>
        <v/>
      </c>
      <c r="I373" t="str">
        <f>_xlfn.LET(
  _xlpm.result, _xlfn.XLOOKUP($B373, Result_Database!$A$2:$A$500, Result_Database!H$2:H$500),
  _xlfn.IFNA(_xlpm.result, "")
)</f>
        <v/>
      </c>
      <c r="J373" t="str">
        <f>_xlfn.LET(
  _xlpm.result, _xlfn.XLOOKUP($B373, Result_Database!$A$2:$A$500, Result_Database!I$2:I$500),
  _xlfn.IFNA(_xlpm.result, "")
)</f>
        <v/>
      </c>
      <c r="K373" t="str">
        <f>_xlfn.LET(
  _xlpm.result, _xlfn.XLOOKUP($B373, Result_Database!$A$2:$A$500, Result_Database!J$2:J$500),
  _xlfn.IFNA(_xlpm.result, "")
)</f>
        <v/>
      </c>
      <c r="L373" t="str">
        <f>_xlfn.LET(
  _xlpm.result, _xlfn.XLOOKUP($B373, Result_Database!$A$2:$A$500, Result_Database!K$2:K$500),
  _xlfn.IFNA(_xlpm.result, "")
)</f>
        <v/>
      </c>
      <c r="M373" t="str">
        <f>_xlfn.LET(
  _xlpm.result, _xlfn.XLOOKUP($B373, Result_Database!$A$2:$A$500, Result_Database!L$2:L$500),
  _xlfn.IFNA(_xlpm.result, "")
)</f>
        <v/>
      </c>
      <c r="N373" t="str">
        <f>_xlfn.LET(
  _xlpm.result, _xlfn.XLOOKUP($B373, Result_Database!$A$2:$A$500, Result_Database!M$2:M$500),
  _xlfn.IFNA(_xlpm.result, "")
)</f>
        <v/>
      </c>
      <c r="O373" t="str">
        <f>_xlfn.LET(
  _xlpm.result, _xlfn.XLOOKUP($B373, Result_Database!$A$2:$A$500, Result_Database!N$2:N$500),
  _xlfn.IFNA(_xlpm.result, "")
)</f>
        <v/>
      </c>
      <c r="P373" t="str">
        <f>_xlfn.LET(
  _xlpm.result, _xlfn.XLOOKUP($B373, Result_Database!$A$2:$A$500, Result_Database!O$2:O$500),
  _xlfn.IFNA(_xlpm.result, "")
)</f>
        <v/>
      </c>
      <c r="Q373" t="str">
        <f>_xlfn.LET(
  _xlpm.result, _xlfn.XLOOKUP($B373, Result_Database!$A$2:$A$500, Result_Database!P$2:P$500),
  _xlfn.IFNA(_xlpm.result, "")
)</f>
        <v/>
      </c>
      <c r="R373" t="str">
        <f>_xlfn.LET(
  _xlpm.result, _xlfn.XLOOKUP($B373, Result_Database!$A$2:$A$500, Result_Database!Q$2:Q$500),
  _xlfn.IFNA(_xlpm.result, "")
)</f>
        <v/>
      </c>
      <c r="S373" t="str">
        <f>_xlfn.LET(
  _xlpm.result, _xlfn.XLOOKUP($B373, Result_Database!$A$2:$A$500, Result_Database!R$2:R$500),
  _xlfn.IFNA(_xlpm.result, "")
)</f>
        <v/>
      </c>
      <c r="T373" t="str">
        <f>_xlfn.LET(
  _xlpm.result, _xlfn.XLOOKUP($B373, Result_Database!$A$2:$A$500, Result_Database!S$2:S$500),
  _xlfn.IFNA(_xlpm.result, "")
)</f>
        <v/>
      </c>
      <c r="U373" t="str">
        <f>_xlfn.LET(
  _xlpm.result, _xlfn.XLOOKUP($B373, Result_Database!$A$2:$A$500, Result_Database!T$2:T$500),
  _xlfn.IFNA(_xlpm.result, "")
)</f>
        <v/>
      </c>
      <c r="V373" t="str">
        <f>_xlfn.LET(
  _xlpm.result, _xlfn.XLOOKUP($B373, Result_Database!$A$2:$A$500, Result_Database!U$2:U$500),
  _xlfn.IFNA(_xlpm.result, "")
)</f>
        <v/>
      </c>
      <c r="W373" t="str">
        <f>_xlfn.LET(
  _xlpm.result, _xlfn.XLOOKUP($B373, Result_Database!$A$2:$A$500, Result_Database!V$2:V$500),
  _xlfn.IFNA(_xlpm.result, "")
)</f>
        <v/>
      </c>
      <c r="X373" t="str">
        <f>_xlfn.LET(
  _xlpm.result, _xlfn.XLOOKUP($B373, Result_Database!$A$2:$A$500, Result_Database!W$2:W$500),
  _xlfn.IFNA(_xlpm.result, "")
)</f>
        <v/>
      </c>
      <c r="Y373" t="str">
        <f>_xlfn.LET(
  _xlpm.result, _xlfn.XLOOKUP($B373, Result_Database!$A$2:$A$500, Result_Database!X$2:X$500),
  _xlfn.IFNA(_xlpm.result, "")
)</f>
        <v/>
      </c>
      <c r="Z373" t="str">
        <f>_xlfn.LET(
  _xlpm.result, _xlfn.XLOOKUP($B373, Result_Database!$A$2:$A$500, Result_Database!Y$2:Y$500),
  _xlfn.IFNA(_xlpm.result, "")
)</f>
        <v/>
      </c>
      <c r="AA373" t="str">
        <f>_xlfn.LET(
  _xlpm.result, _xlfn.XLOOKUP($B373, Result_Database!$A$2:$A$500, Result_Database!Z$2:Z$500),
  _xlfn.IFNA(_xlpm.result, "")
)</f>
        <v/>
      </c>
      <c r="AB373" t="str">
        <f>_xlfn.LET(
  _xlpm.result, _xlfn.XLOOKUP($B373, Result_Database!$A$2:$A$500, Result_Database!AA$2:AA$500),
  _xlfn.IFNA(_xlpm.result, "")
)</f>
        <v/>
      </c>
      <c r="AC373" t="str">
        <f>_xlfn.LET(
  _xlpm.result, _xlfn.XLOOKUP($B373, Result_Database!$A$2:$A$500, Result_Database!AB$2:AB$500),
  _xlfn.IFNA(_xlpm.result, "")
)</f>
        <v/>
      </c>
      <c r="AD373" t="str">
        <f>_xlfn.LET(
  _xlpm.result, _xlfn.XLOOKUP($B373, Result_Database!$A$2:$A$500, Result_Database!AC$2:AC$500),
  _xlfn.IFNA(_xlpm.result, "")
)</f>
        <v/>
      </c>
      <c r="AE373" t="str">
        <f>_xlfn.LET(
  _xlpm.result, _xlfn.XLOOKUP($B373, Result_Database!$A$2:$A$500, Result_Database!AD$2:AD$500),
  _xlfn.IFNA(_xlpm.result, "")
)</f>
        <v/>
      </c>
      <c r="AF373" t="str">
        <f>_xlfn.LET(
  _xlpm.result, _xlfn.XLOOKUP($B373, Result_Database!$A$2:$A$500, Result_Database!AE$2:AE$500),
  _xlfn.IFNA(_xlpm.result, "")
)</f>
        <v/>
      </c>
      <c r="AG373" t="str">
        <f>_xlfn.LET(
  _xlpm.result, _xlfn.XLOOKUP($B373, Result_Database!$A$2:$A$500, Result_Database!AF$2:AF$500),
  _xlfn.IFNA(_xlpm.result, "")
)</f>
        <v/>
      </c>
      <c r="AH373" t="str">
        <f>_xlfn.LET(
  _xlpm.result, _xlfn.XLOOKUP($B373, Result_Database!$A$2:$A$500, Result_Database!AG$2:AG$500),
  _xlfn.IFNA(_xlpm.result, "")
)</f>
        <v/>
      </c>
      <c r="AI373" t="str">
        <f>_xlfn.LET(
  _xlpm.result, _xlfn.XLOOKUP($B373, Result_Database!$A$2:$A$500, Result_Database!AH$2:AH$500),
  _xlfn.IFNA(_xlpm.result, "")
)</f>
        <v/>
      </c>
      <c r="AJ373" t="str">
        <f>_xlfn.LET(
  _xlpm.result, _xlfn.XLOOKUP($B373, Result_Database!$A$2:$A$500, Result_Database!AI$2:AI$500),
  _xlfn.IFNA(_xlpm.result, "")
)</f>
        <v/>
      </c>
      <c r="AK373" t="str">
        <f>_xlfn.LET(
  _xlpm.result, _xlfn.XLOOKUP($B373, Result_Database!$A$2:$A$500, Result_Database!AJ$2:AJ$500),
  _xlfn.IFNA(_xlpm.result, "")
)</f>
        <v/>
      </c>
      <c r="AL373" t="str">
        <f>_xlfn.LET(
  _xlpm.result, _xlfn.XLOOKUP($B373, Result_Database!$A$2:$A$500, Result_Database!AK$2:AK$500),
  _xlfn.IFNA(_xlpm.result, "")
)</f>
        <v/>
      </c>
      <c r="AM37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7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7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7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7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7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7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7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7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73" t="str">
        <f>IF(SUM(Table5[[#This Row],[A1]:[C6]])&lt;&gt;0,SUM(Table5[[#This Row],[A1]:[C6]]),"")</f>
        <v/>
      </c>
      <c r="AW373" t="str">
        <f>IF(SUM(Table5[[#This Row],[D7]:[F9]])=0,"",SUM(Table5[[#This Row],[D7]:[F9]]))</f>
        <v/>
      </c>
      <c r="AX37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7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7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7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7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7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73" t="str">
        <f>IF(COUNTIF(Table5[[#This Row],[English Language]:[Electrical/ Electronics]],"WITHHELD")=0,"",COUNTIF(Table5[[#This Row],[English Language]:[Electrical/ Electronics]],"WITHHELD"))</f>
        <v/>
      </c>
      <c r="BE373" t="str">
        <f>IF(SUM(Table5[[#This Row],[NO OF CREDITS]:[BELOW CREDITS]])=0,"",SUM(Table5[[#This Row],[NO OF CREDITS]:[BELOW CREDITS]]))</f>
        <v/>
      </c>
    </row>
    <row r="374" spans="1:57" x14ac:dyDescent="0.3">
      <c r="A374" t="str">
        <f>IF(B374&lt;&gt;"",COUNTA($B$6:B374),"")</f>
        <v/>
      </c>
      <c r="B374" t="str">
        <f>IF(Result_Database!A370="","",Result_Database!A370)</f>
        <v/>
      </c>
      <c r="C374" t="str">
        <f>_xlfn.LET(
_xlpm.result,_xlfn.XLOOKUP($B374,Result_Database!$A$2:$A$500,Result_Database!$B$2:$B$500),
_xlfn.IFNA(_xlpm.result,"")
)</f>
        <v/>
      </c>
      <c r="D374" t="str">
        <f>_xlfn.LET(
  _xlpm.result, _xlfn.XLOOKUP($B374, Result_Database!$A$2:$A$500, Result_Database!C$2:C$500),
  _xlfn.IFNA(_xlpm.result, "")
)</f>
        <v/>
      </c>
      <c r="E374" t="str">
        <f>_xlfn.LET(
  _xlpm.result, _xlfn.XLOOKUP($B374, Result_Database!$A$2:$A$500, Result_Database!D$2:D$500),
  _xlfn.IFNA(_xlpm.result, "")
)</f>
        <v/>
      </c>
      <c r="F374" t="str">
        <f>_xlfn.LET(
  _xlpm.result, _xlfn.XLOOKUP($B374, Result_Database!$A$2:$A$500, Result_Database!E$2:E$500),
  _xlfn.IFNA(_xlpm.result, "")
)</f>
        <v/>
      </c>
      <c r="G374" t="str">
        <f>_xlfn.LET(
  _xlpm.result, _xlfn.XLOOKUP($B374, Result_Database!$A$2:$A$500, Result_Database!F$2:F$500),
  _xlfn.IFNA(_xlpm.result, "")
)</f>
        <v/>
      </c>
      <c r="H374" t="str">
        <f>_xlfn.LET(
  _xlpm.result, _xlfn.XLOOKUP($B374, Result_Database!$A$2:$A$500, Result_Database!G$2:G$500),
  _xlfn.IFNA(_xlpm.result, "")
)</f>
        <v/>
      </c>
      <c r="I374" t="str">
        <f>_xlfn.LET(
  _xlpm.result, _xlfn.XLOOKUP($B374, Result_Database!$A$2:$A$500, Result_Database!H$2:H$500),
  _xlfn.IFNA(_xlpm.result, "")
)</f>
        <v/>
      </c>
      <c r="J374" t="str">
        <f>_xlfn.LET(
  _xlpm.result, _xlfn.XLOOKUP($B374, Result_Database!$A$2:$A$500, Result_Database!I$2:I$500),
  _xlfn.IFNA(_xlpm.result, "")
)</f>
        <v/>
      </c>
      <c r="K374" t="str">
        <f>_xlfn.LET(
  _xlpm.result, _xlfn.XLOOKUP($B374, Result_Database!$A$2:$A$500, Result_Database!J$2:J$500),
  _xlfn.IFNA(_xlpm.result, "")
)</f>
        <v/>
      </c>
      <c r="L374" t="str">
        <f>_xlfn.LET(
  _xlpm.result, _xlfn.XLOOKUP($B374, Result_Database!$A$2:$A$500, Result_Database!K$2:K$500),
  _xlfn.IFNA(_xlpm.result, "")
)</f>
        <v/>
      </c>
      <c r="M374" t="str">
        <f>_xlfn.LET(
  _xlpm.result, _xlfn.XLOOKUP($B374, Result_Database!$A$2:$A$500, Result_Database!L$2:L$500),
  _xlfn.IFNA(_xlpm.result, "")
)</f>
        <v/>
      </c>
      <c r="N374" t="str">
        <f>_xlfn.LET(
  _xlpm.result, _xlfn.XLOOKUP($B374, Result_Database!$A$2:$A$500, Result_Database!M$2:M$500),
  _xlfn.IFNA(_xlpm.result, "")
)</f>
        <v/>
      </c>
      <c r="O374" t="str">
        <f>_xlfn.LET(
  _xlpm.result, _xlfn.XLOOKUP($B374, Result_Database!$A$2:$A$500, Result_Database!N$2:N$500),
  _xlfn.IFNA(_xlpm.result, "")
)</f>
        <v/>
      </c>
      <c r="P374" t="str">
        <f>_xlfn.LET(
  _xlpm.result, _xlfn.XLOOKUP($B374, Result_Database!$A$2:$A$500, Result_Database!O$2:O$500),
  _xlfn.IFNA(_xlpm.result, "")
)</f>
        <v/>
      </c>
      <c r="Q374" t="str">
        <f>_xlfn.LET(
  _xlpm.result, _xlfn.XLOOKUP($B374, Result_Database!$A$2:$A$500, Result_Database!P$2:P$500),
  _xlfn.IFNA(_xlpm.result, "")
)</f>
        <v/>
      </c>
      <c r="R374" t="str">
        <f>_xlfn.LET(
  _xlpm.result, _xlfn.XLOOKUP($B374, Result_Database!$A$2:$A$500, Result_Database!Q$2:Q$500),
  _xlfn.IFNA(_xlpm.result, "")
)</f>
        <v/>
      </c>
      <c r="S374" t="str">
        <f>_xlfn.LET(
  _xlpm.result, _xlfn.XLOOKUP($B374, Result_Database!$A$2:$A$500, Result_Database!R$2:R$500),
  _xlfn.IFNA(_xlpm.result, "")
)</f>
        <v/>
      </c>
      <c r="T374" t="str">
        <f>_xlfn.LET(
  _xlpm.result, _xlfn.XLOOKUP($B374, Result_Database!$A$2:$A$500, Result_Database!S$2:S$500),
  _xlfn.IFNA(_xlpm.result, "")
)</f>
        <v/>
      </c>
      <c r="U374" t="str">
        <f>_xlfn.LET(
  _xlpm.result, _xlfn.XLOOKUP($B374, Result_Database!$A$2:$A$500, Result_Database!T$2:T$500),
  _xlfn.IFNA(_xlpm.result, "")
)</f>
        <v/>
      </c>
      <c r="V374" t="str">
        <f>_xlfn.LET(
  _xlpm.result, _xlfn.XLOOKUP($B374, Result_Database!$A$2:$A$500, Result_Database!U$2:U$500),
  _xlfn.IFNA(_xlpm.result, "")
)</f>
        <v/>
      </c>
      <c r="W374" t="str">
        <f>_xlfn.LET(
  _xlpm.result, _xlfn.XLOOKUP($B374, Result_Database!$A$2:$A$500, Result_Database!V$2:V$500),
  _xlfn.IFNA(_xlpm.result, "")
)</f>
        <v/>
      </c>
      <c r="X374" t="str">
        <f>_xlfn.LET(
  _xlpm.result, _xlfn.XLOOKUP($B374, Result_Database!$A$2:$A$500, Result_Database!W$2:W$500),
  _xlfn.IFNA(_xlpm.result, "")
)</f>
        <v/>
      </c>
      <c r="Y374" t="str">
        <f>_xlfn.LET(
  _xlpm.result, _xlfn.XLOOKUP($B374, Result_Database!$A$2:$A$500, Result_Database!X$2:X$500),
  _xlfn.IFNA(_xlpm.result, "")
)</f>
        <v/>
      </c>
      <c r="Z374" t="str">
        <f>_xlfn.LET(
  _xlpm.result, _xlfn.XLOOKUP($B374, Result_Database!$A$2:$A$500, Result_Database!Y$2:Y$500),
  _xlfn.IFNA(_xlpm.result, "")
)</f>
        <v/>
      </c>
      <c r="AA374" t="str">
        <f>_xlfn.LET(
  _xlpm.result, _xlfn.XLOOKUP($B374, Result_Database!$A$2:$A$500, Result_Database!Z$2:Z$500),
  _xlfn.IFNA(_xlpm.result, "")
)</f>
        <v/>
      </c>
      <c r="AB374" t="str">
        <f>_xlfn.LET(
  _xlpm.result, _xlfn.XLOOKUP($B374, Result_Database!$A$2:$A$500, Result_Database!AA$2:AA$500),
  _xlfn.IFNA(_xlpm.result, "")
)</f>
        <v/>
      </c>
      <c r="AC374" t="str">
        <f>_xlfn.LET(
  _xlpm.result, _xlfn.XLOOKUP($B374, Result_Database!$A$2:$A$500, Result_Database!AB$2:AB$500),
  _xlfn.IFNA(_xlpm.result, "")
)</f>
        <v/>
      </c>
      <c r="AD374" t="str">
        <f>_xlfn.LET(
  _xlpm.result, _xlfn.XLOOKUP($B374, Result_Database!$A$2:$A$500, Result_Database!AC$2:AC$500),
  _xlfn.IFNA(_xlpm.result, "")
)</f>
        <v/>
      </c>
      <c r="AE374" t="str">
        <f>_xlfn.LET(
  _xlpm.result, _xlfn.XLOOKUP($B374, Result_Database!$A$2:$A$500, Result_Database!AD$2:AD$500),
  _xlfn.IFNA(_xlpm.result, "")
)</f>
        <v/>
      </c>
      <c r="AF374" t="str">
        <f>_xlfn.LET(
  _xlpm.result, _xlfn.XLOOKUP($B374, Result_Database!$A$2:$A$500, Result_Database!AE$2:AE$500),
  _xlfn.IFNA(_xlpm.result, "")
)</f>
        <v/>
      </c>
      <c r="AG374" t="str">
        <f>_xlfn.LET(
  _xlpm.result, _xlfn.XLOOKUP($B374, Result_Database!$A$2:$A$500, Result_Database!AF$2:AF$500),
  _xlfn.IFNA(_xlpm.result, "")
)</f>
        <v/>
      </c>
      <c r="AH374" t="str">
        <f>_xlfn.LET(
  _xlpm.result, _xlfn.XLOOKUP($B374, Result_Database!$A$2:$A$500, Result_Database!AG$2:AG$500),
  _xlfn.IFNA(_xlpm.result, "")
)</f>
        <v/>
      </c>
      <c r="AI374" t="str">
        <f>_xlfn.LET(
  _xlpm.result, _xlfn.XLOOKUP($B374, Result_Database!$A$2:$A$500, Result_Database!AH$2:AH$500),
  _xlfn.IFNA(_xlpm.result, "")
)</f>
        <v/>
      </c>
      <c r="AJ374" t="str">
        <f>_xlfn.LET(
  _xlpm.result, _xlfn.XLOOKUP($B374, Result_Database!$A$2:$A$500, Result_Database!AI$2:AI$500),
  _xlfn.IFNA(_xlpm.result, "")
)</f>
        <v/>
      </c>
      <c r="AK374" t="str">
        <f>_xlfn.LET(
  _xlpm.result, _xlfn.XLOOKUP($B374, Result_Database!$A$2:$A$500, Result_Database!AJ$2:AJ$500),
  _xlfn.IFNA(_xlpm.result, "")
)</f>
        <v/>
      </c>
      <c r="AL374" t="str">
        <f>_xlfn.LET(
  _xlpm.result, _xlfn.XLOOKUP($B374, Result_Database!$A$2:$A$500, Result_Database!AK$2:AK$500),
  _xlfn.IFNA(_xlpm.result, "")
)</f>
        <v/>
      </c>
      <c r="AM37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7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7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7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7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7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7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7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7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74" t="str">
        <f>IF(SUM(Table5[[#This Row],[A1]:[C6]])&lt;&gt;0,SUM(Table5[[#This Row],[A1]:[C6]]),"")</f>
        <v/>
      </c>
      <c r="AW374" t="str">
        <f>IF(SUM(Table5[[#This Row],[D7]:[F9]])=0,"",SUM(Table5[[#This Row],[D7]:[F9]]))</f>
        <v/>
      </c>
      <c r="AX37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7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7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7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7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7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74" t="str">
        <f>IF(COUNTIF(Table5[[#This Row],[English Language]:[Electrical/ Electronics]],"WITHHELD")=0,"",COUNTIF(Table5[[#This Row],[English Language]:[Electrical/ Electronics]],"WITHHELD"))</f>
        <v/>
      </c>
      <c r="BE374" t="str">
        <f>IF(SUM(Table5[[#This Row],[NO OF CREDITS]:[BELOW CREDITS]])=0,"",SUM(Table5[[#This Row],[NO OF CREDITS]:[BELOW CREDITS]]))</f>
        <v/>
      </c>
    </row>
    <row r="375" spans="1:57" x14ac:dyDescent="0.3">
      <c r="A375" t="str">
        <f>IF(B375&lt;&gt;"",COUNTA($B$6:B375),"")</f>
        <v/>
      </c>
      <c r="B375" t="str">
        <f>IF(Result_Database!A371="","",Result_Database!A371)</f>
        <v/>
      </c>
      <c r="C375" t="str">
        <f>_xlfn.LET(
_xlpm.result,_xlfn.XLOOKUP($B375,Result_Database!$A$2:$A$500,Result_Database!$B$2:$B$500),
_xlfn.IFNA(_xlpm.result,"")
)</f>
        <v/>
      </c>
      <c r="D375" t="str">
        <f>_xlfn.LET(
  _xlpm.result, _xlfn.XLOOKUP($B375, Result_Database!$A$2:$A$500, Result_Database!C$2:C$500),
  _xlfn.IFNA(_xlpm.result, "")
)</f>
        <v/>
      </c>
      <c r="E375" t="str">
        <f>_xlfn.LET(
  _xlpm.result, _xlfn.XLOOKUP($B375, Result_Database!$A$2:$A$500, Result_Database!D$2:D$500),
  _xlfn.IFNA(_xlpm.result, "")
)</f>
        <v/>
      </c>
      <c r="F375" t="str">
        <f>_xlfn.LET(
  _xlpm.result, _xlfn.XLOOKUP($B375, Result_Database!$A$2:$A$500, Result_Database!E$2:E$500),
  _xlfn.IFNA(_xlpm.result, "")
)</f>
        <v/>
      </c>
      <c r="G375" t="str">
        <f>_xlfn.LET(
  _xlpm.result, _xlfn.XLOOKUP($B375, Result_Database!$A$2:$A$500, Result_Database!F$2:F$500),
  _xlfn.IFNA(_xlpm.result, "")
)</f>
        <v/>
      </c>
      <c r="H375" t="str">
        <f>_xlfn.LET(
  _xlpm.result, _xlfn.XLOOKUP($B375, Result_Database!$A$2:$A$500, Result_Database!G$2:G$500),
  _xlfn.IFNA(_xlpm.result, "")
)</f>
        <v/>
      </c>
      <c r="I375" t="str">
        <f>_xlfn.LET(
  _xlpm.result, _xlfn.XLOOKUP($B375, Result_Database!$A$2:$A$500, Result_Database!H$2:H$500),
  _xlfn.IFNA(_xlpm.result, "")
)</f>
        <v/>
      </c>
      <c r="J375" t="str">
        <f>_xlfn.LET(
  _xlpm.result, _xlfn.XLOOKUP($B375, Result_Database!$A$2:$A$500, Result_Database!I$2:I$500),
  _xlfn.IFNA(_xlpm.result, "")
)</f>
        <v/>
      </c>
      <c r="K375" t="str">
        <f>_xlfn.LET(
  _xlpm.result, _xlfn.XLOOKUP($B375, Result_Database!$A$2:$A$500, Result_Database!J$2:J$500),
  _xlfn.IFNA(_xlpm.result, "")
)</f>
        <v/>
      </c>
      <c r="L375" t="str">
        <f>_xlfn.LET(
  _xlpm.result, _xlfn.XLOOKUP($B375, Result_Database!$A$2:$A$500, Result_Database!K$2:K$500),
  _xlfn.IFNA(_xlpm.result, "")
)</f>
        <v/>
      </c>
      <c r="M375" t="str">
        <f>_xlfn.LET(
  _xlpm.result, _xlfn.XLOOKUP($B375, Result_Database!$A$2:$A$500, Result_Database!L$2:L$500),
  _xlfn.IFNA(_xlpm.result, "")
)</f>
        <v/>
      </c>
      <c r="N375" t="str">
        <f>_xlfn.LET(
  _xlpm.result, _xlfn.XLOOKUP($B375, Result_Database!$A$2:$A$500, Result_Database!M$2:M$500),
  _xlfn.IFNA(_xlpm.result, "")
)</f>
        <v/>
      </c>
      <c r="O375" t="str">
        <f>_xlfn.LET(
  _xlpm.result, _xlfn.XLOOKUP($B375, Result_Database!$A$2:$A$500, Result_Database!N$2:N$500),
  _xlfn.IFNA(_xlpm.result, "")
)</f>
        <v/>
      </c>
      <c r="P375" t="str">
        <f>_xlfn.LET(
  _xlpm.result, _xlfn.XLOOKUP($B375, Result_Database!$A$2:$A$500, Result_Database!O$2:O$500),
  _xlfn.IFNA(_xlpm.result, "")
)</f>
        <v/>
      </c>
      <c r="Q375" t="str">
        <f>_xlfn.LET(
  _xlpm.result, _xlfn.XLOOKUP($B375, Result_Database!$A$2:$A$500, Result_Database!P$2:P$500),
  _xlfn.IFNA(_xlpm.result, "")
)</f>
        <v/>
      </c>
      <c r="R375" t="str">
        <f>_xlfn.LET(
  _xlpm.result, _xlfn.XLOOKUP($B375, Result_Database!$A$2:$A$500, Result_Database!Q$2:Q$500),
  _xlfn.IFNA(_xlpm.result, "")
)</f>
        <v/>
      </c>
      <c r="S375" t="str">
        <f>_xlfn.LET(
  _xlpm.result, _xlfn.XLOOKUP($B375, Result_Database!$A$2:$A$500, Result_Database!R$2:R$500),
  _xlfn.IFNA(_xlpm.result, "")
)</f>
        <v/>
      </c>
      <c r="T375" t="str">
        <f>_xlfn.LET(
  _xlpm.result, _xlfn.XLOOKUP($B375, Result_Database!$A$2:$A$500, Result_Database!S$2:S$500),
  _xlfn.IFNA(_xlpm.result, "")
)</f>
        <v/>
      </c>
      <c r="U375" t="str">
        <f>_xlfn.LET(
  _xlpm.result, _xlfn.XLOOKUP($B375, Result_Database!$A$2:$A$500, Result_Database!T$2:T$500),
  _xlfn.IFNA(_xlpm.result, "")
)</f>
        <v/>
      </c>
      <c r="V375" t="str">
        <f>_xlfn.LET(
  _xlpm.result, _xlfn.XLOOKUP($B375, Result_Database!$A$2:$A$500, Result_Database!U$2:U$500),
  _xlfn.IFNA(_xlpm.result, "")
)</f>
        <v/>
      </c>
      <c r="W375" t="str">
        <f>_xlfn.LET(
  _xlpm.result, _xlfn.XLOOKUP($B375, Result_Database!$A$2:$A$500, Result_Database!V$2:V$500),
  _xlfn.IFNA(_xlpm.result, "")
)</f>
        <v/>
      </c>
      <c r="X375" t="str">
        <f>_xlfn.LET(
  _xlpm.result, _xlfn.XLOOKUP($B375, Result_Database!$A$2:$A$500, Result_Database!W$2:W$500),
  _xlfn.IFNA(_xlpm.result, "")
)</f>
        <v/>
      </c>
      <c r="Y375" t="str">
        <f>_xlfn.LET(
  _xlpm.result, _xlfn.XLOOKUP($B375, Result_Database!$A$2:$A$500, Result_Database!X$2:X$500),
  _xlfn.IFNA(_xlpm.result, "")
)</f>
        <v/>
      </c>
      <c r="Z375" t="str">
        <f>_xlfn.LET(
  _xlpm.result, _xlfn.XLOOKUP($B375, Result_Database!$A$2:$A$500, Result_Database!Y$2:Y$500),
  _xlfn.IFNA(_xlpm.result, "")
)</f>
        <v/>
      </c>
      <c r="AA375" t="str">
        <f>_xlfn.LET(
  _xlpm.result, _xlfn.XLOOKUP($B375, Result_Database!$A$2:$A$500, Result_Database!Z$2:Z$500),
  _xlfn.IFNA(_xlpm.result, "")
)</f>
        <v/>
      </c>
      <c r="AB375" t="str">
        <f>_xlfn.LET(
  _xlpm.result, _xlfn.XLOOKUP($B375, Result_Database!$A$2:$A$500, Result_Database!AA$2:AA$500),
  _xlfn.IFNA(_xlpm.result, "")
)</f>
        <v/>
      </c>
      <c r="AC375" t="str">
        <f>_xlfn.LET(
  _xlpm.result, _xlfn.XLOOKUP($B375, Result_Database!$A$2:$A$500, Result_Database!AB$2:AB$500),
  _xlfn.IFNA(_xlpm.result, "")
)</f>
        <v/>
      </c>
      <c r="AD375" t="str">
        <f>_xlfn.LET(
  _xlpm.result, _xlfn.XLOOKUP($B375, Result_Database!$A$2:$A$500, Result_Database!AC$2:AC$500),
  _xlfn.IFNA(_xlpm.result, "")
)</f>
        <v/>
      </c>
      <c r="AE375" t="str">
        <f>_xlfn.LET(
  _xlpm.result, _xlfn.XLOOKUP($B375, Result_Database!$A$2:$A$500, Result_Database!AD$2:AD$500),
  _xlfn.IFNA(_xlpm.result, "")
)</f>
        <v/>
      </c>
      <c r="AF375" t="str">
        <f>_xlfn.LET(
  _xlpm.result, _xlfn.XLOOKUP($B375, Result_Database!$A$2:$A$500, Result_Database!AE$2:AE$500),
  _xlfn.IFNA(_xlpm.result, "")
)</f>
        <v/>
      </c>
      <c r="AG375" t="str">
        <f>_xlfn.LET(
  _xlpm.result, _xlfn.XLOOKUP($B375, Result_Database!$A$2:$A$500, Result_Database!AF$2:AF$500),
  _xlfn.IFNA(_xlpm.result, "")
)</f>
        <v/>
      </c>
      <c r="AH375" t="str">
        <f>_xlfn.LET(
  _xlpm.result, _xlfn.XLOOKUP($B375, Result_Database!$A$2:$A$500, Result_Database!AG$2:AG$500),
  _xlfn.IFNA(_xlpm.result, "")
)</f>
        <v/>
      </c>
      <c r="AI375" t="str">
        <f>_xlfn.LET(
  _xlpm.result, _xlfn.XLOOKUP($B375, Result_Database!$A$2:$A$500, Result_Database!AH$2:AH$500),
  _xlfn.IFNA(_xlpm.result, "")
)</f>
        <v/>
      </c>
      <c r="AJ375" t="str">
        <f>_xlfn.LET(
  _xlpm.result, _xlfn.XLOOKUP($B375, Result_Database!$A$2:$A$500, Result_Database!AI$2:AI$500),
  _xlfn.IFNA(_xlpm.result, "")
)</f>
        <v/>
      </c>
      <c r="AK375" t="str">
        <f>_xlfn.LET(
  _xlpm.result, _xlfn.XLOOKUP($B375, Result_Database!$A$2:$A$500, Result_Database!AJ$2:AJ$500),
  _xlfn.IFNA(_xlpm.result, "")
)</f>
        <v/>
      </c>
      <c r="AL375" t="str">
        <f>_xlfn.LET(
  _xlpm.result, _xlfn.XLOOKUP($B375, Result_Database!$A$2:$A$500, Result_Database!AK$2:AK$500),
  _xlfn.IFNA(_xlpm.result, "")
)</f>
        <v/>
      </c>
      <c r="AM37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7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7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7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7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7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7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7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7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75" t="str">
        <f>IF(SUM(Table5[[#This Row],[A1]:[C6]])&lt;&gt;0,SUM(Table5[[#This Row],[A1]:[C6]]),"")</f>
        <v/>
      </c>
      <c r="AW375" t="str">
        <f>IF(SUM(Table5[[#This Row],[D7]:[F9]])=0,"",SUM(Table5[[#This Row],[D7]:[F9]]))</f>
        <v/>
      </c>
      <c r="AX37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7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7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7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7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7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75" t="str">
        <f>IF(COUNTIF(Table5[[#This Row],[English Language]:[Electrical/ Electronics]],"WITHHELD")=0,"",COUNTIF(Table5[[#This Row],[English Language]:[Electrical/ Electronics]],"WITHHELD"))</f>
        <v/>
      </c>
      <c r="BE375" t="str">
        <f>IF(SUM(Table5[[#This Row],[NO OF CREDITS]:[BELOW CREDITS]])=0,"",SUM(Table5[[#This Row],[NO OF CREDITS]:[BELOW CREDITS]]))</f>
        <v/>
      </c>
    </row>
    <row r="376" spans="1:57" x14ac:dyDescent="0.3">
      <c r="A376" t="str">
        <f>IF(B376&lt;&gt;"",COUNTA($B$6:B376),"")</f>
        <v/>
      </c>
      <c r="B376" t="str">
        <f>IF(Result_Database!A372="","",Result_Database!A372)</f>
        <v/>
      </c>
      <c r="C376" t="str">
        <f>_xlfn.LET(
_xlpm.result,_xlfn.XLOOKUP($B376,Result_Database!$A$2:$A$500,Result_Database!$B$2:$B$500),
_xlfn.IFNA(_xlpm.result,"")
)</f>
        <v/>
      </c>
      <c r="D376" t="str">
        <f>_xlfn.LET(
  _xlpm.result, _xlfn.XLOOKUP($B376, Result_Database!$A$2:$A$500, Result_Database!C$2:C$500),
  _xlfn.IFNA(_xlpm.result, "")
)</f>
        <v/>
      </c>
      <c r="E376" t="str">
        <f>_xlfn.LET(
  _xlpm.result, _xlfn.XLOOKUP($B376, Result_Database!$A$2:$A$500, Result_Database!D$2:D$500),
  _xlfn.IFNA(_xlpm.result, "")
)</f>
        <v/>
      </c>
      <c r="F376" t="str">
        <f>_xlfn.LET(
  _xlpm.result, _xlfn.XLOOKUP($B376, Result_Database!$A$2:$A$500, Result_Database!E$2:E$500),
  _xlfn.IFNA(_xlpm.result, "")
)</f>
        <v/>
      </c>
      <c r="G376" t="str">
        <f>_xlfn.LET(
  _xlpm.result, _xlfn.XLOOKUP($B376, Result_Database!$A$2:$A$500, Result_Database!F$2:F$500),
  _xlfn.IFNA(_xlpm.result, "")
)</f>
        <v/>
      </c>
      <c r="H376" t="str">
        <f>_xlfn.LET(
  _xlpm.result, _xlfn.XLOOKUP($B376, Result_Database!$A$2:$A$500, Result_Database!G$2:G$500),
  _xlfn.IFNA(_xlpm.result, "")
)</f>
        <v/>
      </c>
      <c r="I376" t="str">
        <f>_xlfn.LET(
  _xlpm.result, _xlfn.XLOOKUP($B376, Result_Database!$A$2:$A$500, Result_Database!H$2:H$500),
  _xlfn.IFNA(_xlpm.result, "")
)</f>
        <v/>
      </c>
      <c r="J376" t="str">
        <f>_xlfn.LET(
  _xlpm.result, _xlfn.XLOOKUP($B376, Result_Database!$A$2:$A$500, Result_Database!I$2:I$500),
  _xlfn.IFNA(_xlpm.result, "")
)</f>
        <v/>
      </c>
      <c r="K376" t="str">
        <f>_xlfn.LET(
  _xlpm.result, _xlfn.XLOOKUP($B376, Result_Database!$A$2:$A$500, Result_Database!J$2:J$500),
  _xlfn.IFNA(_xlpm.result, "")
)</f>
        <v/>
      </c>
      <c r="L376" t="str">
        <f>_xlfn.LET(
  _xlpm.result, _xlfn.XLOOKUP($B376, Result_Database!$A$2:$A$500, Result_Database!K$2:K$500),
  _xlfn.IFNA(_xlpm.result, "")
)</f>
        <v/>
      </c>
      <c r="M376" t="str">
        <f>_xlfn.LET(
  _xlpm.result, _xlfn.XLOOKUP($B376, Result_Database!$A$2:$A$500, Result_Database!L$2:L$500),
  _xlfn.IFNA(_xlpm.result, "")
)</f>
        <v/>
      </c>
      <c r="N376" t="str">
        <f>_xlfn.LET(
  _xlpm.result, _xlfn.XLOOKUP($B376, Result_Database!$A$2:$A$500, Result_Database!M$2:M$500),
  _xlfn.IFNA(_xlpm.result, "")
)</f>
        <v/>
      </c>
      <c r="O376" t="str">
        <f>_xlfn.LET(
  _xlpm.result, _xlfn.XLOOKUP($B376, Result_Database!$A$2:$A$500, Result_Database!N$2:N$500),
  _xlfn.IFNA(_xlpm.result, "")
)</f>
        <v/>
      </c>
      <c r="P376" t="str">
        <f>_xlfn.LET(
  _xlpm.result, _xlfn.XLOOKUP($B376, Result_Database!$A$2:$A$500, Result_Database!O$2:O$500),
  _xlfn.IFNA(_xlpm.result, "")
)</f>
        <v/>
      </c>
      <c r="Q376" t="str">
        <f>_xlfn.LET(
  _xlpm.result, _xlfn.XLOOKUP($B376, Result_Database!$A$2:$A$500, Result_Database!P$2:P$500),
  _xlfn.IFNA(_xlpm.result, "")
)</f>
        <v/>
      </c>
      <c r="R376" t="str">
        <f>_xlfn.LET(
  _xlpm.result, _xlfn.XLOOKUP($B376, Result_Database!$A$2:$A$500, Result_Database!Q$2:Q$500),
  _xlfn.IFNA(_xlpm.result, "")
)</f>
        <v/>
      </c>
      <c r="S376" t="str">
        <f>_xlfn.LET(
  _xlpm.result, _xlfn.XLOOKUP($B376, Result_Database!$A$2:$A$500, Result_Database!R$2:R$500),
  _xlfn.IFNA(_xlpm.result, "")
)</f>
        <v/>
      </c>
      <c r="T376" t="str">
        <f>_xlfn.LET(
  _xlpm.result, _xlfn.XLOOKUP($B376, Result_Database!$A$2:$A$500, Result_Database!S$2:S$500),
  _xlfn.IFNA(_xlpm.result, "")
)</f>
        <v/>
      </c>
      <c r="U376" t="str">
        <f>_xlfn.LET(
  _xlpm.result, _xlfn.XLOOKUP($B376, Result_Database!$A$2:$A$500, Result_Database!T$2:T$500),
  _xlfn.IFNA(_xlpm.result, "")
)</f>
        <v/>
      </c>
      <c r="V376" t="str">
        <f>_xlfn.LET(
  _xlpm.result, _xlfn.XLOOKUP($B376, Result_Database!$A$2:$A$500, Result_Database!U$2:U$500),
  _xlfn.IFNA(_xlpm.result, "")
)</f>
        <v/>
      </c>
      <c r="W376" t="str">
        <f>_xlfn.LET(
  _xlpm.result, _xlfn.XLOOKUP($B376, Result_Database!$A$2:$A$500, Result_Database!V$2:V$500),
  _xlfn.IFNA(_xlpm.result, "")
)</f>
        <v/>
      </c>
      <c r="X376" t="str">
        <f>_xlfn.LET(
  _xlpm.result, _xlfn.XLOOKUP($B376, Result_Database!$A$2:$A$500, Result_Database!W$2:W$500),
  _xlfn.IFNA(_xlpm.result, "")
)</f>
        <v/>
      </c>
      <c r="Y376" t="str">
        <f>_xlfn.LET(
  _xlpm.result, _xlfn.XLOOKUP($B376, Result_Database!$A$2:$A$500, Result_Database!X$2:X$500),
  _xlfn.IFNA(_xlpm.result, "")
)</f>
        <v/>
      </c>
      <c r="Z376" t="str">
        <f>_xlfn.LET(
  _xlpm.result, _xlfn.XLOOKUP($B376, Result_Database!$A$2:$A$500, Result_Database!Y$2:Y$500),
  _xlfn.IFNA(_xlpm.result, "")
)</f>
        <v/>
      </c>
      <c r="AA376" t="str">
        <f>_xlfn.LET(
  _xlpm.result, _xlfn.XLOOKUP($B376, Result_Database!$A$2:$A$500, Result_Database!Z$2:Z$500),
  _xlfn.IFNA(_xlpm.result, "")
)</f>
        <v/>
      </c>
      <c r="AB376" t="str">
        <f>_xlfn.LET(
  _xlpm.result, _xlfn.XLOOKUP($B376, Result_Database!$A$2:$A$500, Result_Database!AA$2:AA$500),
  _xlfn.IFNA(_xlpm.result, "")
)</f>
        <v/>
      </c>
      <c r="AC376" t="str">
        <f>_xlfn.LET(
  _xlpm.result, _xlfn.XLOOKUP($B376, Result_Database!$A$2:$A$500, Result_Database!AB$2:AB$500),
  _xlfn.IFNA(_xlpm.result, "")
)</f>
        <v/>
      </c>
      <c r="AD376" t="str">
        <f>_xlfn.LET(
  _xlpm.result, _xlfn.XLOOKUP($B376, Result_Database!$A$2:$A$500, Result_Database!AC$2:AC$500),
  _xlfn.IFNA(_xlpm.result, "")
)</f>
        <v/>
      </c>
      <c r="AE376" t="str">
        <f>_xlfn.LET(
  _xlpm.result, _xlfn.XLOOKUP($B376, Result_Database!$A$2:$A$500, Result_Database!AD$2:AD$500),
  _xlfn.IFNA(_xlpm.result, "")
)</f>
        <v/>
      </c>
      <c r="AF376" t="str">
        <f>_xlfn.LET(
  _xlpm.result, _xlfn.XLOOKUP($B376, Result_Database!$A$2:$A$500, Result_Database!AE$2:AE$500),
  _xlfn.IFNA(_xlpm.result, "")
)</f>
        <v/>
      </c>
      <c r="AG376" t="str">
        <f>_xlfn.LET(
  _xlpm.result, _xlfn.XLOOKUP($B376, Result_Database!$A$2:$A$500, Result_Database!AF$2:AF$500),
  _xlfn.IFNA(_xlpm.result, "")
)</f>
        <v/>
      </c>
      <c r="AH376" t="str">
        <f>_xlfn.LET(
  _xlpm.result, _xlfn.XLOOKUP($B376, Result_Database!$A$2:$A$500, Result_Database!AG$2:AG$500),
  _xlfn.IFNA(_xlpm.result, "")
)</f>
        <v/>
      </c>
      <c r="AI376" t="str">
        <f>_xlfn.LET(
  _xlpm.result, _xlfn.XLOOKUP($B376, Result_Database!$A$2:$A$500, Result_Database!AH$2:AH$500),
  _xlfn.IFNA(_xlpm.result, "")
)</f>
        <v/>
      </c>
      <c r="AJ376" t="str">
        <f>_xlfn.LET(
  _xlpm.result, _xlfn.XLOOKUP($B376, Result_Database!$A$2:$A$500, Result_Database!AI$2:AI$500),
  _xlfn.IFNA(_xlpm.result, "")
)</f>
        <v/>
      </c>
      <c r="AK376" t="str">
        <f>_xlfn.LET(
  _xlpm.result, _xlfn.XLOOKUP($B376, Result_Database!$A$2:$A$500, Result_Database!AJ$2:AJ$500),
  _xlfn.IFNA(_xlpm.result, "")
)</f>
        <v/>
      </c>
      <c r="AL376" t="str">
        <f>_xlfn.LET(
  _xlpm.result, _xlfn.XLOOKUP($B376, Result_Database!$A$2:$A$500, Result_Database!AK$2:AK$500),
  _xlfn.IFNA(_xlpm.result, "")
)</f>
        <v/>
      </c>
      <c r="AM37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7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7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7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7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7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7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7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7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76" t="str">
        <f>IF(SUM(Table5[[#This Row],[A1]:[C6]])&lt;&gt;0,SUM(Table5[[#This Row],[A1]:[C6]]),"")</f>
        <v/>
      </c>
      <c r="AW376" t="str">
        <f>IF(SUM(Table5[[#This Row],[D7]:[F9]])=0,"",SUM(Table5[[#This Row],[D7]:[F9]]))</f>
        <v/>
      </c>
      <c r="AX37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7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7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7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7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7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76" t="str">
        <f>IF(COUNTIF(Table5[[#This Row],[English Language]:[Electrical/ Electronics]],"WITHHELD")=0,"",COUNTIF(Table5[[#This Row],[English Language]:[Electrical/ Electronics]],"WITHHELD"))</f>
        <v/>
      </c>
      <c r="BE376" t="str">
        <f>IF(SUM(Table5[[#This Row],[NO OF CREDITS]:[BELOW CREDITS]])=0,"",SUM(Table5[[#This Row],[NO OF CREDITS]:[BELOW CREDITS]]))</f>
        <v/>
      </c>
    </row>
    <row r="377" spans="1:57" x14ac:dyDescent="0.3">
      <c r="A377" t="str">
        <f>IF(B377&lt;&gt;"",COUNTA($B$6:B377),"")</f>
        <v/>
      </c>
      <c r="B377" t="str">
        <f>IF(Result_Database!A373="","",Result_Database!A373)</f>
        <v/>
      </c>
      <c r="C377" t="str">
        <f>_xlfn.LET(
_xlpm.result,_xlfn.XLOOKUP($B377,Result_Database!$A$2:$A$500,Result_Database!$B$2:$B$500),
_xlfn.IFNA(_xlpm.result,"")
)</f>
        <v/>
      </c>
      <c r="D377" t="str">
        <f>_xlfn.LET(
  _xlpm.result, _xlfn.XLOOKUP($B377, Result_Database!$A$2:$A$500, Result_Database!C$2:C$500),
  _xlfn.IFNA(_xlpm.result, "")
)</f>
        <v/>
      </c>
      <c r="E377" t="str">
        <f>_xlfn.LET(
  _xlpm.result, _xlfn.XLOOKUP($B377, Result_Database!$A$2:$A$500, Result_Database!D$2:D$500),
  _xlfn.IFNA(_xlpm.result, "")
)</f>
        <v/>
      </c>
      <c r="F377" t="str">
        <f>_xlfn.LET(
  _xlpm.result, _xlfn.XLOOKUP($B377, Result_Database!$A$2:$A$500, Result_Database!E$2:E$500),
  _xlfn.IFNA(_xlpm.result, "")
)</f>
        <v/>
      </c>
      <c r="G377" t="str">
        <f>_xlfn.LET(
  _xlpm.result, _xlfn.XLOOKUP($B377, Result_Database!$A$2:$A$500, Result_Database!F$2:F$500),
  _xlfn.IFNA(_xlpm.result, "")
)</f>
        <v/>
      </c>
      <c r="H377" t="str">
        <f>_xlfn.LET(
  _xlpm.result, _xlfn.XLOOKUP($B377, Result_Database!$A$2:$A$500, Result_Database!G$2:G$500),
  _xlfn.IFNA(_xlpm.result, "")
)</f>
        <v/>
      </c>
      <c r="I377" t="str">
        <f>_xlfn.LET(
  _xlpm.result, _xlfn.XLOOKUP($B377, Result_Database!$A$2:$A$500, Result_Database!H$2:H$500),
  _xlfn.IFNA(_xlpm.result, "")
)</f>
        <v/>
      </c>
      <c r="J377" t="str">
        <f>_xlfn.LET(
  _xlpm.result, _xlfn.XLOOKUP($B377, Result_Database!$A$2:$A$500, Result_Database!I$2:I$500),
  _xlfn.IFNA(_xlpm.result, "")
)</f>
        <v/>
      </c>
      <c r="K377" t="str">
        <f>_xlfn.LET(
  _xlpm.result, _xlfn.XLOOKUP($B377, Result_Database!$A$2:$A$500, Result_Database!J$2:J$500),
  _xlfn.IFNA(_xlpm.result, "")
)</f>
        <v/>
      </c>
      <c r="L377" t="str">
        <f>_xlfn.LET(
  _xlpm.result, _xlfn.XLOOKUP($B377, Result_Database!$A$2:$A$500, Result_Database!K$2:K$500),
  _xlfn.IFNA(_xlpm.result, "")
)</f>
        <v/>
      </c>
      <c r="M377" t="str">
        <f>_xlfn.LET(
  _xlpm.result, _xlfn.XLOOKUP($B377, Result_Database!$A$2:$A$500, Result_Database!L$2:L$500),
  _xlfn.IFNA(_xlpm.result, "")
)</f>
        <v/>
      </c>
      <c r="N377" t="str">
        <f>_xlfn.LET(
  _xlpm.result, _xlfn.XLOOKUP($B377, Result_Database!$A$2:$A$500, Result_Database!M$2:M$500),
  _xlfn.IFNA(_xlpm.result, "")
)</f>
        <v/>
      </c>
      <c r="O377" t="str">
        <f>_xlfn.LET(
  _xlpm.result, _xlfn.XLOOKUP($B377, Result_Database!$A$2:$A$500, Result_Database!N$2:N$500),
  _xlfn.IFNA(_xlpm.result, "")
)</f>
        <v/>
      </c>
      <c r="P377" t="str">
        <f>_xlfn.LET(
  _xlpm.result, _xlfn.XLOOKUP($B377, Result_Database!$A$2:$A$500, Result_Database!O$2:O$500),
  _xlfn.IFNA(_xlpm.result, "")
)</f>
        <v/>
      </c>
      <c r="Q377" t="str">
        <f>_xlfn.LET(
  _xlpm.result, _xlfn.XLOOKUP($B377, Result_Database!$A$2:$A$500, Result_Database!P$2:P$500),
  _xlfn.IFNA(_xlpm.result, "")
)</f>
        <v/>
      </c>
      <c r="R377" t="str">
        <f>_xlfn.LET(
  _xlpm.result, _xlfn.XLOOKUP($B377, Result_Database!$A$2:$A$500, Result_Database!Q$2:Q$500),
  _xlfn.IFNA(_xlpm.result, "")
)</f>
        <v/>
      </c>
      <c r="S377" t="str">
        <f>_xlfn.LET(
  _xlpm.result, _xlfn.XLOOKUP($B377, Result_Database!$A$2:$A$500, Result_Database!R$2:R$500),
  _xlfn.IFNA(_xlpm.result, "")
)</f>
        <v/>
      </c>
      <c r="T377" t="str">
        <f>_xlfn.LET(
  _xlpm.result, _xlfn.XLOOKUP($B377, Result_Database!$A$2:$A$500, Result_Database!S$2:S$500),
  _xlfn.IFNA(_xlpm.result, "")
)</f>
        <v/>
      </c>
      <c r="U377" t="str">
        <f>_xlfn.LET(
  _xlpm.result, _xlfn.XLOOKUP($B377, Result_Database!$A$2:$A$500, Result_Database!T$2:T$500),
  _xlfn.IFNA(_xlpm.result, "")
)</f>
        <v/>
      </c>
      <c r="V377" t="str">
        <f>_xlfn.LET(
  _xlpm.result, _xlfn.XLOOKUP($B377, Result_Database!$A$2:$A$500, Result_Database!U$2:U$500),
  _xlfn.IFNA(_xlpm.result, "")
)</f>
        <v/>
      </c>
      <c r="W377" t="str">
        <f>_xlfn.LET(
  _xlpm.result, _xlfn.XLOOKUP($B377, Result_Database!$A$2:$A$500, Result_Database!V$2:V$500),
  _xlfn.IFNA(_xlpm.result, "")
)</f>
        <v/>
      </c>
      <c r="X377" t="str">
        <f>_xlfn.LET(
  _xlpm.result, _xlfn.XLOOKUP($B377, Result_Database!$A$2:$A$500, Result_Database!W$2:W$500),
  _xlfn.IFNA(_xlpm.result, "")
)</f>
        <v/>
      </c>
      <c r="Y377" t="str">
        <f>_xlfn.LET(
  _xlpm.result, _xlfn.XLOOKUP($B377, Result_Database!$A$2:$A$500, Result_Database!X$2:X$500),
  _xlfn.IFNA(_xlpm.result, "")
)</f>
        <v/>
      </c>
      <c r="Z377" t="str">
        <f>_xlfn.LET(
  _xlpm.result, _xlfn.XLOOKUP($B377, Result_Database!$A$2:$A$500, Result_Database!Y$2:Y$500),
  _xlfn.IFNA(_xlpm.result, "")
)</f>
        <v/>
      </c>
      <c r="AA377" t="str">
        <f>_xlfn.LET(
  _xlpm.result, _xlfn.XLOOKUP($B377, Result_Database!$A$2:$A$500, Result_Database!Z$2:Z$500),
  _xlfn.IFNA(_xlpm.result, "")
)</f>
        <v/>
      </c>
      <c r="AB377" t="str">
        <f>_xlfn.LET(
  _xlpm.result, _xlfn.XLOOKUP($B377, Result_Database!$A$2:$A$500, Result_Database!AA$2:AA$500),
  _xlfn.IFNA(_xlpm.result, "")
)</f>
        <v/>
      </c>
      <c r="AC377" t="str">
        <f>_xlfn.LET(
  _xlpm.result, _xlfn.XLOOKUP($B377, Result_Database!$A$2:$A$500, Result_Database!AB$2:AB$500),
  _xlfn.IFNA(_xlpm.result, "")
)</f>
        <v/>
      </c>
      <c r="AD377" t="str">
        <f>_xlfn.LET(
  _xlpm.result, _xlfn.XLOOKUP($B377, Result_Database!$A$2:$A$500, Result_Database!AC$2:AC$500),
  _xlfn.IFNA(_xlpm.result, "")
)</f>
        <v/>
      </c>
      <c r="AE377" t="str">
        <f>_xlfn.LET(
  _xlpm.result, _xlfn.XLOOKUP($B377, Result_Database!$A$2:$A$500, Result_Database!AD$2:AD$500),
  _xlfn.IFNA(_xlpm.result, "")
)</f>
        <v/>
      </c>
      <c r="AF377" t="str">
        <f>_xlfn.LET(
  _xlpm.result, _xlfn.XLOOKUP($B377, Result_Database!$A$2:$A$500, Result_Database!AE$2:AE$500),
  _xlfn.IFNA(_xlpm.result, "")
)</f>
        <v/>
      </c>
      <c r="AG377" t="str">
        <f>_xlfn.LET(
  _xlpm.result, _xlfn.XLOOKUP($B377, Result_Database!$A$2:$A$500, Result_Database!AF$2:AF$500),
  _xlfn.IFNA(_xlpm.result, "")
)</f>
        <v/>
      </c>
      <c r="AH377" t="str">
        <f>_xlfn.LET(
  _xlpm.result, _xlfn.XLOOKUP($B377, Result_Database!$A$2:$A$500, Result_Database!AG$2:AG$500),
  _xlfn.IFNA(_xlpm.result, "")
)</f>
        <v/>
      </c>
      <c r="AI377" t="str">
        <f>_xlfn.LET(
  _xlpm.result, _xlfn.XLOOKUP($B377, Result_Database!$A$2:$A$500, Result_Database!AH$2:AH$500),
  _xlfn.IFNA(_xlpm.result, "")
)</f>
        <v/>
      </c>
      <c r="AJ377" t="str">
        <f>_xlfn.LET(
  _xlpm.result, _xlfn.XLOOKUP($B377, Result_Database!$A$2:$A$500, Result_Database!AI$2:AI$500),
  _xlfn.IFNA(_xlpm.result, "")
)</f>
        <v/>
      </c>
      <c r="AK377" t="str">
        <f>_xlfn.LET(
  _xlpm.result, _xlfn.XLOOKUP($B377, Result_Database!$A$2:$A$500, Result_Database!AJ$2:AJ$500),
  _xlfn.IFNA(_xlpm.result, "")
)</f>
        <v/>
      </c>
      <c r="AL377" t="str">
        <f>_xlfn.LET(
  _xlpm.result, _xlfn.XLOOKUP($B377, Result_Database!$A$2:$A$500, Result_Database!AK$2:AK$500),
  _xlfn.IFNA(_xlpm.result, "")
)</f>
        <v/>
      </c>
      <c r="AM37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7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7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7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7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7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7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7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7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77" t="str">
        <f>IF(SUM(Table5[[#This Row],[A1]:[C6]])&lt;&gt;0,SUM(Table5[[#This Row],[A1]:[C6]]),"")</f>
        <v/>
      </c>
      <c r="AW377" t="str">
        <f>IF(SUM(Table5[[#This Row],[D7]:[F9]])=0,"",SUM(Table5[[#This Row],[D7]:[F9]]))</f>
        <v/>
      </c>
      <c r="AX37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7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7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7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7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7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77" t="str">
        <f>IF(COUNTIF(Table5[[#This Row],[English Language]:[Electrical/ Electronics]],"WITHHELD")=0,"",COUNTIF(Table5[[#This Row],[English Language]:[Electrical/ Electronics]],"WITHHELD"))</f>
        <v/>
      </c>
      <c r="BE377" t="str">
        <f>IF(SUM(Table5[[#This Row],[NO OF CREDITS]:[BELOW CREDITS]])=0,"",SUM(Table5[[#This Row],[NO OF CREDITS]:[BELOW CREDITS]]))</f>
        <v/>
      </c>
    </row>
    <row r="378" spans="1:57" x14ac:dyDescent="0.3">
      <c r="A378" t="str">
        <f>IF(B378&lt;&gt;"",COUNTA($B$6:B378),"")</f>
        <v/>
      </c>
      <c r="B378" t="str">
        <f>IF(Result_Database!A374="","",Result_Database!A374)</f>
        <v/>
      </c>
      <c r="C378" t="str">
        <f>_xlfn.LET(
_xlpm.result,_xlfn.XLOOKUP($B378,Result_Database!$A$2:$A$500,Result_Database!$B$2:$B$500),
_xlfn.IFNA(_xlpm.result,"")
)</f>
        <v/>
      </c>
      <c r="D378" t="str">
        <f>_xlfn.LET(
  _xlpm.result, _xlfn.XLOOKUP($B378, Result_Database!$A$2:$A$500, Result_Database!C$2:C$500),
  _xlfn.IFNA(_xlpm.result, "")
)</f>
        <v/>
      </c>
      <c r="E378" t="str">
        <f>_xlfn.LET(
  _xlpm.result, _xlfn.XLOOKUP($B378, Result_Database!$A$2:$A$500, Result_Database!D$2:D$500),
  _xlfn.IFNA(_xlpm.result, "")
)</f>
        <v/>
      </c>
      <c r="F378" t="str">
        <f>_xlfn.LET(
  _xlpm.result, _xlfn.XLOOKUP($B378, Result_Database!$A$2:$A$500, Result_Database!E$2:E$500),
  _xlfn.IFNA(_xlpm.result, "")
)</f>
        <v/>
      </c>
      <c r="G378" t="str">
        <f>_xlfn.LET(
  _xlpm.result, _xlfn.XLOOKUP($B378, Result_Database!$A$2:$A$500, Result_Database!F$2:F$500),
  _xlfn.IFNA(_xlpm.result, "")
)</f>
        <v/>
      </c>
      <c r="H378" t="str">
        <f>_xlfn.LET(
  _xlpm.result, _xlfn.XLOOKUP($B378, Result_Database!$A$2:$A$500, Result_Database!G$2:G$500),
  _xlfn.IFNA(_xlpm.result, "")
)</f>
        <v/>
      </c>
      <c r="I378" t="str">
        <f>_xlfn.LET(
  _xlpm.result, _xlfn.XLOOKUP($B378, Result_Database!$A$2:$A$500, Result_Database!H$2:H$500),
  _xlfn.IFNA(_xlpm.result, "")
)</f>
        <v/>
      </c>
      <c r="J378" t="str">
        <f>_xlfn.LET(
  _xlpm.result, _xlfn.XLOOKUP($B378, Result_Database!$A$2:$A$500, Result_Database!I$2:I$500),
  _xlfn.IFNA(_xlpm.result, "")
)</f>
        <v/>
      </c>
      <c r="K378" t="str">
        <f>_xlfn.LET(
  _xlpm.result, _xlfn.XLOOKUP($B378, Result_Database!$A$2:$A$500, Result_Database!J$2:J$500),
  _xlfn.IFNA(_xlpm.result, "")
)</f>
        <v/>
      </c>
      <c r="L378" t="str">
        <f>_xlfn.LET(
  _xlpm.result, _xlfn.XLOOKUP($B378, Result_Database!$A$2:$A$500, Result_Database!K$2:K$500),
  _xlfn.IFNA(_xlpm.result, "")
)</f>
        <v/>
      </c>
      <c r="M378" t="str">
        <f>_xlfn.LET(
  _xlpm.result, _xlfn.XLOOKUP($B378, Result_Database!$A$2:$A$500, Result_Database!L$2:L$500),
  _xlfn.IFNA(_xlpm.result, "")
)</f>
        <v/>
      </c>
      <c r="N378" t="str">
        <f>_xlfn.LET(
  _xlpm.result, _xlfn.XLOOKUP($B378, Result_Database!$A$2:$A$500, Result_Database!M$2:M$500),
  _xlfn.IFNA(_xlpm.result, "")
)</f>
        <v/>
      </c>
      <c r="O378" t="str">
        <f>_xlfn.LET(
  _xlpm.result, _xlfn.XLOOKUP($B378, Result_Database!$A$2:$A$500, Result_Database!N$2:N$500),
  _xlfn.IFNA(_xlpm.result, "")
)</f>
        <v/>
      </c>
      <c r="P378" t="str">
        <f>_xlfn.LET(
  _xlpm.result, _xlfn.XLOOKUP($B378, Result_Database!$A$2:$A$500, Result_Database!O$2:O$500),
  _xlfn.IFNA(_xlpm.result, "")
)</f>
        <v/>
      </c>
      <c r="Q378" t="str">
        <f>_xlfn.LET(
  _xlpm.result, _xlfn.XLOOKUP($B378, Result_Database!$A$2:$A$500, Result_Database!P$2:P$500),
  _xlfn.IFNA(_xlpm.result, "")
)</f>
        <v/>
      </c>
      <c r="R378" t="str">
        <f>_xlfn.LET(
  _xlpm.result, _xlfn.XLOOKUP($B378, Result_Database!$A$2:$A$500, Result_Database!Q$2:Q$500),
  _xlfn.IFNA(_xlpm.result, "")
)</f>
        <v/>
      </c>
      <c r="S378" t="str">
        <f>_xlfn.LET(
  _xlpm.result, _xlfn.XLOOKUP($B378, Result_Database!$A$2:$A$500, Result_Database!R$2:R$500),
  _xlfn.IFNA(_xlpm.result, "")
)</f>
        <v/>
      </c>
      <c r="T378" t="str">
        <f>_xlfn.LET(
  _xlpm.result, _xlfn.XLOOKUP($B378, Result_Database!$A$2:$A$500, Result_Database!S$2:S$500),
  _xlfn.IFNA(_xlpm.result, "")
)</f>
        <v/>
      </c>
      <c r="U378" t="str">
        <f>_xlfn.LET(
  _xlpm.result, _xlfn.XLOOKUP($B378, Result_Database!$A$2:$A$500, Result_Database!T$2:T$500),
  _xlfn.IFNA(_xlpm.result, "")
)</f>
        <v/>
      </c>
      <c r="V378" t="str">
        <f>_xlfn.LET(
  _xlpm.result, _xlfn.XLOOKUP($B378, Result_Database!$A$2:$A$500, Result_Database!U$2:U$500),
  _xlfn.IFNA(_xlpm.result, "")
)</f>
        <v/>
      </c>
      <c r="W378" t="str">
        <f>_xlfn.LET(
  _xlpm.result, _xlfn.XLOOKUP($B378, Result_Database!$A$2:$A$500, Result_Database!V$2:V$500),
  _xlfn.IFNA(_xlpm.result, "")
)</f>
        <v/>
      </c>
      <c r="X378" t="str">
        <f>_xlfn.LET(
  _xlpm.result, _xlfn.XLOOKUP($B378, Result_Database!$A$2:$A$500, Result_Database!W$2:W$500),
  _xlfn.IFNA(_xlpm.result, "")
)</f>
        <v/>
      </c>
      <c r="Y378" t="str">
        <f>_xlfn.LET(
  _xlpm.result, _xlfn.XLOOKUP($B378, Result_Database!$A$2:$A$500, Result_Database!X$2:X$500),
  _xlfn.IFNA(_xlpm.result, "")
)</f>
        <v/>
      </c>
      <c r="Z378" t="str">
        <f>_xlfn.LET(
  _xlpm.result, _xlfn.XLOOKUP($B378, Result_Database!$A$2:$A$500, Result_Database!Y$2:Y$500),
  _xlfn.IFNA(_xlpm.result, "")
)</f>
        <v/>
      </c>
      <c r="AA378" t="str">
        <f>_xlfn.LET(
  _xlpm.result, _xlfn.XLOOKUP($B378, Result_Database!$A$2:$A$500, Result_Database!Z$2:Z$500),
  _xlfn.IFNA(_xlpm.result, "")
)</f>
        <v/>
      </c>
      <c r="AB378" t="str">
        <f>_xlfn.LET(
  _xlpm.result, _xlfn.XLOOKUP($B378, Result_Database!$A$2:$A$500, Result_Database!AA$2:AA$500),
  _xlfn.IFNA(_xlpm.result, "")
)</f>
        <v/>
      </c>
      <c r="AC378" t="str">
        <f>_xlfn.LET(
  _xlpm.result, _xlfn.XLOOKUP($B378, Result_Database!$A$2:$A$500, Result_Database!AB$2:AB$500),
  _xlfn.IFNA(_xlpm.result, "")
)</f>
        <v/>
      </c>
      <c r="AD378" t="str">
        <f>_xlfn.LET(
  _xlpm.result, _xlfn.XLOOKUP($B378, Result_Database!$A$2:$A$500, Result_Database!AC$2:AC$500),
  _xlfn.IFNA(_xlpm.result, "")
)</f>
        <v/>
      </c>
      <c r="AE378" t="str">
        <f>_xlfn.LET(
  _xlpm.result, _xlfn.XLOOKUP($B378, Result_Database!$A$2:$A$500, Result_Database!AD$2:AD$500),
  _xlfn.IFNA(_xlpm.result, "")
)</f>
        <v/>
      </c>
      <c r="AF378" t="str">
        <f>_xlfn.LET(
  _xlpm.result, _xlfn.XLOOKUP($B378, Result_Database!$A$2:$A$500, Result_Database!AE$2:AE$500),
  _xlfn.IFNA(_xlpm.result, "")
)</f>
        <v/>
      </c>
      <c r="AG378" t="str">
        <f>_xlfn.LET(
  _xlpm.result, _xlfn.XLOOKUP($B378, Result_Database!$A$2:$A$500, Result_Database!AF$2:AF$500),
  _xlfn.IFNA(_xlpm.result, "")
)</f>
        <v/>
      </c>
      <c r="AH378" t="str">
        <f>_xlfn.LET(
  _xlpm.result, _xlfn.XLOOKUP($B378, Result_Database!$A$2:$A$500, Result_Database!AG$2:AG$500),
  _xlfn.IFNA(_xlpm.result, "")
)</f>
        <v/>
      </c>
      <c r="AI378" t="str">
        <f>_xlfn.LET(
  _xlpm.result, _xlfn.XLOOKUP($B378, Result_Database!$A$2:$A$500, Result_Database!AH$2:AH$500),
  _xlfn.IFNA(_xlpm.result, "")
)</f>
        <v/>
      </c>
      <c r="AJ378" t="str">
        <f>_xlfn.LET(
  _xlpm.result, _xlfn.XLOOKUP($B378, Result_Database!$A$2:$A$500, Result_Database!AI$2:AI$500),
  _xlfn.IFNA(_xlpm.result, "")
)</f>
        <v/>
      </c>
      <c r="AK378" t="str">
        <f>_xlfn.LET(
  _xlpm.result, _xlfn.XLOOKUP($B378, Result_Database!$A$2:$A$500, Result_Database!AJ$2:AJ$500),
  _xlfn.IFNA(_xlpm.result, "")
)</f>
        <v/>
      </c>
      <c r="AL378" t="str">
        <f>_xlfn.LET(
  _xlpm.result, _xlfn.XLOOKUP($B378, Result_Database!$A$2:$A$500, Result_Database!AK$2:AK$500),
  _xlfn.IFNA(_xlpm.result, "")
)</f>
        <v/>
      </c>
      <c r="AM37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7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7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7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7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7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7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7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7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78" t="str">
        <f>IF(SUM(Table5[[#This Row],[A1]:[C6]])&lt;&gt;0,SUM(Table5[[#This Row],[A1]:[C6]]),"")</f>
        <v/>
      </c>
      <c r="AW378" t="str">
        <f>IF(SUM(Table5[[#This Row],[D7]:[F9]])=0,"",SUM(Table5[[#This Row],[D7]:[F9]]))</f>
        <v/>
      </c>
      <c r="AX37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7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7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7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7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7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78" t="str">
        <f>IF(COUNTIF(Table5[[#This Row],[English Language]:[Electrical/ Electronics]],"WITHHELD")=0,"",COUNTIF(Table5[[#This Row],[English Language]:[Electrical/ Electronics]],"WITHHELD"))</f>
        <v/>
      </c>
      <c r="BE378" t="str">
        <f>IF(SUM(Table5[[#This Row],[NO OF CREDITS]:[BELOW CREDITS]])=0,"",SUM(Table5[[#This Row],[NO OF CREDITS]:[BELOW CREDITS]]))</f>
        <v/>
      </c>
    </row>
    <row r="379" spans="1:57" x14ac:dyDescent="0.3">
      <c r="A379" t="str">
        <f>IF(B379&lt;&gt;"",COUNTA($B$6:B379),"")</f>
        <v/>
      </c>
      <c r="B379" t="str">
        <f>IF(Result_Database!A375="","",Result_Database!A375)</f>
        <v/>
      </c>
      <c r="C379" t="str">
        <f>_xlfn.LET(
_xlpm.result,_xlfn.XLOOKUP($B379,Result_Database!$A$2:$A$500,Result_Database!$B$2:$B$500),
_xlfn.IFNA(_xlpm.result,"")
)</f>
        <v/>
      </c>
      <c r="D379" t="str">
        <f>_xlfn.LET(
  _xlpm.result, _xlfn.XLOOKUP($B379, Result_Database!$A$2:$A$500, Result_Database!C$2:C$500),
  _xlfn.IFNA(_xlpm.result, "")
)</f>
        <v/>
      </c>
      <c r="E379" t="str">
        <f>_xlfn.LET(
  _xlpm.result, _xlfn.XLOOKUP($B379, Result_Database!$A$2:$A$500, Result_Database!D$2:D$500),
  _xlfn.IFNA(_xlpm.result, "")
)</f>
        <v/>
      </c>
      <c r="F379" t="str">
        <f>_xlfn.LET(
  _xlpm.result, _xlfn.XLOOKUP($B379, Result_Database!$A$2:$A$500, Result_Database!E$2:E$500),
  _xlfn.IFNA(_xlpm.result, "")
)</f>
        <v/>
      </c>
      <c r="G379" t="str">
        <f>_xlfn.LET(
  _xlpm.result, _xlfn.XLOOKUP($B379, Result_Database!$A$2:$A$500, Result_Database!F$2:F$500),
  _xlfn.IFNA(_xlpm.result, "")
)</f>
        <v/>
      </c>
      <c r="H379" t="str">
        <f>_xlfn.LET(
  _xlpm.result, _xlfn.XLOOKUP($B379, Result_Database!$A$2:$A$500, Result_Database!G$2:G$500),
  _xlfn.IFNA(_xlpm.result, "")
)</f>
        <v/>
      </c>
      <c r="I379" t="str">
        <f>_xlfn.LET(
  _xlpm.result, _xlfn.XLOOKUP($B379, Result_Database!$A$2:$A$500, Result_Database!H$2:H$500),
  _xlfn.IFNA(_xlpm.result, "")
)</f>
        <v/>
      </c>
      <c r="J379" t="str">
        <f>_xlfn.LET(
  _xlpm.result, _xlfn.XLOOKUP($B379, Result_Database!$A$2:$A$500, Result_Database!I$2:I$500),
  _xlfn.IFNA(_xlpm.result, "")
)</f>
        <v/>
      </c>
      <c r="K379" t="str">
        <f>_xlfn.LET(
  _xlpm.result, _xlfn.XLOOKUP($B379, Result_Database!$A$2:$A$500, Result_Database!J$2:J$500),
  _xlfn.IFNA(_xlpm.result, "")
)</f>
        <v/>
      </c>
      <c r="L379" t="str">
        <f>_xlfn.LET(
  _xlpm.result, _xlfn.XLOOKUP($B379, Result_Database!$A$2:$A$500, Result_Database!K$2:K$500),
  _xlfn.IFNA(_xlpm.result, "")
)</f>
        <v/>
      </c>
      <c r="M379" t="str">
        <f>_xlfn.LET(
  _xlpm.result, _xlfn.XLOOKUP($B379, Result_Database!$A$2:$A$500, Result_Database!L$2:L$500),
  _xlfn.IFNA(_xlpm.result, "")
)</f>
        <v/>
      </c>
      <c r="N379" t="str">
        <f>_xlfn.LET(
  _xlpm.result, _xlfn.XLOOKUP($B379, Result_Database!$A$2:$A$500, Result_Database!M$2:M$500),
  _xlfn.IFNA(_xlpm.result, "")
)</f>
        <v/>
      </c>
      <c r="O379" t="str">
        <f>_xlfn.LET(
  _xlpm.result, _xlfn.XLOOKUP($B379, Result_Database!$A$2:$A$500, Result_Database!N$2:N$500),
  _xlfn.IFNA(_xlpm.result, "")
)</f>
        <v/>
      </c>
      <c r="P379" t="str">
        <f>_xlfn.LET(
  _xlpm.result, _xlfn.XLOOKUP($B379, Result_Database!$A$2:$A$500, Result_Database!O$2:O$500),
  _xlfn.IFNA(_xlpm.result, "")
)</f>
        <v/>
      </c>
      <c r="Q379" t="str">
        <f>_xlfn.LET(
  _xlpm.result, _xlfn.XLOOKUP($B379, Result_Database!$A$2:$A$500, Result_Database!P$2:P$500),
  _xlfn.IFNA(_xlpm.result, "")
)</f>
        <v/>
      </c>
      <c r="R379" t="str">
        <f>_xlfn.LET(
  _xlpm.result, _xlfn.XLOOKUP($B379, Result_Database!$A$2:$A$500, Result_Database!Q$2:Q$500),
  _xlfn.IFNA(_xlpm.result, "")
)</f>
        <v/>
      </c>
      <c r="S379" t="str">
        <f>_xlfn.LET(
  _xlpm.result, _xlfn.XLOOKUP($B379, Result_Database!$A$2:$A$500, Result_Database!R$2:R$500),
  _xlfn.IFNA(_xlpm.result, "")
)</f>
        <v/>
      </c>
      <c r="T379" t="str">
        <f>_xlfn.LET(
  _xlpm.result, _xlfn.XLOOKUP($B379, Result_Database!$A$2:$A$500, Result_Database!S$2:S$500),
  _xlfn.IFNA(_xlpm.result, "")
)</f>
        <v/>
      </c>
      <c r="U379" t="str">
        <f>_xlfn.LET(
  _xlpm.result, _xlfn.XLOOKUP($B379, Result_Database!$A$2:$A$500, Result_Database!T$2:T$500),
  _xlfn.IFNA(_xlpm.result, "")
)</f>
        <v/>
      </c>
      <c r="V379" t="str">
        <f>_xlfn.LET(
  _xlpm.result, _xlfn.XLOOKUP($B379, Result_Database!$A$2:$A$500, Result_Database!U$2:U$500),
  _xlfn.IFNA(_xlpm.result, "")
)</f>
        <v/>
      </c>
      <c r="W379" t="str">
        <f>_xlfn.LET(
  _xlpm.result, _xlfn.XLOOKUP($B379, Result_Database!$A$2:$A$500, Result_Database!V$2:V$500),
  _xlfn.IFNA(_xlpm.result, "")
)</f>
        <v/>
      </c>
      <c r="X379" t="str">
        <f>_xlfn.LET(
  _xlpm.result, _xlfn.XLOOKUP($B379, Result_Database!$A$2:$A$500, Result_Database!W$2:W$500),
  _xlfn.IFNA(_xlpm.result, "")
)</f>
        <v/>
      </c>
      <c r="Y379" t="str">
        <f>_xlfn.LET(
  _xlpm.result, _xlfn.XLOOKUP($B379, Result_Database!$A$2:$A$500, Result_Database!X$2:X$500),
  _xlfn.IFNA(_xlpm.result, "")
)</f>
        <v/>
      </c>
      <c r="Z379" t="str">
        <f>_xlfn.LET(
  _xlpm.result, _xlfn.XLOOKUP($B379, Result_Database!$A$2:$A$500, Result_Database!Y$2:Y$500),
  _xlfn.IFNA(_xlpm.result, "")
)</f>
        <v/>
      </c>
      <c r="AA379" t="str">
        <f>_xlfn.LET(
  _xlpm.result, _xlfn.XLOOKUP($B379, Result_Database!$A$2:$A$500, Result_Database!Z$2:Z$500),
  _xlfn.IFNA(_xlpm.result, "")
)</f>
        <v/>
      </c>
      <c r="AB379" t="str">
        <f>_xlfn.LET(
  _xlpm.result, _xlfn.XLOOKUP($B379, Result_Database!$A$2:$A$500, Result_Database!AA$2:AA$500),
  _xlfn.IFNA(_xlpm.result, "")
)</f>
        <v/>
      </c>
      <c r="AC379" t="str">
        <f>_xlfn.LET(
  _xlpm.result, _xlfn.XLOOKUP($B379, Result_Database!$A$2:$A$500, Result_Database!AB$2:AB$500),
  _xlfn.IFNA(_xlpm.result, "")
)</f>
        <v/>
      </c>
      <c r="AD379" t="str">
        <f>_xlfn.LET(
  _xlpm.result, _xlfn.XLOOKUP($B379, Result_Database!$A$2:$A$500, Result_Database!AC$2:AC$500),
  _xlfn.IFNA(_xlpm.result, "")
)</f>
        <v/>
      </c>
      <c r="AE379" t="str">
        <f>_xlfn.LET(
  _xlpm.result, _xlfn.XLOOKUP($B379, Result_Database!$A$2:$A$500, Result_Database!AD$2:AD$500),
  _xlfn.IFNA(_xlpm.result, "")
)</f>
        <v/>
      </c>
      <c r="AF379" t="str">
        <f>_xlfn.LET(
  _xlpm.result, _xlfn.XLOOKUP($B379, Result_Database!$A$2:$A$500, Result_Database!AE$2:AE$500),
  _xlfn.IFNA(_xlpm.result, "")
)</f>
        <v/>
      </c>
      <c r="AG379" t="str">
        <f>_xlfn.LET(
  _xlpm.result, _xlfn.XLOOKUP($B379, Result_Database!$A$2:$A$500, Result_Database!AF$2:AF$500),
  _xlfn.IFNA(_xlpm.result, "")
)</f>
        <v/>
      </c>
      <c r="AH379" t="str">
        <f>_xlfn.LET(
  _xlpm.result, _xlfn.XLOOKUP($B379, Result_Database!$A$2:$A$500, Result_Database!AG$2:AG$500),
  _xlfn.IFNA(_xlpm.result, "")
)</f>
        <v/>
      </c>
      <c r="AI379" t="str">
        <f>_xlfn.LET(
  _xlpm.result, _xlfn.XLOOKUP($B379, Result_Database!$A$2:$A$500, Result_Database!AH$2:AH$500),
  _xlfn.IFNA(_xlpm.result, "")
)</f>
        <v/>
      </c>
      <c r="AJ379" t="str">
        <f>_xlfn.LET(
  _xlpm.result, _xlfn.XLOOKUP($B379, Result_Database!$A$2:$A$500, Result_Database!AI$2:AI$500),
  _xlfn.IFNA(_xlpm.result, "")
)</f>
        <v/>
      </c>
      <c r="AK379" t="str">
        <f>_xlfn.LET(
  _xlpm.result, _xlfn.XLOOKUP($B379, Result_Database!$A$2:$A$500, Result_Database!AJ$2:AJ$500),
  _xlfn.IFNA(_xlpm.result, "")
)</f>
        <v/>
      </c>
      <c r="AL379" t="str">
        <f>_xlfn.LET(
  _xlpm.result, _xlfn.XLOOKUP($B379, Result_Database!$A$2:$A$500, Result_Database!AK$2:AK$500),
  _xlfn.IFNA(_xlpm.result, "")
)</f>
        <v/>
      </c>
      <c r="AM37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7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7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7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7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7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7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7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7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79" t="str">
        <f>IF(SUM(Table5[[#This Row],[A1]:[C6]])&lt;&gt;0,SUM(Table5[[#This Row],[A1]:[C6]]),"")</f>
        <v/>
      </c>
      <c r="AW379" t="str">
        <f>IF(SUM(Table5[[#This Row],[D7]:[F9]])=0,"",SUM(Table5[[#This Row],[D7]:[F9]]))</f>
        <v/>
      </c>
      <c r="AX37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7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7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7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7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7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79" t="str">
        <f>IF(COUNTIF(Table5[[#This Row],[English Language]:[Electrical/ Electronics]],"WITHHELD")=0,"",COUNTIF(Table5[[#This Row],[English Language]:[Electrical/ Electronics]],"WITHHELD"))</f>
        <v/>
      </c>
      <c r="BE379" t="str">
        <f>IF(SUM(Table5[[#This Row],[NO OF CREDITS]:[BELOW CREDITS]])=0,"",SUM(Table5[[#This Row],[NO OF CREDITS]:[BELOW CREDITS]]))</f>
        <v/>
      </c>
    </row>
    <row r="380" spans="1:57" x14ac:dyDescent="0.3">
      <c r="A380" t="str">
        <f>IF(B380&lt;&gt;"",COUNTA($B$6:B380),"")</f>
        <v/>
      </c>
      <c r="B380" t="str">
        <f>IF(Result_Database!A376="","",Result_Database!A376)</f>
        <v/>
      </c>
      <c r="C380" t="str">
        <f>_xlfn.LET(
_xlpm.result,_xlfn.XLOOKUP($B380,Result_Database!$A$2:$A$500,Result_Database!$B$2:$B$500),
_xlfn.IFNA(_xlpm.result,"")
)</f>
        <v/>
      </c>
      <c r="D380" t="str">
        <f>_xlfn.LET(
  _xlpm.result, _xlfn.XLOOKUP($B380, Result_Database!$A$2:$A$500, Result_Database!C$2:C$500),
  _xlfn.IFNA(_xlpm.result, "")
)</f>
        <v/>
      </c>
      <c r="E380" t="str">
        <f>_xlfn.LET(
  _xlpm.result, _xlfn.XLOOKUP($B380, Result_Database!$A$2:$A$500, Result_Database!D$2:D$500),
  _xlfn.IFNA(_xlpm.result, "")
)</f>
        <v/>
      </c>
      <c r="F380" t="str">
        <f>_xlfn.LET(
  _xlpm.result, _xlfn.XLOOKUP($B380, Result_Database!$A$2:$A$500, Result_Database!E$2:E$500),
  _xlfn.IFNA(_xlpm.result, "")
)</f>
        <v/>
      </c>
      <c r="G380" t="str">
        <f>_xlfn.LET(
  _xlpm.result, _xlfn.XLOOKUP($B380, Result_Database!$A$2:$A$500, Result_Database!F$2:F$500),
  _xlfn.IFNA(_xlpm.result, "")
)</f>
        <v/>
      </c>
      <c r="H380" t="str">
        <f>_xlfn.LET(
  _xlpm.result, _xlfn.XLOOKUP($B380, Result_Database!$A$2:$A$500, Result_Database!G$2:G$500),
  _xlfn.IFNA(_xlpm.result, "")
)</f>
        <v/>
      </c>
      <c r="I380" t="str">
        <f>_xlfn.LET(
  _xlpm.result, _xlfn.XLOOKUP($B380, Result_Database!$A$2:$A$500, Result_Database!H$2:H$500),
  _xlfn.IFNA(_xlpm.result, "")
)</f>
        <v/>
      </c>
      <c r="J380" t="str">
        <f>_xlfn.LET(
  _xlpm.result, _xlfn.XLOOKUP($B380, Result_Database!$A$2:$A$500, Result_Database!I$2:I$500),
  _xlfn.IFNA(_xlpm.result, "")
)</f>
        <v/>
      </c>
      <c r="K380" t="str">
        <f>_xlfn.LET(
  _xlpm.result, _xlfn.XLOOKUP($B380, Result_Database!$A$2:$A$500, Result_Database!J$2:J$500),
  _xlfn.IFNA(_xlpm.result, "")
)</f>
        <v/>
      </c>
      <c r="L380" t="str">
        <f>_xlfn.LET(
  _xlpm.result, _xlfn.XLOOKUP($B380, Result_Database!$A$2:$A$500, Result_Database!K$2:K$500),
  _xlfn.IFNA(_xlpm.result, "")
)</f>
        <v/>
      </c>
      <c r="M380" t="str">
        <f>_xlfn.LET(
  _xlpm.result, _xlfn.XLOOKUP($B380, Result_Database!$A$2:$A$500, Result_Database!L$2:L$500),
  _xlfn.IFNA(_xlpm.result, "")
)</f>
        <v/>
      </c>
      <c r="N380" t="str">
        <f>_xlfn.LET(
  _xlpm.result, _xlfn.XLOOKUP($B380, Result_Database!$A$2:$A$500, Result_Database!M$2:M$500),
  _xlfn.IFNA(_xlpm.result, "")
)</f>
        <v/>
      </c>
      <c r="O380" t="str">
        <f>_xlfn.LET(
  _xlpm.result, _xlfn.XLOOKUP($B380, Result_Database!$A$2:$A$500, Result_Database!N$2:N$500),
  _xlfn.IFNA(_xlpm.result, "")
)</f>
        <v/>
      </c>
      <c r="P380" t="str">
        <f>_xlfn.LET(
  _xlpm.result, _xlfn.XLOOKUP($B380, Result_Database!$A$2:$A$500, Result_Database!O$2:O$500),
  _xlfn.IFNA(_xlpm.result, "")
)</f>
        <v/>
      </c>
      <c r="Q380" t="str">
        <f>_xlfn.LET(
  _xlpm.result, _xlfn.XLOOKUP($B380, Result_Database!$A$2:$A$500, Result_Database!P$2:P$500),
  _xlfn.IFNA(_xlpm.result, "")
)</f>
        <v/>
      </c>
      <c r="R380" t="str">
        <f>_xlfn.LET(
  _xlpm.result, _xlfn.XLOOKUP($B380, Result_Database!$A$2:$A$500, Result_Database!Q$2:Q$500),
  _xlfn.IFNA(_xlpm.result, "")
)</f>
        <v/>
      </c>
      <c r="S380" t="str">
        <f>_xlfn.LET(
  _xlpm.result, _xlfn.XLOOKUP($B380, Result_Database!$A$2:$A$500, Result_Database!R$2:R$500),
  _xlfn.IFNA(_xlpm.result, "")
)</f>
        <v/>
      </c>
      <c r="T380" t="str">
        <f>_xlfn.LET(
  _xlpm.result, _xlfn.XLOOKUP($B380, Result_Database!$A$2:$A$500, Result_Database!S$2:S$500),
  _xlfn.IFNA(_xlpm.result, "")
)</f>
        <v/>
      </c>
      <c r="U380" t="str">
        <f>_xlfn.LET(
  _xlpm.result, _xlfn.XLOOKUP($B380, Result_Database!$A$2:$A$500, Result_Database!T$2:T$500),
  _xlfn.IFNA(_xlpm.result, "")
)</f>
        <v/>
      </c>
      <c r="V380" t="str">
        <f>_xlfn.LET(
  _xlpm.result, _xlfn.XLOOKUP($B380, Result_Database!$A$2:$A$500, Result_Database!U$2:U$500),
  _xlfn.IFNA(_xlpm.result, "")
)</f>
        <v/>
      </c>
      <c r="W380" t="str">
        <f>_xlfn.LET(
  _xlpm.result, _xlfn.XLOOKUP($B380, Result_Database!$A$2:$A$500, Result_Database!V$2:V$500),
  _xlfn.IFNA(_xlpm.result, "")
)</f>
        <v/>
      </c>
      <c r="X380" t="str">
        <f>_xlfn.LET(
  _xlpm.result, _xlfn.XLOOKUP($B380, Result_Database!$A$2:$A$500, Result_Database!W$2:W$500),
  _xlfn.IFNA(_xlpm.result, "")
)</f>
        <v/>
      </c>
      <c r="Y380" t="str">
        <f>_xlfn.LET(
  _xlpm.result, _xlfn.XLOOKUP($B380, Result_Database!$A$2:$A$500, Result_Database!X$2:X$500),
  _xlfn.IFNA(_xlpm.result, "")
)</f>
        <v/>
      </c>
      <c r="Z380" t="str">
        <f>_xlfn.LET(
  _xlpm.result, _xlfn.XLOOKUP($B380, Result_Database!$A$2:$A$500, Result_Database!Y$2:Y$500),
  _xlfn.IFNA(_xlpm.result, "")
)</f>
        <v/>
      </c>
      <c r="AA380" t="str">
        <f>_xlfn.LET(
  _xlpm.result, _xlfn.XLOOKUP($B380, Result_Database!$A$2:$A$500, Result_Database!Z$2:Z$500),
  _xlfn.IFNA(_xlpm.result, "")
)</f>
        <v/>
      </c>
      <c r="AB380" t="str">
        <f>_xlfn.LET(
  _xlpm.result, _xlfn.XLOOKUP($B380, Result_Database!$A$2:$A$500, Result_Database!AA$2:AA$500),
  _xlfn.IFNA(_xlpm.result, "")
)</f>
        <v/>
      </c>
      <c r="AC380" t="str">
        <f>_xlfn.LET(
  _xlpm.result, _xlfn.XLOOKUP($B380, Result_Database!$A$2:$A$500, Result_Database!AB$2:AB$500),
  _xlfn.IFNA(_xlpm.result, "")
)</f>
        <v/>
      </c>
      <c r="AD380" t="str">
        <f>_xlfn.LET(
  _xlpm.result, _xlfn.XLOOKUP($B380, Result_Database!$A$2:$A$500, Result_Database!AC$2:AC$500),
  _xlfn.IFNA(_xlpm.result, "")
)</f>
        <v/>
      </c>
      <c r="AE380" t="str">
        <f>_xlfn.LET(
  _xlpm.result, _xlfn.XLOOKUP($B380, Result_Database!$A$2:$A$500, Result_Database!AD$2:AD$500),
  _xlfn.IFNA(_xlpm.result, "")
)</f>
        <v/>
      </c>
      <c r="AF380" t="str">
        <f>_xlfn.LET(
  _xlpm.result, _xlfn.XLOOKUP($B380, Result_Database!$A$2:$A$500, Result_Database!AE$2:AE$500),
  _xlfn.IFNA(_xlpm.result, "")
)</f>
        <v/>
      </c>
      <c r="AG380" t="str">
        <f>_xlfn.LET(
  _xlpm.result, _xlfn.XLOOKUP($B380, Result_Database!$A$2:$A$500, Result_Database!AF$2:AF$500),
  _xlfn.IFNA(_xlpm.result, "")
)</f>
        <v/>
      </c>
      <c r="AH380" t="str">
        <f>_xlfn.LET(
  _xlpm.result, _xlfn.XLOOKUP($B380, Result_Database!$A$2:$A$500, Result_Database!AG$2:AG$500),
  _xlfn.IFNA(_xlpm.result, "")
)</f>
        <v/>
      </c>
      <c r="AI380" t="str">
        <f>_xlfn.LET(
  _xlpm.result, _xlfn.XLOOKUP($B380, Result_Database!$A$2:$A$500, Result_Database!AH$2:AH$500),
  _xlfn.IFNA(_xlpm.result, "")
)</f>
        <v/>
      </c>
      <c r="AJ380" t="str">
        <f>_xlfn.LET(
  _xlpm.result, _xlfn.XLOOKUP($B380, Result_Database!$A$2:$A$500, Result_Database!AI$2:AI$500),
  _xlfn.IFNA(_xlpm.result, "")
)</f>
        <v/>
      </c>
      <c r="AK380" t="str">
        <f>_xlfn.LET(
  _xlpm.result, _xlfn.XLOOKUP($B380, Result_Database!$A$2:$A$500, Result_Database!AJ$2:AJ$500),
  _xlfn.IFNA(_xlpm.result, "")
)</f>
        <v/>
      </c>
      <c r="AL380" t="str">
        <f>_xlfn.LET(
  _xlpm.result, _xlfn.XLOOKUP($B380, Result_Database!$A$2:$A$500, Result_Database!AK$2:AK$500),
  _xlfn.IFNA(_xlpm.result, "")
)</f>
        <v/>
      </c>
      <c r="AM38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8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8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8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8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8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8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8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8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80" t="str">
        <f>IF(SUM(Table5[[#This Row],[A1]:[C6]])&lt;&gt;0,SUM(Table5[[#This Row],[A1]:[C6]]),"")</f>
        <v/>
      </c>
      <c r="AW380" t="str">
        <f>IF(SUM(Table5[[#This Row],[D7]:[F9]])=0,"",SUM(Table5[[#This Row],[D7]:[F9]]))</f>
        <v/>
      </c>
      <c r="AX38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8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8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8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8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8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80" t="str">
        <f>IF(COUNTIF(Table5[[#This Row],[English Language]:[Electrical/ Electronics]],"WITHHELD")=0,"",COUNTIF(Table5[[#This Row],[English Language]:[Electrical/ Electronics]],"WITHHELD"))</f>
        <v/>
      </c>
      <c r="BE380" t="str">
        <f>IF(SUM(Table5[[#This Row],[NO OF CREDITS]:[BELOW CREDITS]])=0,"",SUM(Table5[[#This Row],[NO OF CREDITS]:[BELOW CREDITS]]))</f>
        <v/>
      </c>
    </row>
    <row r="381" spans="1:57" x14ac:dyDescent="0.3">
      <c r="A381" t="str">
        <f>IF(B381&lt;&gt;"",COUNTA($B$6:B381),"")</f>
        <v/>
      </c>
      <c r="B381" t="str">
        <f>IF(Result_Database!A377="","",Result_Database!A377)</f>
        <v/>
      </c>
      <c r="C381" t="str">
        <f>_xlfn.LET(
_xlpm.result,_xlfn.XLOOKUP($B381,Result_Database!$A$2:$A$500,Result_Database!$B$2:$B$500),
_xlfn.IFNA(_xlpm.result,"")
)</f>
        <v/>
      </c>
      <c r="D381" t="str">
        <f>_xlfn.LET(
  _xlpm.result, _xlfn.XLOOKUP($B381, Result_Database!$A$2:$A$500, Result_Database!C$2:C$500),
  _xlfn.IFNA(_xlpm.result, "")
)</f>
        <v/>
      </c>
      <c r="E381" t="str">
        <f>_xlfn.LET(
  _xlpm.result, _xlfn.XLOOKUP($B381, Result_Database!$A$2:$A$500, Result_Database!D$2:D$500),
  _xlfn.IFNA(_xlpm.result, "")
)</f>
        <v/>
      </c>
      <c r="F381" t="str">
        <f>_xlfn.LET(
  _xlpm.result, _xlfn.XLOOKUP($B381, Result_Database!$A$2:$A$500, Result_Database!E$2:E$500),
  _xlfn.IFNA(_xlpm.result, "")
)</f>
        <v/>
      </c>
      <c r="G381" t="str">
        <f>_xlfn.LET(
  _xlpm.result, _xlfn.XLOOKUP($B381, Result_Database!$A$2:$A$500, Result_Database!F$2:F$500),
  _xlfn.IFNA(_xlpm.result, "")
)</f>
        <v/>
      </c>
      <c r="H381" t="str">
        <f>_xlfn.LET(
  _xlpm.result, _xlfn.XLOOKUP($B381, Result_Database!$A$2:$A$500, Result_Database!G$2:G$500),
  _xlfn.IFNA(_xlpm.result, "")
)</f>
        <v/>
      </c>
      <c r="I381" t="str">
        <f>_xlfn.LET(
  _xlpm.result, _xlfn.XLOOKUP($B381, Result_Database!$A$2:$A$500, Result_Database!H$2:H$500),
  _xlfn.IFNA(_xlpm.result, "")
)</f>
        <v/>
      </c>
      <c r="J381" t="str">
        <f>_xlfn.LET(
  _xlpm.result, _xlfn.XLOOKUP($B381, Result_Database!$A$2:$A$500, Result_Database!I$2:I$500),
  _xlfn.IFNA(_xlpm.result, "")
)</f>
        <v/>
      </c>
      <c r="K381" t="str">
        <f>_xlfn.LET(
  _xlpm.result, _xlfn.XLOOKUP($B381, Result_Database!$A$2:$A$500, Result_Database!J$2:J$500),
  _xlfn.IFNA(_xlpm.result, "")
)</f>
        <v/>
      </c>
      <c r="L381" t="str">
        <f>_xlfn.LET(
  _xlpm.result, _xlfn.XLOOKUP($B381, Result_Database!$A$2:$A$500, Result_Database!K$2:K$500),
  _xlfn.IFNA(_xlpm.result, "")
)</f>
        <v/>
      </c>
      <c r="M381" t="str">
        <f>_xlfn.LET(
  _xlpm.result, _xlfn.XLOOKUP($B381, Result_Database!$A$2:$A$500, Result_Database!L$2:L$500),
  _xlfn.IFNA(_xlpm.result, "")
)</f>
        <v/>
      </c>
      <c r="N381" t="str">
        <f>_xlfn.LET(
  _xlpm.result, _xlfn.XLOOKUP($B381, Result_Database!$A$2:$A$500, Result_Database!M$2:M$500),
  _xlfn.IFNA(_xlpm.result, "")
)</f>
        <v/>
      </c>
      <c r="O381" t="str">
        <f>_xlfn.LET(
  _xlpm.result, _xlfn.XLOOKUP($B381, Result_Database!$A$2:$A$500, Result_Database!N$2:N$500),
  _xlfn.IFNA(_xlpm.result, "")
)</f>
        <v/>
      </c>
      <c r="P381" t="str">
        <f>_xlfn.LET(
  _xlpm.result, _xlfn.XLOOKUP($B381, Result_Database!$A$2:$A$500, Result_Database!O$2:O$500),
  _xlfn.IFNA(_xlpm.result, "")
)</f>
        <v/>
      </c>
      <c r="Q381" t="str">
        <f>_xlfn.LET(
  _xlpm.result, _xlfn.XLOOKUP($B381, Result_Database!$A$2:$A$500, Result_Database!P$2:P$500),
  _xlfn.IFNA(_xlpm.result, "")
)</f>
        <v/>
      </c>
      <c r="R381" t="str">
        <f>_xlfn.LET(
  _xlpm.result, _xlfn.XLOOKUP($B381, Result_Database!$A$2:$A$500, Result_Database!Q$2:Q$500),
  _xlfn.IFNA(_xlpm.result, "")
)</f>
        <v/>
      </c>
      <c r="S381" t="str">
        <f>_xlfn.LET(
  _xlpm.result, _xlfn.XLOOKUP($B381, Result_Database!$A$2:$A$500, Result_Database!R$2:R$500),
  _xlfn.IFNA(_xlpm.result, "")
)</f>
        <v/>
      </c>
      <c r="T381" t="str">
        <f>_xlfn.LET(
  _xlpm.result, _xlfn.XLOOKUP($B381, Result_Database!$A$2:$A$500, Result_Database!S$2:S$500),
  _xlfn.IFNA(_xlpm.result, "")
)</f>
        <v/>
      </c>
      <c r="U381" t="str">
        <f>_xlfn.LET(
  _xlpm.result, _xlfn.XLOOKUP($B381, Result_Database!$A$2:$A$500, Result_Database!T$2:T$500),
  _xlfn.IFNA(_xlpm.result, "")
)</f>
        <v/>
      </c>
      <c r="V381" t="str">
        <f>_xlfn.LET(
  _xlpm.result, _xlfn.XLOOKUP($B381, Result_Database!$A$2:$A$500, Result_Database!U$2:U$500),
  _xlfn.IFNA(_xlpm.result, "")
)</f>
        <v/>
      </c>
      <c r="W381" t="str">
        <f>_xlfn.LET(
  _xlpm.result, _xlfn.XLOOKUP($B381, Result_Database!$A$2:$A$500, Result_Database!V$2:V$500),
  _xlfn.IFNA(_xlpm.result, "")
)</f>
        <v/>
      </c>
      <c r="X381" t="str">
        <f>_xlfn.LET(
  _xlpm.result, _xlfn.XLOOKUP($B381, Result_Database!$A$2:$A$500, Result_Database!W$2:W$500),
  _xlfn.IFNA(_xlpm.result, "")
)</f>
        <v/>
      </c>
      <c r="Y381" t="str">
        <f>_xlfn.LET(
  _xlpm.result, _xlfn.XLOOKUP($B381, Result_Database!$A$2:$A$500, Result_Database!X$2:X$500),
  _xlfn.IFNA(_xlpm.result, "")
)</f>
        <v/>
      </c>
      <c r="Z381" t="str">
        <f>_xlfn.LET(
  _xlpm.result, _xlfn.XLOOKUP($B381, Result_Database!$A$2:$A$500, Result_Database!Y$2:Y$500),
  _xlfn.IFNA(_xlpm.result, "")
)</f>
        <v/>
      </c>
      <c r="AA381" t="str">
        <f>_xlfn.LET(
  _xlpm.result, _xlfn.XLOOKUP($B381, Result_Database!$A$2:$A$500, Result_Database!Z$2:Z$500),
  _xlfn.IFNA(_xlpm.result, "")
)</f>
        <v/>
      </c>
      <c r="AB381" t="str">
        <f>_xlfn.LET(
  _xlpm.result, _xlfn.XLOOKUP($B381, Result_Database!$A$2:$A$500, Result_Database!AA$2:AA$500),
  _xlfn.IFNA(_xlpm.result, "")
)</f>
        <v/>
      </c>
      <c r="AC381" t="str">
        <f>_xlfn.LET(
  _xlpm.result, _xlfn.XLOOKUP($B381, Result_Database!$A$2:$A$500, Result_Database!AB$2:AB$500),
  _xlfn.IFNA(_xlpm.result, "")
)</f>
        <v/>
      </c>
      <c r="AD381" t="str">
        <f>_xlfn.LET(
  _xlpm.result, _xlfn.XLOOKUP($B381, Result_Database!$A$2:$A$500, Result_Database!AC$2:AC$500),
  _xlfn.IFNA(_xlpm.result, "")
)</f>
        <v/>
      </c>
      <c r="AE381" t="str">
        <f>_xlfn.LET(
  _xlpm.result, _xlfn.XLOOKUP($B381, Result_Database!$A$2:$A$500, Result_Database!AD$2:AD$500),
  _xlfn.IFNA(_xlpm.result, "")
)</f>
        <v/>
      </c>
      <c r="AF381" t="str">
        <f>_xlfn.LET(
  _xlpm.result, _xlfn.XLOOKUP($B381, Result_Database!$A$2:$A$500, Result_Database!AE$2:AE$500),
  _xlfn.IFNA(_xlpm.result, "")
)</f>
        <v/>
      </c>
      <c r="AG381" t="str">
        <f>_xlfn.LET(
  _xlpm.result, _xlfn.XLOOKUP($B381, Result_Database!$A$2:$A$500, Result_Database!AF$2:AF$500),
  _xlfn.IFNA(_xlpm.result, "")
)</f>
        <v/>
      </c>
      <c r="AH381" t="str">
        <f>_xlfn.LET(
  _xlpm.result, _xlfn.XLOOKUP($B381, Result_Database!$A$2:$A$500, Result_Database!AG$2:AG$500),
  _xlfn.IFNA(_xlpm.result, "")
)</f>
        <v/>
      </c>
      <c r="AI381" t="str">
        <f>_xlfn.LET(
  _xlpm.result, _xlfn.XLOOKUP($B381, Result_Database!$A$2:$A$500, Result_Database!AH$2:AH$500),
  _xlfn.IFNA(_xlpm.result, "")
)</f>
        <v/>
      </c>
      <c r="AJ381" t="str">
        <f>_xlfn.LET(
  _xlpm.result, _xlfn.XLOOKUP($B381, Result_Database!$A$2:$A$500, Result_Database!AI$2:AI$500),
  _xlfn.IFNA(_xlpm.result, "")
)</f>
        <v/>
      </c>
      <c r="AK381" t="str">
        <f>_xlfn.LET(
  _xlpm.result, _xlfn.XLOOKUP($B381, Result_Database!$A$2:$A$500, Result_Database!AJ$2:AJ$500),
  _xlfn.IFNA(_xlpm.result, "")
)</f>
        <v/>
      </c>
      <c r="AL381" t="str">
        <f>_xlfn.LET(
  _xlpm.result, _xlfn.XLOOKUP($B381, Result_Database!$A$2:$A$500, Result_Database!AK$2:AK$500),
  _xlfn.IFNA(_xlpm.result, "")
)</f>
        <v/>
      </c>
      <c r="AM38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8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8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8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8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8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8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8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8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81" t="str">
        <f>IF(SUM(Table5[[#This Row],[A1]:[C6]])&lt;&gt;0,SUM(Table5[[#This Row],[A1]:[C6]]),"")</f>
        <v/>
      </c>
      <c r="AW381" t="str">
        <f>IF(SUM(Table5[[#This Row],[D7]:[F9]])=0,"",SUM(Table5[[#This Row],[D7]:[F9]]))</f>
        <v/>
      </c>
      <c r="AX38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8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8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8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8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8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81" t="str">
        <f>IF(COUNTIF(Table5[[#This Row],[English Language]:[Electrical/ Electronics]],"WITHHELD")=0,"",COUNTIF(Table5[[#This Row],[English Language]:[Electrical/ Electronics]],"WITHHELD"))</f>
        <v/>
      </c>
      <c r="BE381" t="str">
        <f>IF(SUM(Table5[[#This Row],[NO OF CREDITS]:[BELOW CREDITS]])=0,"",SUM(Table5[[#This Row],[NO OF CREDITS]:[BELOW CREDITS]]))</f>
        <v/>
      </c>
    </row>
    <row r="382" spans="1:57" x14ac:dyDescent="0.3">
      <c r="A382" t="str">
        <f>IF(B382&lt;&gt;"",COUNTA($B$6:B382),"")</f>
        <v/>
      </c>
      <c r="B382" t="str">
        <f>IF(Result_Database!A378="","",Result_Database!A378)</f>
        <v/>
      </c>
      <c r="C382" t="str">
        <f>_xlfn.LET(
_xlpm.result,_xlfn.XLOOKUP($B382,Result_Database!$A$2:$A$500,Result_Database!$B$2:$B$500),
_xlfn.IFNA(_xlpm.result,"")
)</f>
        <v/>
      </c>
      <c r="D382" t="str">
        <f>_xlfn.LET(
  _xlpm.result, _xlfn.XLOOKUP($B382, Result_Database!$A$2:$A$500, Result_Database!C$2:C$500),
  _xlfn.IFNA(_xlpm.result, "")
)</f>
        <v/>
      </c>
      <c r="E382" t="str">
        <f>_xlfn.LET(
  _xlpm.result, _xlfn.XLOOKUP($B382, Result_Database!$A$2:$A$500, Result_Database!D$2:D$500),
  _xlfn.IFNA(_xlpm.result, "")
)</f>
        <v/>
      </c>
      <c r="F382" t="str">
        <f>_xlfn.LET(
  _xlpm.result, _xlfn.XLOOKUP($B382, Result_Database!$A$2:$A$500, Result_Database!E$2:E$500),
  _xlfn.IFNA(_xlpm.result, "")
)</f>
        <v/>
      </c>
      <c r="G382" t="str">
        <f>_xlfn.LET(
  _xlpm.result, _xlfn.XLOOKUP($B382, Result_Database!$A$2:$A$500, Result_Database!F$2:F$500),
  _xlfn.IFNA(_xlpm.result, "")
)</f>
        <v/>
      </c>
      <c r="H382" t="str">
        <f>_xlfn.LET(
  _xlpm.result, _xlfn.XLOOKUP($B382, Result_Database!$A$2:$A$500, Result_Database!G$2:G$500),
  _xlfn.IFNA(_xlpm.result, "")
)</f>
        <v/>
      </c>
      <c r="I382" t="str">
        <f>_xlfn.LET(
  _xlpm.result, _xlfn.XLOOKUP($B382, Result_Database!$A$2:$A$500, Result_Database!H$2:H$500),
  _xlfn.IFNA(_xlpm.result, "")
)</f>
        <v/>
      </c>
      <c r="J382" t="str">
        <f>_xlfn.LET(
  _xlpm.result, _xlfn.XLOOKUP($B382, Result_Database!$A$2:$A$500, Result_Database!I$2:I$500),
  _xlfn.IFNA(_xlpm.result, "")
)</f>
        <v/>
      </c>
      <c r="K382" t="str">
        <f>_xlfn.LET(
  _xlpm.result, _xlfn.XLOOKUP($B382, Result_Database!$A$2:$A$500, Result_Database!J$2:J$500),
  _xlfn.IFNA(_xlpm.result, "")
)</f>
        <v/>
      </c>
      <c r="L382" t="str">
        <f>_xlfn.LET(
  _xlpm.result, _xlfn.XLOOKUP($B382, Result_Database!$A$2:$A$500, Result_Database!K$2:K$500),
  _xlfn.IFNA(_xlpm.result, "")
)</f>
        <v/>
      </c>
      <c r="M382" t="str">
        <f>_xlfn.LET(
  _xlpm.result, _xlfn.XLOOKUP($B382, Result_Database!$A$2:$A$500, Result_Database!L$2:L$500),
  _xlfn.IFNA(_xlpm.result, "")
)</f>
        <v/>
      </c>
      <c r="N382" t="str">
        <f>_xlfn.LET(
  _xlpm.result, _xlfn.XLOOKUP($B382, Result_Database!$A$2:$A$500, Result_Database!M$2:M$500),
  _xlfn.IFNA(_xlpm.result, "")
)</f>
        <v/>
      </c>
      <c r="O382" t="str">
        <f>_xlfn.LET(
  _xlpm.result, _xlfn.XLOOKUP($B382, Result_Database!$A$2:$A$500, Result_Database!N$2:N$500),
  _xlfn.IFNA(_xlpm.result, "")
)</f>
        <v/>
      </c>
      <c r="P382" t="str">
        <f>_xlfn.LET(
  _xlpm.result, _xlfn.XLOOKUP($B382, Result_Database!$A$2:$A$500, Result_Database!O$2:O$500),
  _xlfn.IFNA(_xlpm.result, "")
)</f>
        <v/>
      </c>
      <c r="Q382" t="str">
        <f>_xlfn.LET(
  _xlpm.result, _xlfn.XLOOKUP($B382, Result_Database!$A$2:$A$500, Result_Database!P$2:P$500),
  _xlfn.IFNA(_xlpm.result, "")
)</f>
        <v/>
      </c>
      <c r="R382" t="str">
        <f>_xlfn.LET(
  _xlpm.result, _xlfn.XLOOKUP($B382, Result_Database!$A$2:$A$500, Result_Database!Q$2:Q$500),
  _xlfn.IFNA(_xlpm.result, "")
)</f>
        <v/>
      </c>
      <c r="S382" t="str">
        <f>_xlfn.LET(
  _xlpm.result, _xlfn.XLOOKUP($B382, Result_Database!$A$2:$A$500, Result_Database!R$2:R$500),
  _xlfn.IFNA(_xlpm.result, "")
)</f>
        <v/>
      </c>
      <c r="T382" t="str">
        <f>_xlfn.LET(
  _xlpm.result, _xlfn.XLOOKUP($B382, Result_Database!$A$2:$A$500, Result_Database!S$2:S$500),
  _xlfn.IFNA(_xlpm.result, "")
)</f>
        <v/>
      </c>
      <c r="U382" t="str">
        <f>_xlfn.LET(
  _xlpm.result, _xlfn.XLOOKUP($B382, Result_Database!$A$2:$A$500, Result_Database!T$2:T$500),
  _xlfn.IFNA(_xlpm.result, "")
)</f>
        <v/>
      </c>
      <c r="V382" t="str">
        <f>_xlfn.LET(
  _xlpm.result, _xlfn.XLOOKUP($B382, Result_Database!$A$2:$A$500, Result_Database!U$2:U$500),
  _xlfn.IFNA(_xlpm.result, "")
)</f>
        <v/>
      </c>
      <c r="W382" t="str">
        <f>_xlfn.LET(
  _xlpm.result, _xlfn.XLOOKUP($B382, Result_Database!$A$2:$A$500, Result_Database!V$2:V$500),
  _xlfn.IFNA(_xlpm.result, "")
)</f>
        <v/>
      </c>
      <c r="X382" t="str">
        <f>_xlfn.LET(
  _xlpm.result, _xlfn.XLOOKUP($B382, Result_Database!$A$2:$A$500, Result_Database!W$2:W$500),
  _xlfn.IFNA(_xlpm.result, "")
)</f>
        <v/>
      </c>
      <c r="Y382" t="str">
        <f>_xlfn.LET(
  _xlpm.result, _xlfn.XLOOKUP($B382, Result_Database!$A$2:$A$500, Result_Database!X$2:X$500),
  _xlfn.IFNA(_xlpm.result, "")
)</f>
        <v/>
      </c>
      <c r="Z382" t="str">
        <f>_xlfn.LET(
  _xlpm.result, _xlfn.XLOOKUP($B382, Result_Database!$A$2:$A$500, Result_Database!Y$2:Y$500),
  _xlfn.IFNA(_xlpm.result, "")
)</f>
        <v/>
      </c>
      <c r="AA382" t="str">
        <f>_xlfn.LET(
  _xlpm.result, _xlfn.XLOOKUP($B382, Result_Database!$A$2:$A$500, Result_Database!Z$2:Z$500),
  _xlfn.IFNA(_xlpm.result, "")
)</f>
        <v/>
      </c>
      <c r="AB382" t="str">
        <f>_xlfn.LET(
  _xlpm.result, _xlfn.XLOOKUP($B382, Result_Database!$A$2:$A$500, Result_Database!AA$2:AA$500),
  _xlfn.IFNA(_xlpm.result, "")
)</f>
        <v/>
      </c>
      <c r="AC382" t="str">
        <f>_xlfn.LET(
  _xlpm.result, _xlfn.XLOOKUP($B382, Result_Database!$A$2:$A$500, Result_Database!AB$2:AB$500),
  _xlfn.IFNA(_xlpm.result, "")
)</f>
        <v/>
      </c>
      <c r="AD382" t="str">
        <f>_xlfn.LET(
  _xlpm.result, _xlfn.XLOOKUP($B382, Result_Database!$A$2:$A$500, Result_Database!AC$2:AC$500),
  _xlfn.IFNA(_xlpm.result, "")
)</f>
        <v/>
      </c>
      <c r="AE382" t="str">
        <f>_xlfn.LET(
  _xlpm.result, _xlfn.XLOOKUP($B382, Result_Database!$A$2:$A$500, Result_Database!AD$2:AD$500),
  _xlfn.IFNA(_xlpm.result, "")
)</f>
        <v/>
      </c>
      <c r="AF382" t="str">
        <f>_xlfn.LET(
  _xlpm.result, _xlfn.XLOOKUP($B382, Result_Database!$A$2:$A$500, Result_Database!AE$2:AE$500),
  _xlfn.IFNA(_xlpm.result, "")
)</f>
        <v/>
      </c>
      <c r="AG382" t="str">
        <f>_xlfn.LET(
  _xlpm.result, _xlfn.XLOOKUP($B382, Result_Database!$A$2:$A$500, Result_Database!AF$2:AF$500),
  _xlfn.IFNA(_xlpm.result, "")
)</f>
        <v/>
      </c>
      <c r="AH382" t="str">
        <f>_xlfn.LET(
  _xlpm.result, _xlfn.XLOOKUP($B382, Result_Database!$A$2:$A$500, Result_Database!AG$2:AG$500),
  _xlfn.IFNA(_xlpm.result, "")
)</f>
        <v/>
      </c>
      <c r="AI382" t="str">
        <f>_xlfn.LET(
  _xlpm.result, _xlfn.XLOOKUP($B382, Result_Database!$A$2:$A$500, Result_Database!AH$2:AH$500),
  _xlfn.IFNA(_xlpm.result, "")
)</f>
        <v/>
      </c>
      <c r="AJ382" t="str">
        <f>_xlfn.LET(
  _xlpm.result, _xlfn.XLOOKUP($B382, Result_Database!$A$2:$A$500, Result_Database!AI$2:AI$500),
  _xlfn.IFNA(_xlpm.result, "")
)</f>
        <v/>
      </c>
      <c r="AK382" t="str">
        <f>_xlfn.LET(
  _xlpm.result, _xlfn.XLOOKUP($B382, Result_Database!$A$2:$A$500, Result_Database!AJ$2:AJ$500),
  _xlfn.IFNA(_xlpm.result, "")
)</f>
        <v/>
      </c>
      <c r="AL382" t="str">
        <f>_xlfn.LET(
  _xlpm.result, _xlfn.XLOOKUP($B382, Result_Database!$A$2:$A$500, Result_Database!AK$2:AK$500),
  _xlfn.IFNA(_xlpm.result, "")
)</f>
        <v/>
      </c>
      <c r="AM38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8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8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8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8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8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8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8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8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82" t="str">
        <f>IF(SUM(Table5[[#This Row],[A1]:[C6]])&lt;&gt;0,SUM(Table5[[#This Row],[A1]:[C6]]),"")</f>
        <v/>
      </c>
      <c r="AW382" t="str">
        <f>IF(SUM(Table5[[#This Row],[D7]:[F9]])=0,"",SUM(Table5[[#This Row],[D7]:[F9]]))</f>
        <v/>
      </c>
      <c r="AX38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8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8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8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8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8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82" t="str">
        <f>IF(COUNTIF(Table5[[#This Row],[English Language]:[Electrical/ Electronics]],"WITHHELD")=0,"",COUNTIF(Table5[[#This Row],[English Language]:[Electrical/ Electronics]],"WITHHELD"))</f>
        <v/>
      </c>
      <c r="BE382" t="str">
        <f>IF(SUM(Table5[[#This Row],[NO OF CREDITS]:[BELOW CREDITS]])=0,"",SUM(Table5[[#This Row],[NO OF CREDITS]:[BELOW CREDITS]]))</f>
        <v/>
      </c>
    </row>
    <row r="383" spans="1:57" x14ac:dyDescent="0.3">
      <c r="A383" t="str">
        <f>IF(B383&lt;&gt;"",COUNTA($B$6:B383),"")</f>
        <v/>
      </c>
      <c r="B383" t="str">
        <f>IF(Result_Database!A379="","",Result_Database!A379)</f>
        <v/>
      </c>
      <c r="C383" t="str">
        <f>_xlfn.LET(
_xlpm.result,_xlfn.XLOOKUP($B383,Result_Database!$A$2:$A$500,Result_Database!$B$2:$B$500),
_xlfn.IFNA(_xlpm.result,"")
)</f>
        <v/>
      </c>
      <c r="D383" t="str">
        <f>_xlfn.LET(
  _xlpm.result, _xlfn.XLOOKUP($B383, Result_Database!$A$2:$A$500, Result_Database!C$2:C$500),
  _xlfn.IFNA(_xlpm.result, "")
)</f>
        <v/>
      </c>
      <c r="E383" t="str">
        <f>_xlfn.LET(
  _xlpm.result, _xlfn.XLOOKUP($B383, Result_Database!$A$2:$A$500, Result_Database!D$2:D$500),
  _xlfn.IFNA(_xlpm.result, "")
)</f>
        <v/>
      </c>
      <c r="F383" t="str">
        <f>_xlfn.LET(
  _xlpm.result, _xlfn.XLOOKUP($B383, Result_Database!$A$2:$A$500, Result_Database!E$2:E$500),
  _xlfn.IFNA(_xlpm.result, "")
)</f>
        <v/>
      </c>
      <c r="G383" t="str">
        <f>_xlfn.LET(
  _xlpm.result, _xlfn.XLOOKUP($B383, Result_Database!$A$2:$A$500, Result_Database!F$2:F$500),
  _xlfn.IFNA(_xlpm.result, "")
)</f>
        <v/>
      </c>
      <c r="H383" t="str">
        <f>_xlfn.LET(
  _xlpm.result, _xlfn.XLOOKUP($B383, Result_Database!$A$2:$A$500, Result_Database!G$2:G$500),
  _xlfn.IFNA(_xlpm.result, "")
)</f>
        <v/>
      </c>
      <c r="I383" t="str">
        <f>_xlfn.LET(
  _xlpm.result, _xlfn.XLOOKUP($B383, Result_Database!$A$2:$A$500, Result_Database!H$2:H$500),
  _xlfn.IFNA(_xlpm.result, "")
)</f>
        <v/>
      </c>
      <c r="J383" t="str">
        <f>_xlfn.LET(
  _xlpm.result, _xlfn.XLOOKUP($B383, Result_Database!$A$2:$A$500, Result_Database!I$2:I$500),
  _xlfn.IFNA(_xlpm.result, "")
)</f>
        <v/>
      </c>
      <c r="K383" t="str">
        <f>_xlfn.LET(
  _xlpm.result, _xlfn.XLOOKUP($B383, Result_Database!$A$2:$A$500, Result_Database!J$2:J$500),
  _xlfn.IFNA(_xlpm.result, "")
)</f>
        <v/>
      </c>
      <c r="L383" t="str">
        <f>_xlfn.LET(
  _xlpm.result, _xlfn.XLOOKUP($B383, Result_Database!$A$2:$A$500, Result_Database!K$2:K$500),
  _xlfn.IFNA(_xlpm.result, "")
)</f>
        <v/>
      </c>
      <c r="M383" t="str">
        <f>_xlfn.LET(
  _xlpm.result, _xlfn.XLOOKUP($B383, Result_Database!$A$2:$A$500, Result_Database!L$2:L$500),
  _xlfn.IFNA(_xlpm.result, "")
)</f>
        <v/>
      </c>
      <c r="N383" t="str">
        <f>_xlfn.LET(
  _xlpm.result, _xlfn.XLOOKUP($B383, Result_Database!$A$2:$A$500, Result_Database!M$2:M$500),
  _xlfn.IFNA(_xlpm.result, "")
)</f>
        <v/>
      </c>
      <c r="O383" t="str">
        <f>_xlfn.LET(
  _xlpm.result, _xlfn.XLOOKUP($B383, Result_Database!$A$2:$A$500, Result_Database!N$2:N$500),
  _xlfn.IFNA(_xlpm.result, "")
)</f>
        <v/>
      </c>
      <c r="P383" t="str">
        <f>_xlfn.LET(
  _xlpm.result, _xlfn.XLOOKUP($B383, Result_Database!$A$2:$A$500, Result_Database!O$2:O$500),
  _xlfn.IFNA(_xlpm.result, "")
)</f>
        <v/>
      </c>
      <c r="Q383" t="str">
        <f>_xlfn.LET(
  _xlpm.result, _xlfn.XLOOKUP($B383, Result_Database!$A$2:$A$500, Result_Database!P$2:P$500),
  _xlfn.IFNA(_xlpm.result, "")
)</f>
        <v/>
      </c>
      <c r="R383" t="str">
        <f>_xlfn.LET(
  _xlpm.result, _xlfn.XLOOKUP($B383, Result_Database!$A$2:$A$500, Result_Database!Q$2:Q$500),
  _xlfn.IFNA(_xlpm.result, "")
)</f>
        <v/>
      </c>
      <c r="S383" t="str">
        <f>_xlfn.LET(
  _xlpm.result, _xlfn.XLOOKUP($B383, Result_Database!$A$2:$A$500, Result_Database!R$2:R$500),
  _xlfn.IFNA(_xlpm.result, "")
)</f>
        <v/>
      </c>
      <c r="T383" t="str">
        <f>_xlfn.LET(
  _xlpm.result, _xlfn.XLOOKUP($B383, Result_Database!$A$2:$A$500, Result_Database!S$2:S$500),
  _xlfn.IFNA(_xlpm.result, "")
)</f>
        <v/>
      </c>
      <c r="U383" t="str">
        <f>_xlfn.LET(
  _xlpm.result, _xlfn.XLOOKUP($B383, Result_Database!$A$2:$A$500, Result_Database!T$2:T$500),
  _xlfn.IFNA(_xlpm.result, "")
)</f>
        <v/>
      </c>
      <c r="V383" t="str">
        <f>_xlfn.LET(
  _xlpm.result, _xlfn.XLOOKUP($B383, Result_Database!$A$2:$A$500, Result_Database!U$2:U$500),
  _xlfn.IFNA(_xlpm.result, "")
)</f>
        <v/>
      </c>
      <c r="W383" t="str">
        <f>_xlfn.LET(
  _xlpm.result, _xlfn.XLOOKUP($B383, Result_Database!$A$2:$A$500, Result_Database!V$2:V$500),
  _xlfn.IFNA(_xlpm.result, "")
)</f>
        <v/>
      </c>
      <c r="X383" t="str">
        <f>_xlfn.LET(
  _xlpm.result, _xlfn.XLOOKUP($B383, Result_Database!$A$2:$A$500, Result_Database!W$2:W$500),
  _xlfn.IFNA(_xlpm.result, "")
)</f>
        <v/>
      </c>
      <c r="Y383" t="str">
        <f>_xlfn.LET(
  _xlpm.result, _xlfn.XLOOKUP($B383, Result_Database!$A$2:$A$500, Result_Database!X$2:X$500),
  _xlfn.IFNA(_xlpm.result, "")
)</f>
        <v/>
      </c>
      <c r="Z383" t="str">
        <f>_xlfn.LET(
  _xlpm.result, _xlfn.XLOOKUP($B383, Result_Database!$A$2:$A$500, Result_Database!Y$2:Y$500),
  _xlfn.IFNA(_xlpm.result, "")
)</f>
        <v/>
      </c>
      <c r="AA383" t="str">
        <f>_xlfn.LET(
  _xlpm.result, _xlfn.XLOOKUP($B383, Result_Database!$A$2:$A$500, Result_Database!Z$2:Z$500),
  _xlfn.IFNA(_xlpm.result, "")
)</f>
        <v/>
      </c>
      <c r="AB383" t="str">
        <f>_xlfn.LET(
  _xlpm.result, _xlfn.XLOOKUP($B383, Result_Database!$A$2:$A$500, Result_Database!AA$2:AA$500),
  _xlfn.IFNA(_xlpm.result, "")
)</f>
        <v/>
      </c>
      <c r="AC383" t="str">
        <f>_xlfn.LET(
  _xlpm.result, _xlfn.XLOOKUP($B383, Result_Database!$A$2:$A$500, Result_Database!AB$2:AB$500),
  _xlfn.IFNA(_xlpm.result, "")
)</f>
        <v/>
      </c>
      <c r="AD383" t="str">
        <f>_xlfn.LET(
  _xlpm.result, _xlfn.XLOOKUP($B383, Result_Database!$A$2:$A$500, Result_Database!AC$2:AC$500),
  _xlfn.IFNA(_xlpm.result, "")
)</f>
        <v/>
      </c>
      <c r="AE383" t="str">
        <f>_xlfn.LET(
  _xlpm.result, _xlfn.XLOOKUP($B383, Result_Database!$A$2:$A$500, Result_Database!AD$2:AD$500),
  _xlfn.IFNA(_xlpm.result, "")
)</f>
        <v/>
      </c>
      <c r="AF383" t="str">
        <f>_xlfn.LET(
  _xlpm.result, _xlfn.XLOOKUP($B383, Result_Database!$A$2:$A$500, Result_Database!AE$2:AE$500),
  _xlfn.IFNA(_xlpm.result, "")
)</f>
        <v/>
      </c>
      <c r="AG383" t="str">
        <f>_xlfn.LET(
  _xlpm.result, _xlfn.XLOOKUP($B383, Result_Database!$A$2:$A$500, Result_Database!AF$2:AF$500),
  _xlfn.IFNA(_xlpm.result, "")
)</f>
        <v/>
      </c>
      <c r="AH383" t="str">
        <f>_xlfn.LET(
  _xlpm.result, _xlfn.XLOOKUP($B383, Result_Database!$A$2:$A$500, Result_Database!AG$2:AG$500),
  _xlfn.IFNA(_xlpm.result, "")
)</f>
        <v/>
      </c>
      <c r="AI383" t="str">
        <f>_xlfn.LET(
  _xlpm.result, _xlfn.XLOOKUP($B383, Result_Database!$A$2:$A$500, Result_Database!AH$2:AH$500),
  _xlfn.IFNA(_xlpm.result, "")
)</f>
        <v/>
      </c>
      <c r="AJ383" t="str">
        <f>_xlfn.LET(
  _xlpm.result, _xlfn.XLOOKUP($B383, Result_Database!$A$2:$A$500, Result_Database!AI$2:AI$500),
  _xlfn.IFNA(_xlpm.result, "")
)</f>
        <v/>
      </c>
      <c r="AK383" t="str">
        <f>_xlfn.LET(
  _xlpm.result, _xlfn.XLOOKUP($B383, Result_Database!$A$2:$A$500, Result_Database!AJ$2:AJ$500),
  _xlfn.IFNA(_xlpm.result, "")
)</f>
        <v/>
      </c>
      <c r="AL383" t="str">
        <f>_xlfn.LET(
  _xlpm.result, _xlfn.XLOOKUP($B383, Result_Database!$A$2:$A$500, Result_Database!AK$2:AK$500),
  _xlfn.IFNA(_xlpm.result, "")
)</f>
        <v/>
      </c>
      <c r="AM38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8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8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8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8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8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8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8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8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83" t="str">
        <f>IF(SUM(Table5[[#This Row],[A1]:[C6]])&lt;&gt;0,SUM(Table5[[#This Row],[A1]:[C6]]),"")</f>
        <v/>
      </c>
      <c r="AW383" t="str">
        <f>IF(SUM(Table5[[#This Row],[D7]:[F9]])=0,"",SUM(Table5[[#This Row],[D7]:[F9]]))</f>
        <v/>
      </c>
      <c r="AX38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8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8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8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8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8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83" t="str">
        <f>IF(COUNTIF(Table5[[#This Row],[English Language]:[Electrical/ Electronics]],"WITHHELD")=0,"",COUNTIF(Table5[[#This Row],[English Language]:[Electrical/ Electronics]],"WITHHELD"))</f>
        <v/>
      </c>
      <c r="BE383" t="str">
        <f>IF(SUM(Table5[[#This Row],[NO OF CREDITS]:[BELOW CREDITS]])=0,"",SUM(Table5[[#This Row],[NO OF CREDITS]:[BELOW CREDITS]]))</f>
        <v/>
      </c>
    </row>
    <row r="384" spans="1:57" x14ac:dyDescent="0.3">
      <c r="A384" t="str">
        <f>IF(B384&lt;&gt;"",COUNTA($B$6:B384),"")</f>
        <v/>
      </c>
      <c r="B384" t="str">
        <f>IF(Result_Database!A380="","",Result_Database!A380)</f>
        <v/>
      </c>
      <c r="C384" t="str">
        <f>_xlfn.LET(
_xlpm.result,_xlfn.XLOOKUP($B384,Result_Database!$A$2:$A$500,Result_Database!$B$2:$B$500),
_xlfn.IFNA(_xlpm.result,"")
)</f>
        <v/>
      </c>
      <c r="D384" t="str">
        <f>_xlfn.LET(
  _xlpm.result, _xlfn.XLOOKUP($B384, Result_Database!$A$2:$A$500, Result_Database!C$2:C$500),
  _xlfn.IFNA(_xlpm.result, "")
)</f>
        <v/>
      </c>
      <c r="E384" t="str">
        <f>_xlfn.LET(
  _xlpm.result, _xlfn.XLOOKUP($B384, Result_Database!$A$2:$A$500, Result_Database!D$2:D$500),
  _xlfn.IFNA(_xlpm.result, "")
)</f>
        <v/>
      </c>
      <c r="F384" t="str">
        <f>_xlfn.LET(
  _xlpm.result, _xlfn.XLOOKUP($B384, Result_Database!$A$2:$A$500, Result_Database!E$2:E$500),
  _xlfn.IFNA(_xlpm.result, "")
)</f>
        <v/>
      </c>
      <c r="G384" t="str">
        <f>_xlfn.LET(
  _xlpm.result, _xlfn.XLOOKUP($B384, Result_Database!$A$2:$A$500, Result_Database!F$2:F$500),
  _xlfn.IFNA(_xlpm.result, "")
)</f>
        <v/>
      </c>
      <c r="H384" t="str">
        <f>_xlfn.LET(
  _xlpm.result, _xlfn.XLOOKUP($B384, Result_Database!$A$2:$A$500, Result_Database!G$2:G$500),
  _xlfn.IFNA(_xlpm.result, "")
)</f>
        <v/>
      </c>
      <c r="I384" t="str">
        <f>_xlfn.LET(
  _xlpm.result, _xlfn.XLOOKUP($B384, Result_Database!$A$2:$A$500, Result_Database!H$2:H$500),
  _xlfn.IFNA(_xlpm.result, "")
)</f>
        <v/>
      </c>
      <c r="J384" t="str">
        <f>_xlfn.LET(
  _xlpm.result, _xlfn.XLOOKUP($B384, Result_Database!$A$2:$A$500, Result_Database!I$2:I$500),
  _xlfn.IFNA(_xlpm.result, "")
)</f>
        <v/>
      </c>
      <c r="K384" t="str">
        <f>_xlfn.LET(
  _xlpm.result, _xlfn.XLOOKUP($B384, Result_Database!$A$2:$A$500, Result_Database!J$2:J$500),
  _xlfn.IFNA(_xlpm.result, "")
)</f>
        <v/>
      </c>
      <c r="L384" t="str">
        <f>_xlfn.LET(
  _xlpm.result, _xlfn.XLOOKUP($B384, Result_Database!$A$2:$A$500, Result_Database!K$2:K$500),
  _xlfn.IFNA(_xlpm.result, "")
)</f>
        <v/>
      </c>
      <c r="M384" t="str">
        <f>_xlfn.LET(
  _xlpm.result, _xlfn.XLOOKUP($B384, Result_Database!$A$2:$A$500, Result_Database!L$2:L$500),
  _xlfn.IFNA(_xlpm.result, "")
)</f>
        <v/>
      </c>
      <c r="N384" t="str">
        <f>_xlfn.LET(
  _xlpm.result, _xlfn.XLOOKUP($B384, Result_Database!$A$2:$A$500, Result_Database!M$2:M$500),
  _xlfn.IFNA(_xlpm.result, "")
)</f>
        <v/>
      </c>
      <c r="O384" t="str">
        <f>_xlfn.LET(
  _xlpm.result, _xlfn.XLOOKUP($B384, Result_Database!$A$2:$A$500, Result_Database!N$2:N$500),
  _xlfn.IFNA(_xlpm.result, "")
)</f>
        <v/>
      </c>
      <c r="P384" t="str">
        <f>_xlfn.LET(
  _xlpm.result, _xlfn.XLOOKUP($B384, Result_Database!$A$2:$A$500, Result_Database!O$2:O$500),
  _xlfn.IFNA(_xlpm.result, "")
)</f>
        <v/>
      </c>
      <c r="Q384" t="str">
        <f>_xlfn.LET(
  _xlpm.result, _xlfn.XLOOKUP($B384, Result_Database!$A$2:$A$500, Result_Database!P$2:P$500),
  _xlfn.IFNA(_xlpm.result, "")
)</f>
        <v/>
      </c>
      <c r="R384" t="str">
        <f>_xlfn.LET(
  _xlpm.result, _xlfn.XLOOKUP($B384, Result_Database!$A$2:$A$500, Result_Database!Q$2:Q$500),
  _xlfn.IFNA(_xlpm.result, "")
)</f>
        <v/>
      </c>
      <c r="S384" t="str">
        <f>_xlfn.LET(
  _xlpm.result, _xlfn.XLOOKUP($B384, Result_Database!$A$2:$A$500, Result_Database!R$2:R$500),
  _xlfn.IFNA(_xlpm.result, "")
)</f>
        <v/>
      </c>
      <c r="T384" t="str">
        <f>_xlfn.LET(
  _xlpm.result, _xlfn.XLOOKUP($B384, Result_Database!$A$2:$A$500, Result_Database!S$2:S$500),
  _xlfn.IFNA(_xlpm.result, "")
)</f>
        <v/>
      </c>
      <c r="U384" t="str">
        <f>_xlfn.LET(
  _xlpm.result, _xlfn.XLOOKUP($B384, Result_Database!$A$2:$A$500, Result_Database!T$2:T$500),
  _xlfn.IFNA(_xlpm.result, "")
)</f>
        <v/>
      </c>
      <c r="V384" t="str">
        <f>_xlfn.LET(
  _xlpm.result, _xlfn.XLOOKUP($B384, Result_Database!$A$2:$A$500, Result_Database!U$2:U$500),
  _xlfn.IFNA(_xlpm.result, "")
)</f>
        <v/>
      </c>
      <c r="W384" t="str">
        <f>_xlfn.LET(
  _xlpm.result, _xlfn.XLOOKUP($B384, Result_Database!$A$2:$A$500, Result_Database!V$2:V$500),
  _xlfn.IFNA(_xlpm.result, "")
)</f>
        <v/>
      </c>
      <c r="X384" t="str">
        <f>_xlfn.LET(
  _xlpm.result, _xlfn.XLOOKUP($B384, Result_Database!$A$2:$A$500, Result_Database!W$2:W$500),
  _xlfn.IFNA(_xlpm.result, "")
)</f>
        <v/>
      </c>
      <c r="Y384" t="str">
        <f>_xlfn.LET(
  _xlpm.result, _xlfn.XLOOKUP($B384, Result_Database!$A$2:$A$500, Result_Database!X$2:X$500),
  _xlfn.IFNA(_xlpm.result, "")
)</f>
        <v/>
      </c>
      <c r="Z384" t="str">
        <f>_xlfn.LET(
  _xlpm.result, _xlfn.XLOOKUP($B384, Result_Database!$A$2:$A$500, Result_Database!Y$2:Y$500),
  _xlfn.IFNA(_xlpm.result, "")
)</f>
        <v/>
      </c>
      <c r="AA384" t="str">
        <f>_xlfn.LET(
  _xlpm.result, _xlfn.XLOOKUP($B384, Result_Database!$A$2:$A$500, Result_Database!Z$2:Z$500),
  _xlfn.IFNA(_xlpm.result, "")
)</f>
        <v/>
      </c>
      <c r="AB384" t="str">
        <f>_xlfn.LET(
  _xlpm.result, _xlfn.XLOOKUP($B384, Result_Database!$A$2:$A$500, Result_Database!AA$2:AA$500),
  _xlfn.IFNA(_xlpm.result, "")
)</f>
        <v/>
      </c>
      <c r="AC384" t="str">
        <f>_xlfn.LET(
  _xlpm.result, _xlfn.XLOOKUP($B384, Result_Database!$A$2:$A$500, Result_Database!AB$2:AB$500),
  _xlfn.IFNA(_xlpm.result, "")
)</f>
        <v/>
      </c>
      <c r="AD384" t="str">
        <f>_xlfn.LET(
  _xlpm.result, _xlfn.XLOOKUP($B384, Result_Database!$A$2:$A$500, Result_Database!AC$2:AC$500),
  _xlfn.IFNA(_xlpm.result, "")
)</f>
        <v/>
      </c>
      <c r="AE384" t="str">
        <f>_xlfn.LET(
  _xlpm.result, _xlfn.XLOOKUP($B384, Result_Database!$A$2:$A$500, Result_Database!AD$2:AD$500),
  _xlfn.IFNA(_xlpm.result, "")
)</f>
        <v/>
      </c>
      <c r="AF384" t="str">
        <f>_xlfn.LET(
  _xlpm.result, _xlfn.XLOOKUP($B384, Result_Database!$A$2:$A$500, Result_Database!AE$2:AE$500),
  _xlfn.IFNA(_xlpm.result, "")
)</f>
        <v/>
      </c>
      <c r="AG384" t="str">
        <f>_xlfn.LET(
  _xlpm.result, _xlfn.XLOOKUP($B384, Result_Database!$A$2:$A$500, Result_Database!AF$2:AF$500),
  _xlfn.IFNA(_xlpm.result, "")
)</f>
        <v/>
      </c>
      <c r="AH384" t="str">
        <f>_xlfn.LET(
  _xlpm.result, _xlfn.XLOOKUP($B384, Result_Database!$A$2:$A$500, Result_Database!AG$2:AG$500),
  _xlfn.IFNA(_xlpm.result, "")
)</f>
        <v/>
      </c>
      <c r="AI384" t="str">
        <f>_xlfn.LET(
  _xlpm.result, _xlfn.XLOOKUP($B384, Result_Database!$A$2:$A$500, Result_Database!AH$2:AH$500),
  _xlfn.IFNA(_xlpm.result, "")
)</f>
        <v/>
      </c>
      <c r="AJ384" t="str">
        <f>_xlfn.LET(
  _xlpm.result, _xlfn.XLOOKUP($B384, Result_Database!$A$2:$A$500, Result_Database!AI$2:AI$500),
  _xlfn.IFNA(_xlpm.result, "")
)</f>
        <v/>
      </c>
      <c r="AK384" t="str">
        <f>_xlfn.LET(
  _xlpm.result, _xlfn.XLOOKUP($B384, Result_Database!$A$2:$A$500, Result_Database!AJ$2:AJ$500),
  _xlfn.IFNA(_xlpm.result, "")
)</f>
        <v/>
      </c>
      <c r="AL384" t="str">
        <f>_xlfn.LET(
  _xlpm.result, _xlfn.XLOOKUP($B384, Result_Database!$A$2:$A$500, Result_Database!AK$2:AK$500),
  _xlfn.IFNA(_xlpm.result, "")
)</f>
        <v/>
      </c>
      <c r="AM38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8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8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8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8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8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8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8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8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84" t="str">
        <f>IF(SUM(Table5[[#This Row],[A1]:[C6]])&lt;&gt;0,SUM(Table5[[#This Row],[A1]:[C6]]),"")</f>
        <v/>
      </c>
      <c r="AW384" t="str">
        <f>IF(SUM(Table5[[#This Row],[D7]:[F9]])=0,"",SUM(Table5[[#This Row],[D7]:[F9]]))</f>
        <v/>
      </c>
      <c r="AX38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8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8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8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8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8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84" t="str">
        <f>IF(COUNTIF(Table5[[#This Row],[English Language]:[Electrical/ Electronics]],"WITHHELD")=0,"",COUNTIF(Table5[[#This Row],[English Language]:[Electrical/ Electronics]],"WITHHELD"))</f>
        <v/>
      </c>
      <c r="BE384" t="str">
        <f>IF(SUM(Table5[[#This Row],[NO OF CREDITS]:[BELOW CREDITS]])=0,"",SUM(Table5[[#This Row],[NO OF CREDITS]:[BELOW CREDITS]]))</f>
        <v/>
      </c>
    </row>
    <row r="385" spans="1:57" x14ac:dyDescent="0.3">
      <c r="A385" t="str">
        <f>IF(B385&lt;&gt;"",COUNTA($B$6:B385),"")</f>
        <v/>
      </c>
      <c r="B385" t="str">
        <f>IF(Result_Database!A381="","",Result_Database!A381)</f>
        <v/>
      </c>
      <c r="C385" t="str">
        <f>_xlfn.LET(
_xlpm.result,_xlfn.XLOOKUP($B385,Result_Database!$A$2:$A$500,Result_Database!$B$2:$B$500),
_xlfn.IFNA(_xlpm.result,"")
)</f>
        <v/>
      </c>
      <c r="D385" t="str">
        <f>_xlfn.LET(
  _xlpm.result, _xlfn.XLOOKUP($B385, Result_Database!$A$2:$A$500, Result_Database!C$2:C$500),
  _xlfn.IFNA(_xlpm.result, "")
)</f>
        <v/>
      </c>
      <c r="E385" t="str">
        <f>_xlfn.LET(
  _xlpm.result, _xlfn.XLOOKUP($B385, Result_Database!$A$2:$A$500, Result_Database!D$2:D$500),
  _xlfn.IFNA(_xlpm.result, "")
)</f>
        <v/>
      </c>
      <c r="F385" t="str">
        <f>_xlfn.LET(
  _xlpm.result, _xlfn.XLOOKUP($B385, Result_Database!$A$2:$A$500, Result_Database!E$2:E$500),
  _xlfn.IFNA(_xlpm.result, "")
)</f>
        <v/>
      </c>
      <c r="G385" t="str">
        <f>_xlfn.LET(
  _xlpm.result, _xlfn.XLOOKUP($B385, Result_Database!$A$2:$A$500, Result_Database!F$2:F$500),
  _xlfn.IFNA(_xlpm.result, "")
)</f>
        <v/>
      </c>
      <c r="H385" t="str">
        <f>_xlfn.LET(
  _xlpm.result, _xlfn.XLOOKUP($B385, Result_Database!$A$2:$A$500, Result_Database!G$2:G$500),
  _xlfn.IFNA(_xlpm.result, "")
)</f>
        <v/>
      </c>
      <c r="I385" t="str">
        <f>_xlfn.LET(
  _xlpm.result, _xlfn.XLOOKUP($B385, Result_Database!$A$2:$A$500, Result_Database!H$2:H$500),
  _xlfn.IFNA(_xlpm.result, "")
)</f>
        <v/>
      </c>
      <c r="J385" t="str">
        <f>_xlfn.LET(
  _xlpm.result, _xlfn.XLOOKUP($B385, Result_Database!$A$2:$A$500, Result_Database!I$2:I$500),
  _xlfn.IFNA(_xlpm.result, "")
)</f>
        <v/>
      </c>
      <c r="K385" t="str">
        <f>_xlfn.LET(
  _xlpm.result, _xlfn.XLOOKUP($B385, Result_Database!$A$2:$A$500, Result_Database!J$2:J$500),
  _xlfn.IFNA(_xlpm.result, "")
)</f>
        <v/>
      </c>
      <c r="L385" t="str">
        <f>_xlfn.LET(
  _xlpm.result, _xlfn.XLOOKUP($B385, Result_Database!$A$2:$A$500, Result_Database!K$2:K$500),
  _xlfn.IFNA(_xlpm.result, "")
)</f>
        <v/>
      </c>
      <c r="M385" t="str">
        <f>_xlfn.LET(
  _xlpm.result, _xlfn.XLOOKUP($B385, Result_Database!$A$2:$A$500, Result_Database!L$2:L$500),
  _xlfn.IFNA(_xlpm.result, "")
)</f>
        <v/>
      </c>
      <c r="N385" t="str">
        <f>_xlfn.LET(
  _xlpm.result, _xlfn.XLOOKUP($B385, Result_Database!$A$2:$A$500, Result_Database!M$2:M$500),
  _xlfn.IFNA(_xlpm.result, "")
)</f>
        <v/>
      </c>
      <c r="O385" t="str">
        <f>_xlfn.LET(
  _xlpm.result, _xlfn.XLOOKUP($B385, Result_Database!$A$2:$A$500, Result_Database!N$2:N$500),
  _xlfn.IFNA(_xlpm.result, "")
)</f>
        <v/>
      </c>
      <c r="P385" t="str">
        <f>_xlfn.LET(
  _xlpm.result, _xlfn.XLOOKUP($B385, Result_Database!$A$2:$A$500, Result_Database!O$2:O$500),
  _xlfn.IFNA(_xlpm.result, "")
)</f>
        <v/>
      </c>
      <c r="Q385" t="str">
        <f>_xlfn.LET(
  _xlpm.result, _xlfn.XLOOKUP($B385, Result_Database!$A$2:$A$500, Result_Database!P$2:P$500),
  _xlfn.IFNA(_xlpm.result, "")
)</f>
        <v/>
      </c>
      <c r="R385" t="str">
        <f>_xlfn.LET(
  _xlpm.result, _xlfn.XLOOKUP($B385, Result_Database!$A$2:$A$500, Result_Database!Q$2:Q$500),
  _xlfn.IFNA(_xlpm.result, "")
)</f>
        <v/>
      </c>
      <c r="S385" t="str">
        <f>_xlfn.LET(
  _xlpm.result, _xlfn.XLOOKUP($B385, Result_Database!$A$2:$A$500, Result_Database!R$2:R$500),
  _xlfn.IFNA(_xlpm.result, "")
)</f>
        <v/>
      </c>
      <c r="T385" t="str">
        <f>_xlfn.LET(
  _xlpm.result, _xlfn.XLOOKUP($B385, Result_Database!$A$2:$A$500, Result_Database!S$2:S$500),
  _xlfn.IFNA(_xlpm.result, "")
)</f>
        <v/>
      </c>
      <c r="U385" t="str">
        <f>_xlfn.LET(
  _xlpm.result, _xlfn.XLOOKUP($B385, Result_Database!$A$2:$A$500, Result_Database!T$2:T$500),
  _xlfn.IFNA(_xlpm.result, "")
)</f>
        <v/>
      </c>
      <c r="V385" t="str">
        <f>_xlfn.LET(
  _xlpm.result, _xlfn.XLOOKUP($B385, Result_Database!$A$2:$A$500, Result_Database!U$2:U$500),
  _xlfn.IFNA(_xlpm.result, "")
)</f>
        <v/>
      </c>
      <c r="W385" t="str">
        <f>_xlfn.LET(
  _xlpm.result, _xlfn.XLOOKUP($B385, Result_Database!$A$2:$A$500, Result_Database!V$2:V$500),
  _xlfn.IFNA(_xlpm.result, "")
)</f>
        <v/>
      </c>
      <c r="X385" t="str">
        <f>_xlfn.LET(
  _xlpm.result, _xlfn.XLOOKUP($B385, Result_Database!$A$2:$A$500, Result_Database!W$2:W$500),
  _xlfn.IFNA(_xlpm.result, "")
)</f>
        <v/>
      </c>
      <c r="Y385" t="str">
        <f>_xlfn.LET(
  _xlpm.result, _xlfn.XLOOKUP($B385, Result_Database!$A$2:$A$500, Result_Database!X$2:X$500),
  _xlfn.IFNA(_xlpm.result, "")
)</f>
        <v/>
      </c>
      <c r="Z385" t="str">
        <f>_xlfn.LET(
  _xlpm.result, _xlfn.XLOOKUP($B385, Result_Database!$A$2:$A$500, Result_Database!Y$2:Y$500),
  _xlfn.IFNA(_xlpm.result, "")
)</f>
        <v/>
      </c>
      <c r="AA385" t="str">
        <f>_xlfn.LET(
  _xlpm.result, _xlfn.XLOOKUP($B385, Result_Database!$A$2:$A$500, Result_Database!Z$2:Z$500),
  _xlfn.IFNA(_xlpm.result, "")
)</f>
        <v/>
      </c>
      <c r="AB385" t="str">
        <f>_xlfn.LET(
  _xlpm.result, _xlfn.XLOOKUP($B385, Result_Database!$A$2:$A$500, Result_Database!AA$2:AA$500),
  _xlfn.IFNA(_xlpm.result, "")
)</f>
        <v/>
      </c>
      <c r="AC385" t="str">
        <f>_xlfn.LET(
  _xlpm.result, _xlfn.XLOOKUP($B385, Result_Database!$A$2:$A$500, Result_Database!AB$2:AB$500),
  _xlfn.IFNA(_xlpm.result, "")
)</f>
        <v/>
      </c>
      <c r="AD385" t="str">
        <f>_xlfn.LET(
  _xlpm.result, _xlfn.XLOOKUP($B385, Result_Database!$A$2:$A$500, Result_Database!AC$2:AC$500),
  _xlfn.IFNA(_xlpm.result, "")
)</f>
        <v/>
      </c>
      <c r="AE385" t="str">
        <f>_xlfn.LET(
  _xlpm.result, _xlfn.XLOOKUP($B385, Result_Database!$A$2:$A$500, Result_Database!AD$2:AD$500),
  _xlfn.IFNA(_xlpm.result, "")
)</f>
        <v/>
      </c>
      <c r="AF385" t="str">
        <f>_xlfn.LET(
  _xlpm.result, _xlfn.XLOOKUP($B385, Result_Database!$A$2:$A$500, Result_Database!AE$2:AE$500),
  _xlfn.IFNA(_xlpm.result, "")
)</f>
        <v/>
      </c>
      <c r="AG385" t="str">
        <f>_xlfn.LET(
  _xlpm.result, _xlfn.XLOOKUP($B385, Result_Database!$A$2:$A$500, Result_Database!AF$2:AF$500),
  _xlfn.IFNA(_xlpm.result, "")
)</f>
        <v/>
      </c>
      <c r="AH385" t="str">
        <f>_xlfn.LET(
  _xlpm.result, _xlfn.XLOOKUP($B385, Result_Database!$A$2:$A$500, Result_Database!AG$2:AG$500),
  _xlfn.IFNA(_xlpm.result, "")
)</f>
        <v/>
      </c>
      <c r="AI385" t="str">
        <f>_xlfn.LET(
  _xlpm.result, _xlfn.XLOOKUP($B385, Result_Database!$A$2:$A$500, Result_Database!AH$2:AH$500),
  _xlfn.IFNA(_xlpm.result, "")
)</f>
        <v/>
      </c>
      <c r="AJ385" t="str">
        <f>_xlfn.LET(
  _xlpm.result, _xlfn.XLOOKUP($B385, Result_Database!$A$2:$A$500, Result_Database!AI$2:AI$500),
  _xlfn.IFNA(_xlpm.result, "")
)</f>
        <v/>
      </c>
      <c r="AK385" t="str">
        <f>_xlfn.LET(
  _xlpm.result, _xlfn.XLOOKUP($B385, Result_Database!$A$2:$A$500, Result_Database!AJ$2:AJ$500),
  _xlfn.IFNA(_xlpm.result, "")
)</f>
        <v/>
      </c>
      <c r="AL385" t="str">
        <f>_xlfn.LET(
  _xlpm.result, _xlfn.XLOOKUP($B385, Result_Database!$A$2:$A$500, Result_Database!AK$2:AK$500),
  _xlfn.IFNA(_xlpm.result, "")
)</f>
        <v/>
      </c>
      <c r="AM38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8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8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8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8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8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8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8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8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85" t="str">
        <f>IF(SUM(Table5[[#This Row],[A1]:[C6]])&lt;&gt;0,SUM(Table5[[#This Row],[A1]:[C6]]),"")</f>
        <v/>
      </c>
      <c r="AW385" t="str">
        <f>IF(SUM(Table5[[#This Row],[D7]:[F9]])=0,"",SUM(Table5[[#This Row],[D7]:[F9]]))</f>
        <v/>
      </c>
      <c r="AX38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8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8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8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8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8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85" t="str">
        <f>IF(COUNTIF(Table5[[#This Row],[English Language]:[Electrical/ Electronics]],"WITHHELD")=0,"",COUNTIF(Table5[[#This Row],[English Language]:[Electrical/ Electronics]],"WITHHELD"))</f>
        <v/>
      </c>
      <c r="BE385" t="str">
        <f>IF(SUM(Table5[[#This Row],[NO OF CREDITS]:[BELOW CREDITS]])=0,"",SUM(Table5[[#This Row],[NO OF CREDITS]:[BELOW CREDITS]]))</f>
        <v/>
      </c>
    </row>
    <row r="386" spans="1:57" x14ac:dyDescent="0.3">
      <c r="A386" t="str">
        <f>IF(B386&lt;&gt;"",COUNTA($B$6:B386),"")</f>
        <v/>
      </c>
      <c r="B386" t="str">
        <f>IF(Result_Database!A382="","",Result_Database!A382)</f>
        <v/>
      </c>
      <c r="C386" t="str">
        <f>_xlfn.LET(
_xlpm.result,_xlfn.XLOOKUP($B386,Result_Database!$A$2:$A$500,Result_Database!$B$2:$B$500),
_xlfn.IFNA(_xlpm.result,"")
)</f>
        <v/>
      </c>
      <c r="D386" t="str">
        <f>_xlfn.LET(
  _xlpm.result, _xlfn.XLOOKUP($B386, Result_Database!$A$2:$A$500, Result_Database!C$2:C$500),
  _xlfn.IFNA(_xlpm.result, "")
)</f>
        <v/>
      </c>
      <c r="E386" t="str">
        <f>_xlfn.LET(
  _xlpm.result, _xlfn.XLOOKUP($B386, Result_Database!$A$2:$A$500, Result_Database!D$2:D$500),
  _xlfn.IFNA(_xlpm.result, "")
)</f>
        <v/>
      </c>
      <c r="F386" t="str">
        <f>_xlfn.LET(
  _xlpm.result, _xlfn.XLOOKUP($B386, Result_Database!$A$2:$A$500, Result_Database!E$2:E$500),
  _xlfn.IFNA(_xlpm.result, "")
)</f>
        <v/>
      </c>
      <c r="G386" t="str">
        <f>_xlfn.LET(
  _xlpm.result, _xlfn.XLOOKUP($B386, Result_Database!$A$2:$A$500, Result_Database!F$2:F$500),
  _xlfn.IFNA(_xlpm.result, "")
)</f>
        <v/>
      </c>
      <c r="H386" t="str">
        <f>_xlfn.LET(
  _xlpm.result, _xlfn.XLOOKUP($B386, Result_Database!$A$2:$A$500, Result_Database!G$2:G$500),
  _xlfn.IFNA(_xlpm.result, "")
)</f>
        <v/>
      </c>
      <c r="I386" t="str">
        <f>_xlfn.LET(
  _xlpm.result, _xlfn.XLOOKUP($B386, Result_Database!$A$2:$A$500, Result_Database!H$2:H$500),
  _xlfn.IFNA(_xlpm.result, "")
)</f>
        <v/>
      </c>
      <c r="J386" t="str">
        <f>_xlfn.LET(
  _xlpm.result, _xlfn.XLOOKUP($B386, Result_Database!$A$2:$A$500, Result_Database!I$2:I$500),
  _xlfn.IFNA(_xlpm.result, "")
)</f>
        <v/>
      </c>
      <c r="K386" t="str">
        <f>_xlfn.LET(
  _xlpm.result, _xlfn.XLOOKUP($B386, Result_Database!$A$2:$A$500, Result_Database!J$2:J$500),
  _xlfn.IFNA(_xlpm.result, "")
)</f>
        <v/>
      </c>
      <c r="L386" t="str">
        <f>_xlfn.LET(
  _xlpm.result, _xlfn.XLOOKUP($B386, Result_Database!$A$2:$A$500, Result_Database!K$2:K$500),
  _xlfn.IFNA(_xlpm.result, "")
)</f>
        <v/>
      </c>
      <c r="M386" t="str">
        <f>_xlfn.LET(
  _xlpm.result, _xlfn.XLOOKUP($B386, Result_Database!$A$2:$A$500, Result_Database!L$2:L$500),
  _xlfn.IFNA(_xlpm.result, "")
)</f>
        <v/>
      </c>
      <c r="N386" t="str">
        <f>_xlfn.LET(
  _xlpm.result, _xlfn.XLOOKUP($B386, Result_Database!$A$2:$A$500, Result_Database!M$2:M$500),
  _xlfn.IFNA(_xlpm.result, "")
)</f>
        <v/>
      </c>
      <c r="O386" t="str">
        <f>_xlfn.LET(
  _xlpm.result, _xlfn.XLOOKUP($B386, Result_Database!$A$2:$A$500, Result_Database!N$2:N$500),
  _xlfn.IFNA(_xlpm.result, "")
)</f>
        <v/>
      </c>
      <c r="P386" t="str">
        <f>_xlfn.LET(
  _xlpm.result, _xlfn.XLOOKUP($B386, Result_Database!$A$2:$A$500, Result_Database!O$2:O$500),
  _xlfn.IFNA(_xlpm.result, "")
)</f>
        <v/>
      </c>
      <c r="Q386" t="str">
        <f>_xlfn.LET(
  _xlpm.result, _xlfn.XLOOKUP($B386, Result_Database!$A$2:$A$500, Result_Database!P$2:P$500),
  _xlfn.IFNA(_xlpm.result, "")
)</f>
        <v/>
      </c>
      <c r="R386" t="str">
        <f>_xlfn.LET(
  _xlpm.result, _xlfn.XLOOKUP($B386, Result_Database!$A$2:$A$500, Result_Database!Q$2:Q$500),
  _xlfn.IFNA(_xlpm.result, "")
)</f>
        <v/>
      </c>
      <c r="S386" t="str">
        <f>_xlfn.LET(
  _xlpm.result, _xlfn.XLOOKUP($B386, Result_Database!$A$2:$A$500, Result_Database!R$2:R$500),
  _xlfn.IFNA(_xlpm.result, "")
)</f>
        <v/>
      </c>
      <c r="T386" t="str">
        <f>_xlfn.LET(
  _xlpm.result, _xlfn.XLOOKUP($B386, Result_Database!$A$2:$A$500, Result_Database!S$2:S$500),
  _xlfn.IFNA(_xlpm.result, "")
)</f>
        <v/>
      </c>
      <c r="U386" t="str">
        <f>_xlfn.LET(
  _xlpm.result, _xlfn.XLOOKUP($B386, Result_Database!$A$2:$A$500, Result_Database!T$2:T$500),
  _xlfn.IFNA(_xlpm.result, "")
)</f>
        <v/>
      </c>
      <c r="V386" t="str">
        <f>_xlfn.LET(
  _xlpm.result, _xlfn.XLOOKUP($B386, Result_Database!$A$2:$A$500, Result_Database!U$2:U$500),
  _xlfn.IFNA(_xlpm.result, "")
)</f>
        <v/>
      </c>
      <c r="W386" t="str">
        <f>_xlfn.LET(
  _xlpm.result, _xlfn.XLOOKUP($B386, Result_Database!$A$2:$A$500, Result_Database!V$2:V$500),
  _xlfn.IFNA(_xlpm.result, "")
)</f>
        <v/>
      </c>
      <c r="X386" t="str">
        <f>_xlfn.LET(
  _xlpm.result, _xlfn.XLOOKUP($B386, Result_Database!$A$2:$A$500, Result_Database!W$2:W$500),
  _xlfn.IFNA(_xlpm.result, "")
)</f>
        <v/>
      </c>
      <c r="Y386" t="str">
        <f>_xlfn.LET(
  _xlpm.result, _xlfn.XLOOKUP($B386, Result_Database!$A$2:$A$500, Result_Database!X$2:X$500),
  _xlfn.IFNA(_xlpm.result, "")
)</f>
        <v/>
      </c>
      <c r="Z386" t="str">
        <f>_xlfn.LET(
  _xlpm.result, _xlfn.XLOOKUP($B386, Result_Database!$A$2:$A$500, Result_Database!Y$2:Y$500),
  _xlfn.IFNA(_xlpm.result, "")
)</f>
        <v/>
      </c>
      <c r="AA386" t="str">
        <f>_xlfn.LET(
  _xlpm.result, _xlfn.XLOOKUP($B386, Result_Database!$A$2:$A$500, Result_Database!Z$2:Z$500),
  _xlfn.IFNA(_xlpm.result, "")
)</f>
        <v/>
      </c>
      <c r="AB386" t="str">
        <f>_xlfn.LET(
  _xlpm.result, _xlfn.XLOOKUP($B386, Result_Database!$A$2:$A$500, Result_Database!AA$2:AA$500),
  _xlfn.IFNA(_xlpm.result, "")
)</f>
        <v/>
      </c>
      <c r="AC386" t="str">
        <f>_xlfn.LET(
  _xlpm.result, _xlfn.XLOOKUP($B386, Result_Database!$A$2:$A$500, Result_Database!AB$2:AB$500),
  _xlfn.IFNA(_xlpm.result, "")
)</f>
        <v/>
      </c>
      <c r="AD386" t="str">
        <f>_xlfn.LET(
  _xlpm.result, _xlfn.XLOOKUP($B386, Result_Database!$A$2:$A$500, Result_Database!AC$2:AC$500),
  _xlfn.IFNA(_xlpm.result, "")
)</f>
        <v/>
      </c>
      <c r="AE386" t="str">
        <f>_xlfn.LET(
  _xlpm.result, _xlfn.XLOOKUP($B386, Result_Database!$A$2:$A$500, Result_Database!AD$2:AD$500),
  _xlfn.IFNA(_xlpm.result, "")
)</f>
        <v/>
      </c>
      <c r="AF386" t="str">
        <f>_xlfn.LET(
  _xlpm.result, _xlfn.XLOOKUP($B386, Result_Database!$A$2:$A$500, Result_Database!AE$2:AE$500),
  _xlfn.IFNA(_xlpm.result, "")
)</f>
        <v/>
      </c>
      <c r="AG386" t="str">
        <f>_xlfn.LET(
  _xlpm.result, _xlfn.XLOOKUP($B386, Result_Database!$A$2:$A$500, Result_Database!AF$2:AF$500),
  _xlfn.IFNA(_xlpm.result, "")
)</f>
        <v/>
      </c>
      <c r="AH386" t="str">
        <f>_xlfn.LET(
  _xlpm.result, _xlfn.XLOOKUP($B386, Result_Database!$A$2:$A$500, Result_Database!AG$2:AG$500),
  _xlfn.IFNA(_xlpm.result, "")
)</f>
        <v/>
      </c>
      <c r="AI386" t="str">
        <f>_xlfn.LET(
  _xlpm.result, _xlfn.XLOOKUP($B386, Result_Database!$A$2:$A$500, Result_Database!AH$2:AH$500),
  _xlfn.IFNA(_xlpm.result, "")
)</f>
        <v/>
      </c>
      <c r="AJ386" t="str">
        <f>_xlfn.LET(
  _xlpm.result, _xlfn.XLOOKUP($B386, Result_Database!$A$2:$A$500, Result_Database!AI$2:AI$500),
  _xlfn.IFNA(_xlpm.result, "")
)</f>
        <v/>
      </c>
      <c r="AK386" t="str">
        <f>_xlfn.LET(
  _xlpm.result, _xlfn.XLOOKUP($B386, Result_Database!$A$2:$A$500, Result_Database!AJ$2:AJ$500),
  _xlfn.IFNA(_xlpm.result, "")
)</f>
        <v/>
      </c>
      <c r="AL386" t="str">
        <f>_xlfn.LET(
  _xlpm.result, _xlfn.XLOOKUP($B386, Result_Database!$A$2:$A$500, Result_Database!AK$2:AK$500),
  _xlfn.IFNA(_xlpm.result, "")
)</f>
        <v/>
      </c>
      <c r="AM38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8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8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8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8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8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8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8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8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86" t="str">
        <f>IF(SUM(Table5[[#This Row],[A1]:[C6]])&lt;&gt;0,SUM(Table5[[#This Row],[A1]:[C6]]),"")</f>
        <v/>
      </c>
      <c r="AW386" t="str">
        <f>IF(SUM(Table5[[#This Row],[D7]:[F9]])=0,"",SUM(Table5[[#This Row],[D7]:[F9]]))</f>
        <v/>
      </c>
      <c r="AX38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8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8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8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8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8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86" t="str">
        <f>IF(COUNTIF(Table5[[#This Row],[English Language]:[Electrical/ Electronics]],"WITHHELD")=0,"",COUNTIF(Table5[[#This Row],[English Language]:[Electrical/ Electronics]],"WITHHELD"))</f>
        <v/>
      </c>
      <c r="BE386" t="str">
        <f>IF(SUM(Table5[[#This Row],[NO OF CREDITS]:[BELOW CREDITS]])=0,"",SUM(Table5[[#This Row],[NO OF CREDITS]:[BELOW CREDITS]]))</f>
        <v/>
      </c>
    </row>
    <row r="387" spans="1:57" x14ac:dyDescent="0.3">
      <c r="A387" t="str">
        <f>IF(B387&lt;&gt;"",COUNTA($B$6:B387),"")</f>
        <v/>
      </c>
      <c r="B387" t="str">
        <f>IF(Result_Database!A383="","",Result_Database!A383)</f>
        <v/>
      </c>
      <c r="C387" t="str">
        <f>_xlfn.LET(
_xlpm.result,_xlfn.XLOOKUP($B387,Result_Database!$A$2:$A$500,Result_Database!$B$2:$B$500),
_xlfn.IFNA(_xlpm.result,"")
)</f>
        <v/>
      </c>
      <c r="D387" t="str">
        <f>_xlfn.LET(
  _xlpm.result, _xlfn.XLOOKUP($B387, Result_Database!$A$2:$A$500, Result_Database!C$2:C$500),
  _xlfn.IFNA(_xlpm.result, "")
)</f>
        <v/>
      </c>
      <c r="E387" t="str">
        <f>_xlfn.LET(
  _xlpm.result, _xlfn.XLOOKUP($B387, Result_Database!$A$2:$A$500, Result_Database!D$2:D$500),
  _xlfn.IFNA(_xlpm.result, "")
)</f>
        <v/>
      </c>
      <c r="F387" t="str">
        <f>_xlfn.LET(
  _xlpm.result, _xlfn.XLOOKUP($B387, Result_Database!$A$2:$A$500, Result_Database!E$2:E$500),
  _xlfn.IFNA(_xlpm.result, "")
)</f>
        <v/>
      </c>
      <c r="G387" t="str">
        <f>_xlfn.LET(
  _xlpm.result, _xlfn.XLOOKUP($B387, Result_Database!$A$2:$A$500, Result_Database!F$2:F$500),
  _xlfn.IFNA(_xlpm.result, "")
)</f>
        <v/>
      </c>
      <c r="H387" t="str">
        <f>_xlfn.LET(
  _xlpm.result, _xlfn.XLOOKUP($B387, Result_Database!$A$2:$A$500, Result_Database!G$2:G$500),
  _xlfn.IFNA(_xlpm.result, "")
)</f>
        <v/>
      </c>
      <c r="I387" t="str">
        <f>_xlfn.LET(
  _xlpm.result, _xlfn.XLOOKUP($B387, Result_Database!$A$2:$A$500, Result_Database!H$2:H$500),
  _xlfn.IFNA(_xlpm.result, "")
)</f>
        <v/>
      </c>
      <c r="J387" t="str">
        <f>_xlfn.LET(
  _xlpm.result, _xlfn.XLOOKUP($B387, Result_Database!$A$2:$A$500, Result_Database!I$2:I$500),
  _xlfn.IFNA(_xlpm.result, "")
)</f>
        <v/>
      </c>
      <c r="K387" t="str">
        <f>_xlfn.LET(
  _xlpm.result, _xlfn.XLOOKUP($B387, Result_Database!$A$2:$A$500, Result_Database!J$2:J$500),
  _xlfn.IFNA(_xlpm.result, "")
)</f>
        <v/>
      </c>
      <c r="L387" t="str">
        <f>_xlfn.LET(
  _xlpm.result, _xlfn.XLOOKUP($B387, Result_Database!$A$2:$A$500, Result_Database!K$2:K$500),
  _xlfn.IFNA(_xlpm.result, "")
)</f>
        <v/>
      </c>
      <c r="M387" t="str">
        <f>_xlfn.LET(
  _xlpm.result, _xlfn.XLOOKUP($B387, Result_Database!$A$2:$A$500, Result_Database!L$2:L$500),
  _xlfn.IFNA(_xlpm.result, "")
)</f>
        <v/>
      </c>
      <c r="N387" t="str">
        <f>_xlfn.LET(
  _xlpm.result, _xlfn.XLOOKUP($B387, Result_Database!$A$2:$A$500, Result_Database!M$2:M$500),
  _xlfn.IFNA(_xlpm.result, "")
)</f>
        <v/>
      </c>
      <c r="O387" t="str">
        <f>_xlfn.LET(
  _xlpm.result, _xlfn.XLOOKUP($B387, Result_Database!$A$2:$A$500, Result_Database!N$2:N$500),
  _xlfn.IFNA(_xlpm.result, "")
)</f>
        <v/>
      </c>
      <c r="P387" t="str">
        <f>_xlfn.LET(
  _xlpm.result, _xlfn.XLOOKUP($B387, Result_Database!$A$2:$A$500, Result_Database!O$2:O$500),
  _xlfn.IFNA(_xlpm.result, "")
)</f>
        <v/>
      </c>
      <c r="Q387" t="str">
        <f>_xlfn.LET(
  _xlpm.result, _xlfn.XLOOKUP($B387, Result_Database!$A$2:$A$500, Result_Database!P$2:P$500),
  _xlfn.IFNA(_xlpm.result, "")
)</f>
        <v/>
      </c>
      <c r="R387" t="str">
        <f>_xlfn.LET(
  _xlpm.result, _xlfn.XLOOKUP($B387, Result_Database!$A$2:$A$500, Result_Database!Q$2:Q$500),
  _xlfn.IFNA(_xlpm.result, "")
)</f>
        <v/>
      </c>
      <c r="S387" t="str">
        <f>_xlfn.LET(
  _xlpm.result, _xlfn.XLOOKUP($B387, Result_Database!$A$2:$A$500, Result_Database!R$2:R$500),
  _xlfn.IFNA(_xlpm.result, "")
)</f>
        <v/>
      </c>
      <c r="T387" t="str">
        <f>_xlfn.LET(
  _xlpm.result, _xlfn.XLOOKUP($B387, Result_Database!$A$2:$A$500, Result_Database!S$2:S$500),
  _xlfn.IFNA(_xlpm.result, "")
)</f>
        <v/>
      </c>
      <c r="U387" t="str">
        <f>_xlfn.LET(
  _xlpm.result, _xlfn.XLOOKUP($B387, Result_Database!$A$2:$A$500, Result_Database!T$2:T$500),
  _xlfn.IFNA(_xlpm.result, "")
)</f>
        <v/>
      </c>
      <c r="V387" t="str">
        <f>_xlfn.LET(
  _xlpm.result, _xlfn.XLOOKUP($B387, Result_Database!$A$2:$A$500, Result_Database!U$2:U$500),
  _xlfn.IFNA(_xlpm.result, "")
)</f>
        <v/>
      </c>
      <c r="W387" t="str">
        <f>_xlfn.LET(
  _xlpm.result, _xlfn.XLOOKUP($B387, Result_Database!$A$2:$A$500, Result_Database!V$2:V$500),
  _xlfn.IFNA(_xlpm.result, "")
)</f>
        <v/>
      </c>
      <c r="X387" t="str">
        <f>_xlfn.LET(
  _xlpm.result, _xlfn.XLOOKUP($B387, Result_Database!$A$2:$A$500, Result_Database!W$2:W$500),
  _xlfn.IFNA(_xlpm.result, "")
)</f>
        <v/>
      </c>
      <c r="Y387" t="str">
        <f>_xlfn.LET(
  _xlpm.result, _xlfn.XLOOKUP($B387, Result_Database!$A$2:$A$500, Result_Database!X$2:X$500),
  _xlfn.IFNA(_xlpm.result, "")
)</f>
        <v/>
      </c>
      <c r="Z387" t="str">
        <f>_xlfn.LET(
  _xlpm.result, _xlfn.XLOOKUP($B387, Result_Database!$A$2:$A$500, Result_Database!Y$2:Y$500),
  _xlfn.IFNA(_xlpm.result, "")
)</f>
        <v/>
      </c>
      <c r="AA387" t="str">
        <f>_xlfn.LET(
  _xlpm.result, _xlfn.XLOOKUP($B387, Result_Database!$A$2:$A$500, Result_Database!Z$2:Z$500),
  _xlfn.IFNA(_xlpm.result, "")
)</f>
        <v/>
      </c>
      <c r="AB387" t="str">
        <f>_xlfn.LET(
  _xlpm.result, _xlfn.XLOOKUP($B387, Result_Database!$A$2:$A$500, Result_Database!AA$2:AA$500),
  _xlfn.IFNA(_xlpm.result, "")
)</f>
        <v/>
      </c>
      <c r="AC387" t="str">
        <f>_xlfn.LET(
  _xlpm.result, _xlfn.XLOOKUP($B387, Result_Database!$A$2:$A$500, Result_Database!AB$2:AB$500),
  _xlfn.IFNA(_xlpm.result, "")
)</f>
        <v/>
      </c>
      <c r="AD387" t="str">
        <f>_xlfn.LET(
  _xlpm.result, _xlfn.XLOOKUP($B387, Result_Database!$A$2:$A$500, Result_Database!AC$2:AC$500),
  _xlfn.IFNA(_xlpm.result, "")
)</f>
        <v/>
      </c>
      <c r="AE387" t="str">
        <f>_xlfn.LET(
  _xlpm.result, _xlfn.XLOOKUP($B387, Result_Database!$A$2:$A$500, Result_Database!AD$2:AD$500),
  _xlfn.IFNA(_xlpm.result, "")
)</f>
        <v/>
      </c>
      <c r="AF387" t="str">
        <f>_xlfn.LET(
  _xlpm.result, _xlfn.XLOOKUP($B387, Result_Database!$A$2:$A$500, Result_Database!AE$2:AE$500),
  _xlfn.IFNA(_xlpm.result, "")
)</f>
        <v/>
      </c>
      <c r="AG387" t="str">
        <f>_xlfn.LET(
  _xlpm.result, _xlfn.XLOOKUP($B387, Result_Database!$A$2:$A$500, Result_Database!AF$2:AF$500),
  _xlfn.IFNA(_xlpm.result, "")
)</f>
        <v/>
      </c>
      <c r="AH387" t="str">
        <f>_xlfn.LET(
  _xlpm.result, _xlfn.XLOOKUP($B387, Result_Database!$A$2:$A$500, Result_Database!AG$2:AG$500),
  _xlfn.IFNA(_xlpm.result, "")
)</f>
        <v/>
      </c>
      <c r="AI387" t="str">
        <f>_xlfn.LET(
  _xlpm.result, _xlfn.XLOOKUP($B387, Result_Database!$A$2:$A$500, Result_Database!AH$2:AH$500),
  _xlfn.IFNA(_xlpm.result, "")
)</f>
        <v/>
      </c>
      <c r="AJ387" t="str">
        <f>_xlfn.LET(
  _xlpm.result, _xlfn.XLOOKUP($B387, Result_Database!$A$2:$A$500, Result_Database!AI$2:AI$500),
  _xlfn.IFNA(_xlpm.result, "")
)</f>
        <v/>
      </c>
      <c r="AK387" t="str">
        <f>_xlfn.LET(
  _xlpm.result, _xlfn.XLOOKUP($B387, Result_Database!$A$2:$A$500, Result_Database!AJ$2:AJ$500),
  _xlfn.IFNA(_xlpm.result, "")
)</f>
        <v/>
      </c>
      <c r="AL387" t="str">
        <f>_xlfn.LET(
  _xlpm.result, _xlfn.XLOOKUP($B387, Result_Database!$A$2:$A$500, Result_Database!AK$2:AK$500),
  _xlfn.IFNA(_xlpm.result, "")
)</f>
        <v/>
      </c>
      <c r="AM38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8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8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8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8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8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8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8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8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87" t="str">
        <f>IF(SUM(Table5[[#This Row],[A1]:[C6]])&lt;&gt;0,SUM(Table5[[#This Row],[A1]:[C6]]),"")</f>
        <v/>
      </c>
      <c r="AW387" t="str">
        <f>IF(SUM(Table5[[#This Row],[D7]:[F9]])=0,"",SUM(Table5[[#This Row],[D7]:[F9]]))</f>
        <v/>
      </c>
      <c r="AX38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8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8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8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8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8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87" t="str">
        <f>IF(COUNTIF(Table5[[#This Row],[English Language]:[Electrical/ Electronics]],"WITHHELD")=0,"",COUNTIF(Table5[[#This Row],[English Language]:[Electrical/ Electronics]],"WITHHELD"))</f>
        <v/>
      </c>
      <c r="BE387" t="str">
        <f>IF(SUM(Table5[[#This Row],[NO OF CREDITS]:[BELOW CREDITS]])=0,"",SUM(Table5[[#This Row],[NO OF CREDITS]:[BELOW CREDITS]]))</f>
        <v/>
      </c>
    </row>
    <row r="388" spans="1:57" x14ac:dyDescent="0.3">
      <c r="A388" t="str">
        <f>IF(B388&lt;&gt;"",COUNTA($B$6:B388),"")</f>
        <v/>
      </c>
      <c r="B388" t="str">
        <f>IF(Result_Database!A384="","",Result_Database!A384)</f>
        <v/>
      </c>
      <c r="C388" t="str">
        <f>_xlfn.LET(
_xlpm.result,_xlfn.XLOOKUP($B388,Result_Database!$A$2:$A$500,Result_Database!$B$2:$B$500),
_xlfn.IFNA(_xlpm.result,"")
)</f>
        <v/>
      </c>
      <c r="D388" t="str">
        <f>_xlfn.LET(
  _xlpm.result, _xlfn.XLOOKUP($B388, Result_Database!$A$2:$A$500, Result_Database!C$2:C$500),
  _xlfn.IFNA(_xlpm.result, "")
)</f>
        <v/>
      </c>
      <c r="E388" t="str">
        <f>_xlfn.LET(
  _xlpm.result, _xlfn.XLOOKUP($B388, Result_Database!$A$2:$A$500, Result_Database!D$2:D$500),
  _xlfn.IFNA(_xlpm.result, "")
)</f>
        <v/>
      </c>
      <c r="F388" t="str">
        <f>_xlfn.LET(
  _xlpm.result, _xlfn.XLOOKUP($B388, Result_Database!$A$2:$A$500, Result_Database!E$2:E$500),
  _xlfn.IFNA(_xlpm.result, "")
)</f>
        <v/>
      </c>
      <c r="G388" t="str">
        <f>_xlfn.LET(
  _xlpm.result, _xlfn.XLOOKUP($B388, Result_Database!$A$2:$A$500, Result_Database!F$2:F$500),
  _xlfn.IFNA(_xlpm.result, "")
)</f>
        <v/>
      </c>
      <c r="H388" t="str">
        <f>_xlfn.LET(
  _xlpm.result, _xlfn.XLOOKUP($B388, Result_Database!$A$2:$A$500, Result_Database!G$2:G$500),
  _xlfn.IFNA(_xlpm.result, "")
)</f>
        <v/>
      </c>
      <c r="I388" t="str">
        <f>_xlfn.LET(
  _xlpm.result, _xlfn.XLOOKUP($B388, Result_Database!$A$2:$A$500, Result_Database!H$2:H$500),
  _xlfn.IFNA(_xlpm.result, "")
)</f>
        <v/>
      </c>
      <c r="J388" t="str">
        <f>_xlfn.LET(
  _xlpm.result, _xlfn.XLOOKUP($B388, Result_Database!$A$2:$A$500, Result_Database!I$2:I$500),
  _xlfn.IFNA(_xlpm.result, "")
)</f>
        <v/>
      </c>
      <c r="K388" t="str">
        <f>_xlfn.LET(
  _xlpm.result, _xlfn.XLOOKUP($B388, Result_Database!$A$2:$A$500, Result_Database!J$2:J$500),
  _xlfn.IFNA(_xlpm.result, "")
)</f>
        <v/>
      </c>
      <c r="L388" t="str">
        <f>_xlfn.LET(
  _xlpm.result, _xlfn.XLOOKUP($B388, Result_Database!$A$2:$A$500, Result_Database!K$2:K$500),
  _xlfn.IFNA(_xlpm.result, "")
)</f>
        <v/>
      </c>
      <c r="M388" t="str">
        <f>_xlfn.LET(
  _xlpm.result, _xlfn.XLOOKUP($B388, Result_Database!$A$2:$A$500, Result_Database!L$2:L$500),
  _xlfn.IFNA(_xlpm.result, "")
)</f>
        <v/>
      </c>
      <c r="N388" t="str">
        <f>_xlfn.LET(
  _xlpm.result, _xlfn.XLOOKUP($B388, Result_Database!$A$2:$A$500, Result_Database!M$2:M$500),
  _xlfn.IFNA(_xlpm.result, "")
)</f>
        <v/>
      </c>
      <c r="O388" t="str">
        <f>_xlfn.LET(
  _xlpm.result, _xlfn.XLOOKUP($B388, Result_Database!$A$2:$A$500, Result_Database!N$2:N$500),
  _xlfn.IFNA(_xlpm.result, "")
)</f>
        <v/>
      </c>
      <c r="P388" t="str">
        <f>_xlfn.LET(
  _xlpm.result, _xlfn.XLOOKUP($B388, Result_Database!$A$2:$A$500, Result_Database!O$2:O$500),
  _xlfn.IFNA(_xlpm.result, "")
)</f>
        <v/>
      </c>
      <c r="Q388" t="str">
        <f>_xlfn.LET(
  _xlpm.result, _xlfn.XLOOKUP($B388, Result_Database!$A$2:$A$500, Result_Database!P$2:P$500),
  _xlfn.IFNA(_xlpm.result, "")
)</f>
        <v/>
      </c>
      <c r="R388" t="str">
        <f>_xlfn.LET(
  _xlpm.result, _xlfn.XLOOKUP($B388, Result_Database!$A$2:$A$500, Result_Database!Q$2:Q$500),
  _xlfn.IFNA(_xlpm.result, "")
)</f>
        <v/>
      </c>
      <c r="S388" t="str">
        <f>_xlfn.LET(
  _xlpm.result, _xlfn.XLOOKUP($B388, Result_Database!$A$2:$A$500, Result_Database!R$2:R$500),
  _xlfn.IFNA(_xlpm.result, "")
)</f>
        <v/>
      </c>
      <c r="T388" t="str">
        <f>_xlfn.LET(
  _xlpm.result, _xlfn.XLOOKUP($B388, Result_Database!$A$2:$A$500, Result_Database!S$2:S$500),
  _xlfn.IFNA(_xlpm.result, "")
)</f>
        <v/>
      </c>
      <c r="U388" t="str">
        <f>_xlfn.LET(
  _xlpm.result, _xlfn.XLOOKUP($B388, Result_Database!$A$2:$A$500, Result_Database!T$2:T$500),
  _xlfn.IFNA(_xlpm.result, "")
)</f>
        <v/>
      </c>
      <c r="V388" t="str">
        <f>_xlfn.LET(
  _xlpm.result, _xlfn.XLOOKUP($B388, Result_Database!$A$2:$A$500, Result_Database!U$2:U$500),
  _xlfn.IFNA(_xlpm.result, "")
)</f>
        <v/>
      </c>
      <c r="W388" t="str">
        <f>_xlfn.LET(
  _xlpm.result, _xlfn.XLOOKUP($B388, Result_Database!$A$2:$A$500, Result_Database!V$2:V$500),
  _xlfn.IFNA(_xlpm.result, "")
)</f>
        <v/>
      </c>
      <c r="X388" t="str">
        <f>_xlfn.LET(
  _xlpm.result, _xlfn.XLOOKUP($B388, Result_Database!$A$2:$A$500, Result_Database!W$2:W$500),
  _xlfn.IFNA(_xlpm.result, "")
)</f>
        <v/>
      </c>
      <c r="Y388" t="str">
        <f>_xlfn.LET(
  _xlpm.result, _xlfn.XLOOKUP($B388, Result_Database!$A$2:$A$500, Result_Database!X$2:X$500),
  _xlfn.IFNA(_xlpm.result, "")
)</f>
        <v/>
      </c>
      <c r="Z388" t="str">
        <f>_xlfn.LET(
  _xlpm.result, _xlfn.XLOOKUP($B388, Result_Database!$A$2:$A$500, Result_Database!Y$2:Y$500),
  _xlfn.IFNA(_xlpm.result, "")
)</f>
        <v/>
      </c>
      <c r="AA388" t="str">
        <f>_xlfn.LET(
  _xlpm.result, _xlfn.XLOOKUP($B388, Result_Database!$A$2:$A$500, Result_Database!Z$2:Z$500),
  _xlfn.IFNA(_xlpm.result, "")
)</f>
        <v/>
      </c>
      <c r="AB388" t="str">
        <f>_xlfn.LET(
  _xlpm.result, _xlfn.XLOOKUP($B388, Result_Database!$A$2:$A$500, Result_Database!AA$2:AA$500),
  _xlfn.IFNA(_xlpm.result, "")
)</f>
        <v/>
      </c>
      <c r="AC388" t="str">
        <f>_xlfn.LET(
  _xlpm.result, _xlfn.XLOOKUP($B388, Result_Database!$A$2:$A$500, Result_Database!AB$2:AB$500),
  _xlfn.IFNA(_xlpm.result, "")
)</f>
        <v/>
      </c>
      <c r="AD388" t="str">
        <f>_xlfn.LET(
  _xlpm.result, _xlfn.XLOOKUP($B388, Result_Database!$A$2:$A$500, Result_Database!AC$2:AC$500),
  _xlfn.IFNA(_xlpm.result, "")
)</f>
        <v/>
      </c>
      <c r="AE388" t="str">
        <f>_xlfn.LET(
  _xlpm.result, _xlfn.XLOOKUP($B388, Result_Database!$A$2:$A$500, Result_Database!AD$2:AD$500),
  _xlfn.IFNA(_xlpm.result, "")
)</f>
        <v/>
      </c>
      <c r="AF388" t="str">
        <f>_xlfn.LET(
  _xlpm.result, _xlfn.XLOOKUP($B388, Result_Database!$A$2:$A$500, Result_Database!AE$2:AE$500),
  _xlfn.IFNA(_xlpm.result, "")
)</f>
        <v/>
      </c>
      <c r="AG388" t="str">
        <f>_xlfn.LET(
  _xlpm.result, _xlfn.XLOOKUP($B388, Result_Database!$A$2:$A$500, Result_Database!AF$2:AF$500),
  _xlfn.IFNA(_xlpm.result, "")
)</f>
        <v/>
      </c>
      <c r="AH388" t="str">
        <f>_xlfn.LET(
  _xlpm.result, _xlfn.XLOOKUP($B388, Result_Database!$A$2:$A$500, Result_Database!AG$2:AG$500),
  _xlfn.IFNA(_xlpm.result, "")
)</f>
        <v/>
      </c>
      <c r="AI388" t="str">
        <f>_xlfn.LET(
  _xlpm.result, _xlfn.XLOOKUP($B388, Result_Database!$A$2:$A$500, Result_Database!AH$2:AH$500),
  _xlfn.IFNA(_xlpm.result, "")
)</f>
        <v/>
      </c>
      <c r="AJ388" t="str">
        <f>_xlfn.LET(
  _xlpm.result, _xlfn.XLOOKUP($B388, Result_Database!$A$2:$A$500, Result_Database!AI$2:AI$500),
  _xlfn.IFNA(_xlpm.result, "")
)</f>
        <v/>
      </c>
      <c r="AK388" t="str">
        <f>_xlfn.LET(
  _xlpm.result, _xlfn.XLOOKUP($B388, Result_Database!$A$2:$A$500, Result_Database!AJ$2:AJ$500),
  _xlfn.IFNA(_xlpm.result, "")
)</f>
        <v/>
      </c>
      <c r="AL388" t="str">
        <f>_xlfn.LET(
  _xlpm.result, _xlfn.XLOOKUP($B388, Result_Database!$A$2:$A$500, Result_Database!AK$2:AK$500),
  _xlfn.IFNA(_xlpm.result, "")
)</f>
        <v/>
      </c>
      <c r="AM38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8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8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8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8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8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8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8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8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88" t="str">
        <f>IF(SUM(Table5[[#This Row],[A1]:[C6]])&lt;&gt;0,SUM(Table5[[#This Row],[A1]:[C6]]),"")</f>
        <v/>
      </c>
      <c r="AW388" t="str">
        <f>IF(SUM(Table5[[#This Row],[D7]:[F9]])=0,"",SUM(Table5[[#This Row],[D7]:[F9]]))</f>
        <v/>
      </c>
      <c r="AX38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8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8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8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8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8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88" t="str">
        <f>IF(COUNTIF(Table5[[#This Row],[English Language]:[Electrical/ Electronics]],"WITHHELD")=0,"",COUNTIF(Table5[[#This Row],[English Language]:[Electrical/ Electronics]],"WITHHELD"))</f>
        <v/>
      </c>
      <c r="BE388" t="str">
        <f>IF(SUM(Table5[[#This Row],[NO OF CREDITS]:[BELOW CREDITS]])=0,"",SUM(Table5[[#This Row],[NO OF CREDITS]:[BELOW CREDITS]]))</f>
        <v/>
      </c>
    </row>
    <row r="389" spans="1:57" x14ac:dyDescent="0.3">
      <c r="A389" t="str">
        <f>IF(B389&lt;&gt;"",COUNTA($B$6:B389),"")</f>
        <v/>
      </c>
      <c r="B389" t="str">
        <f>IF(Result_Database!A385="","",Result_Database!A385)</f>
        <v/>
      </c>
      <c r="C389" t="str">
        <f>_xlfn.LET(
_xlpm.result,_xlfn.XLOOKUP($B389,Result_Database!$A$2:$A$500,Result_Database!$B$2:$B$500),
_xlfn.IFNA(_xlpm.result,"")
)</f>
        <v/>
      </c>
      <c r="D389" t="str">
        <f>_xlfn.LET(
  _xlpm.result, _xlfn.XLOOKUP($B389, Result_Database!$A$2:$A$500, Result_Database!C$2:C$500),
  _xlfn.IFNA(_xlpm.result, "")
)</f>
        <v/>
      </c>
      <c r="E389" t="str">
        <f>_xlfn.LET(
  _xlpm.result, _xlfn.XLOOKUP($B389, Result_Database!$A$2:$A$500, Result_Database!D$2:D$500),
  _xlfn.IFNA(_xlpm.result, "")
)</f>
        <v/>
      </c>
      <c r="F389" t="str">
        <f>_xlfn.LET(
  _xlpm.result, _xlfn.XLOOKUP($B389, Result_Database!$A$2:$A$500, Result_Database!E$2:E$500),
  _xlfn.IFNA(_xlpm.result, "")
)</f>
        <v/>
      </c>
      <c r="G389" t="str">
        <f>_xlfn.LET(
  _xlpm.result, _xlfn.XLOOKUP($B389, Result_Database!$A$2:$A$500, Result_Database!F$2:F$500),
  _xlfn.IFNA(_xlpm.result, "")
)</f>
        <v/>
      </c>
      <c r="H389" t="str">
        <f>_xlfn.LET(
  _xlpm.result, _xlfn.XLOOKUP($B389, Result_Database!$A$2:$A$500, Result_Database!G$2:G$500),
  _xlfn.IFNA(_xlpm.result, "")
)</f>
        <v/>
      </c>
      <c r="I389" t="str">
        <f>_xlfn.LET(
  _xlpm.result, _xlfn.XLOOKUP($B389, Result_Database!$A$2:$A$500, Result_Database!H$2:H$500),
  _xlfn.IFNA(_xlpm.result, "")
)</f>
        <v/>
      </c>
      <c r="J389" t="str">
        <f>_xlfn.LET(
  _xlpm.result, _xlfn.XLOOKUP($B389, Result_Database!$A$2:$A$500, Result_Database!I$2:I$500),
  _xlfn.IFNA(_xlpm.result, "")
)</f>
        <v/>
      </c>
      <c r="K389" t="str">
        <f>_xlfn.LET(
  _xlpm.result, _xlfn.XLOOKUP($B389, Result_Database!$A$2:$A$500, Result_Database!J$2:J$500),
  _xlfn.IFNA(_xlpm.result, "")
)</f>
        <v/>
      </c>
      <c r="L389" t="str">
        <f>_xlfn.LET(
  _xlpm.result, _xlfn.XLOOKUP($B389, Result_Database!$A$2:$A$500, Result_Database!K$2:K$500),
  _xlfn.IFNA(_xlpm.result, "")
)</f>
        <v/>
      </c>
      <c r="M389" t="str">
        <f>_xlfn.LET(
  _xlpm.result, _xlfn.XLOOKUP($B389, Result_Database!$A$2:$A$500, Result_Database!L$2:L$500),
  _xlfn.IFNA(_xlpm.result, "")
)</f>
        <v/>
      </c>
      <c r="N389" t="str">
        <f>_xlfn.LET(
  _xlpm.result, _xlfn.XLOOKUP($B389, Result_Database!$A$2:$A$500, Result_Database!M$2:M$500),
  _xlfn.IFNA(_xlpm.result, "")
)</f>
        <v/>
      </c>
      <c r="O389" t="str">
        <f>_xlfn.LET(
  _xlpm.result, _xlfn.XLOOKUP($B389, Result_Database!$A$2:$A$500, Result_Database!N$2:N$500),
  _xlfn.IFNA(_xlpm.result, "")
)</f>
        <v/>
      </c>
      <c r="P389" t="str">
        <f>_xlfn.LET(
  _xlpm.result, _xlfn.XLOOKUP($B389, Result_Database!$A$2:$A$500, Result_Database!O$2:O$500),
  _xlfn.IFNA(_xlpm.result, "")
)</f>
        <v/>
      </c>
      <c r="Q389" t="str">
        <f>_xlfn.LET(
  _xlpm.result, _xlfn.XLOOKUP($B389, Result_Database!$A$2:$A$500, Result_Database!P$2:P$500),
  _xlfn.IFNA(_xlpm.result, "")
)</f>
        <v/>
      </c>
      <c r="R389" t="str">
        <f>_xlfn.LET(
  _xlpm.result, _xlfn.XLOOKUP($B389, Result_Database!$A$2:$A$500, Result_Database!Q$2:Q$500),
  _xlfn.IFNA(_xlpm.result, "")
)</f>
        <v/>
      </c>
      <c r="S389" t="str">
        <f>_xlfn.LET(
  _xlpm.result, _xlfn.XLOOKUP($B389, Result_Database!$A$2:$A$500, Result_Database!R$2:R$500),
  _xlfn.IFNA(_xlpm.result, "")
)</f>
        <v/>
      </c>
      <c r="T389" t="str">
        <f>_xlfn.LET(
  _xlpm.result, _xlfn.XLOOKUP($B389, Result_Database!$A$2:$A$500, Result_Database!S$2:S$500),
  _xlfn.IFNA(_xlpm.result, "")
)</f>
        <v/>
      </c>
      <c r="U389" t="str">
        <f>_xlfn.LET(
  _xlpm.result, _xlfn.XLOOKUP($B389, Result_Database!$A$2:$A$500, Result_Database!T$2:T$500),
  _xlfn.IFNA(_xlpm.result, "")
)</f>
        <v/>
      </c>
      <c r="V389" t="str">
        <f>_xlfn.LET(
  _xlpm.result, _xlfn.XLOOKUP($B389, Result_Database!$A$2:$A$500, Result_Database!U$2:U$500),
  _xlfn.IFNA(_xlpm.result, "")
)</f>
        <v/>
      </c>
      <c r="W389" t="str">
        <f>_xlfn.LET(
  _xlpm.result, _xlfn.XLOOKUP($B389, Result_Database!$A$2:$A$500, Result_Database!V$2:V$500),
  _xlfn.IFNA(_xlpm.result, "")
)</f>
        <v/>
      </c>
      <c r="X389" t="str">
        <f>_xlfn.LET(
  _xlpm.result, _xlfn.XLOOKUP($B389, Result_Database!$A$2:$A$500, Result_Database!W$2:W$500),
  _xlfn.IFNA(_xlpm.result, "")
)</f>
        <v/>
      </c>
      <c r="Y389" t="str">
        <f>_xlfn.LET(
  _xlpm.result, _xlfn.XLOOKUP($B389, Result_Database!$A$2:$A$500, Result_Database!X$2:X$500),
  _xlfn.IFNA(_xlpm.result, "")
)</f>
        <v/>
      </c>
      <c r="Z389" t="str">
        <f>_xlfn.LET(
  _xlpm.result, _xlfn.XLOOKUP($B389, Result_Database!$A$2:$A$500, Result_Database!Y$2:Y$500),
  _xlfn.IFNA(_xlpm.result, "")
)</f>
        <v/>
      </c>
      <c r="AA389" t="str">
        <f>_xlfn.LET(
  _xlpm.result, _xlfn.XLOOKUP($B389, Result_Database!$A$2:$A$500, Result_Database!Z$2:Z$500),
  _xlfn.IFNA(_xlpm.result, "")
)</f>
        <v/>
      </c>
      <c r="AB389" t="str">
        <f>_xlfn.LET(
  _xlpm.result, _xlfn.XLOOKUP($B389, Result_Database!$A$2:$A$500, Result_Database!AA$2:AA$500),
  _xlfn.IFNA(_xlpm.result, "")
)</f>
        <v/>
      </c>
      <c r="AC389" t="str">
        <f>_xlfn.LET(
  _xlpm.result, _xlfn.XLOOKUP($B389, Result_Database!$A$2:$A$500, Result_Database!AB$2:AB$500),
  _xlfn.IFNA(_xlpm.result, "")
)</f>
        <v/>
      </c>
      <c r="AD389" t="str">
        <f>_xlfn.LET(
  _xlpm.result, _xlfn.XLOOKUP($B389, Result_Database!$A$2:$A$500, Result_Database!AC$2:AC$500),
  _xlfn.IFNA(_xlpm.result, "")
)</f>
        <v/>
      </c>
      <c r="AE389" t="str">
        <f>_xlfn.LET(
  _xlpm.result, _xlfn.XLOOKUP($B389, Result_Database!$A$2:$A$500, Result_Database!AD$2:AD$500),
  _xlfn.IFNA(_xlpm.result, "")
)</f>
        <v/>
      </c>
      <c r="AF389" t="str">
        <f>_xlfn.LET(
  _xlpm.result, _xlfn.XLOOKUP($B389, Result_Database!$A$2:$A$500, Result_Database!AE$2:AE$500),
  _xlfn.IFNA(_xlpm.result, "")
)</f>
        <v/>
      </c>
      <c r="AG389" t="str">
        <f>_xlfn.LET(
  _xlpm.result, _xlfn.XLOOKUP($B389, Result_Database!$A$2:$A$500, Result_Database!AF$2:AF$500),
  _xlfn.IFNA(_xlpm.result, "")
)</f>
        <v/>
      </c>
      <c r="AH389" t="str">
        <f>_xlfn.LET(
  _xlpm.result, _xlfn.XLOOKUP($B389, Result_Database!$A$2:$A$500, Result_Database!AG$2:AG$500),
  _xlfn.IFNA(_xlpm.result, "")
)</f>
        <v/>
      </c>
      <c r="AI389" t="str">
        <f>_xlfn.LET(
  _xlpm.result, _xlfn.XLOOKUP($B389, Result_Database!$A$2:$A$500, Result_Database!AH$2:AH$500),
  _xlfn.IFNA(_xlpm.result, "")
)</f>
        <v/>
      </c>
      <c r="AJ389" t="str">
        <f>_xlfn.LET(
  _xlpm.result, _xlfn.XLOOKUP($B389, Result_Database!$A$2:$A$500, Result_Database!AI$2:AI$500),
  _xlfn.IFNA(_xlpm.result, "")
)</f>
        <v/>
      </c>
      <c r="AK389" t="str">
        <f>_xlfn.LET(
  _xlpm.result, _xlfn.XLOOKUP($B389, Result_Database!$A$2:$A$500, Result_Database!AJ$2:AJ$500),
  _xlfn.IFNA(_xlpm.result, "")
)</f>
        <v/>
      </c>
      <c r="AL389" t="str">
        <f>_xlfn.LET(
  _xlpm.result, _xlfn.XLOOKUP($B389, Result_Database!$A$2:$A$500, Result_Database!AK$2:AK$500),
  _xlfn.IFNA(_xlpm.result, "")
)</f>
        <v/>
      </c>
      <c r="AM38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8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8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8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8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8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8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8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8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89" t="str">
        <f>IF(SUM(Table5[[#This Row],[A1]:[C6]])&lt;&gt;0,SUM(Table5[[#This Row],[A1]:[C6]]),"")</f>
        <v/>
      </c>
      <c r="AW389" t="str">
        <f>IF(SUM(Table5[[#This Row],[D7]:[F9]])=0,"",SUM(Table5[[#This Row],[D7]:[F9]]))</f>
        <v/>
      </c>
      <c r="AX38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8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8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8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8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8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89" t="str">
        <f>IF(COUNTIF(Table5[[#This Row],[English Language]:[Electrical/ Electronics]],"WITHHELD")=0,"",COUNTIF(Table5[[#This Row],[English Language]:[Electrical/ Electronics]],"WITHHELD"))</f>
        <v/>
      </c>
      <c r="BE389" t="str">
        <f>IF(SUM(Table5[[#This Row],[NO OF CREDITS]:[BELOW CREDITS]])=0,"",SUM(Table5[[#This Row],[NO OF CREDITS]:[BELOW CREDITS]]))</f>
        <v/>
      </c>
    </row>
    <row r="390" spans="1:57" x14ac:dyDescent="0.3">
      <c r="A390" t="str">
        <f>IF(B390&lt;&gt;"",COUNTA($B$6:B390),"")</f>
        <v/>
      </c>
      <c r="B390" t="str">
        <f>IF(Result_Database!A386="","",Result_Database!A386)</f>
        <v/>
      </c>
      <c r="C390" t="str">
        <f>_xlfn.LET(
_xlpm.result,_xlfn.XLOOKUP($B390,Result_Database!$A$2:$A$500,Result_Database!$B$2:$B$500),
_xlfn.IFNA(_xlpm.result,"")
)</f>
        <v/>
      </c>
      <c r="D390" t="str">
        <f>_xlfn.LET(
  _xlpm.result, _xlfn.XLOOKUP($B390, Result_Database!$A$2:$A$500, Result_Database!C$2:C$500),
  _xlfn.IFNA(_xlpm.result, "")
)</f>
        <v/>
      </c>
      <c r="E390" t="str">
        <f>_xlfn.LET(
  _xlpm.result, _xlfn.XLOOKUP($B390, Result_Database!$A$2:$A$500, Result_Database!D$2:D$500),
  _xlfn.IFNA(_xlpm.result, "")
)</f>
        <v/>
      </c>
      <c r="F390" t="str">
        <f>_xlfn.LET(
  _xlpm.result, _xlfn.XLOOKUP($B390, Result_Database!$A$2:$A$500, Result_Database!E$2:E$500),
  _xlfn.IFNA(_xlpm.result, "")
)</f>
        <v/>
      </c>
      <c r="G390" t="str">
        <f>_xlfn.LET(
  _xlpm.result, _xlfn.XLOOKUP($B390, Result_Database!$A$2:$A$500, Result_Database!F$2:F$500),
  _xlfn.IFNA(_xlpm.result, "")
)</f>
        <v/>
      </c>
      <c r="H390" t="str">
        <f>_xlfn.LET(
  _xlpm.result, _xlfn.XLOOKUP($B390, Result_Database!$A$2:$A$500, Result_Database!G$2:G$500),
  _xlfn.IFNA(_xlpm.result, "")
)</f>
        <v/>
      </c>
      <c r="I390" t="str">
        <f>_xlfn.LET(
  _xlpm.result, _xlfn.XLOOKUP($B390, Result_Database!$A$2:$A$500, Result_Database!H$2:H$500),
  _xlfn.IFNA(_xlpm.result, "")
)</f>
        <v/>
      </c>
      <c r="J390" t="str">
        <f>_xlfn.LET(
  _xlpm.result, _xlfn.XLOOKUP($B390, Result_Database!$A$2:$A$500, Result_Database!I$2:I$500),
  _xlfn.IFNA(_xlpm.result, "")
)</f>
        <v/>
      </c>
      <c r="K390" t="str">
        <f>_xlfn.LET(
  _xlpm.result, _xlfn.XLOOKUP($B390, Result_Database!$A$2:$A$500, Result_Database!J$2:J$500),
  _xlfn.IFNA(_xlpm.result, "")
)</f>
        <v/>
      </c>
      <c r="L390" t="str">
        <f>_xlfn.LET(
  _xlpm.result, _xlfn.XLOOKUP($B390, Result_Database!$A$2:$A$500, Result_Database!K$2:K$500),
  _xlfn.IFNA(_xlpm.result, "")
)</f>
        <v/>
      </c>
      <c r="M390" t="str">
        <f>_xlfn.LET(
  _xlpm.result, _xlfn.XLOOKUP($B390, Result_Database!$A$2:$A$500, Result_Database!L$2:L$500),
  _xlfn.IFNA(_xlpm.result, "")
)</f>
        <v/>
      </c>
      <c r="N390" t="str">
        <f>_xlfn.LET(
  _xlpm.result, _xlfn.XLOOKUP($B390, Result_Database!$A$2:$A$500, Result_Database!M$2:M$500),
  _xlfn.IFNA(_xlpm.result, "")
)</f>
        <v/>
      </c>
      <c r="O390" t="str">
        <f>_xlfn.LET(
  _xlpm.result, _xlfn.XLOOKUP($B390, Result_Database!$A$2:$A$500, Result_Database!N$2:N$500),
  _xlfn.IFNA(_xlpm.result, "")
)</f>
        <v/>
      </c>
      <c r="P390" t="str">
        <f>_xlfn.LET(
  _xlpm.result, _xlfn.XLOOKUP($B390, Result_Database!$A$2:$A$500, Result_Database!O$2:O$500),
  _xlfn.IFNA(_xlpm.result, "")
)</f>
        <v/>
      </c>
      <c r="Q390" t="str">
        <f>_xlfn.LET(
  _xlpm.result, _xlfn.XLOOKUP($B390, Result_Database!$A$2:$A$500, Result_Database!P$2:P$500),
  _xlfn.IFNA(_xlpm.result, "")
)</f>
        <v/>
      </c>
      <c r="R390" t="str">
        <f>_xlfn.LET(
  _xlpm.result, _xlfn.XLOOKUP($B390, Result_Database!$A$2:$A$500, Result_Database!Q$2:Q$500),
  _xlfn.IFNA(_xlpm.result, "")
)</f>
        <v/>
      </c>
      <c r="S390" t="str">
        <f>_xlfn.LET(
  _xlpm.result, _xlfn.XLOOKUP($B390, Result_Database!$A$2:$A$500, Result_Database!R$2:R$500),
  _xlfn.IFNA(_xlpm.result, "")
)</f>
        <v/>
      </c>
      <c r="T390" t="str">
        <f>_xlfn.LET(
  _xlpm.result, _xlfn.XLOOKUP($B390, Result_Database!$A$2:$A$500, Result_Database!S$2:S$500),
  _xlfn.IFNA(_xlpm.result, "")
)</f>
        <v/>
      </c>
      <c r="U390" t="str">
        <f>_xlfn.LET(
  _xlpm.result, _xlfn.XLOOKUP($B390, Result_Database!$A$2:$A$500, Result_Database!T$2:T$500),
  _xlfn.IFNA(_xlpm.result, "")
)</f>
        <v/>
      </c>
      <c r="V390" t="str">
        <f>_xlfn.LET(
  _xlpm.result, _xlfn.XLOOKUP($B390, Result_Database!$A$2:$A$500, Result_Database!U$2:U$500),
  _xlfn.IFNA(_xlpm.result, "")
)</f>
        <v/>
      </c>
      <c r="W390" t="str">
        <f>_xlfn.LET(
  _xlpm.result, _xlfn.XLOOKUP($B390, Result_Database!$A$2:$A$500, Result_Database!V$2:V$500),
  _xlfn.IFNA(_xlpm.result, "")
)</f>
        <v/>
      </c>
      <c r="X390" t="str">
        <f>_xlfn.LET(
  _xlpm.result, _xlfn.XLOOKUP($B390, Result_Database!$A$2:$A$500, Result_Database!W$2:W$500),
  _xlfn.IFNA(_xlpm.result, "")
)</f>
        <v/>
      </c>
      <c r="Y390" t="str">
        <f>_xlfn.LET(
  _xlpm.result, _xlfn.XLOOKUP($B390, Result_Database!$A$2:$A$500, Result_Database!X$2:X$500),
  _xlfn.IFNA(_xlpm.result, "")
)</f>
        <v/>
      </c>
      <c r="Z390" t="str">
        <f>_xlfn.LET(
  _xlpm.result, _xlfn.XLOOKUP($B390, Result_Database!$A$2:$A$500, Result_Database!Y$2:Y$500),
  _xlfn.IFNA(_xlpm.result, "")
)</f>
        <v/>
      </c>
      <c r="AA390" t="str">
        <f>_xlfn.LET(
  _xlpm.result, _xlfn.XLOOKUP($B390, Result_Database!$A$2:$A$500, Result_Database!Z$2:Z$500),
  _xlfn.IFNA(_xlpm.result, "")
)</f>
        <v/>
      </c>
      <c r="AB390" t="str">
        <f>_xlfn.LET(
  _xlpm.result, _xlfn.XLOOKUP($B390, Result_Database!$A$2:$A$500, Result_Database!AA$2:AA$500),
  _xlfn.IFNA(_xlpm.result, "")
)</f>
        <v/>
      </c>
      <c r="AC390" t="str">
        <f>_xlfn.LET(
  _xlpm.result, _xlfn.XLOOKUP($B390, Result_Database!$A$2:$A$500, Result_Database!AB$2:AB$500),
  _xlfn.IFNA(_xlpm.result, "")
)</f>
        <v/>
      </c>
      <c r="AD390" t="str">
        <f>_xlfn.LET(
  _xlpm.result, _xlfn.XLOOKUP($B390, Result_Database!$A$2:$A$500, Result_Database!AC$2:AC$500),
  _xlfn.IFNA(_xlpm.result, "")
)</f>
        <v/>
      </c>
      <c r="AE390" t="str">
        <f>_xlfn.LET(
  _xlpm.result, _xlfn.XLOOKUP($B390, Result_Database!$A$2:$A$500, Result_Database!AD$2:AD$500),
  _xlfn.IFNA(_xlpm.result, "")
)</f>
        <v/>
      </c>
      <c r="AF390" t="str">
        <f>_xlfn.LET(
  _xlpm.result, _xlfn.XLOOKUP($B390, Result_Database!$A$2:$A$500, Result_Database!AE$2:AE$500),
  _xlfn.IFNA(_xlpm.result, "")
)</f>
        <v/>
      </c>
      <c r="AG390" t="str">
        <f>_xlfn.LET(
  _xlpm.result, _xlfn.XLOOKUP($B390, Result_Database!$A$2:$A$500, Result_Database!AF$2:AF$500),
  _xlfn.IFNA(_xlpm.result, "")
)</f>
        <v/>
      </c>
      <c r="AH390" t="str">
        <f>_xlfn.LET(
  _xlpm.result, _xlfn.XLOOKUP($B390, Result_Database!$A$2:$A$500, Result_Database!AG$2:AG$500),
  _xlfn.IFNA(_xlpm.result, "")
)</f>
        <v/>
      </c>
      <c r="AI390" t="str">
        <f>_xlfn.LET(
  _xlpm.result, _xlfn.XLOOKUP($B390, Result_Database!$A$2:$A$500, Result_Database!AH$2:AH$500),
  _xlfn.IFNA(_xlpm.result, "")
)</f>
        <v/>
      </c>
      <c r="AJ390" t="str">
        <f>_xlfn.LET(
  _xlpm.result, _xlfn.XLOOKUP($B390, Result_Database!$A$2:$A$500, Result_Database!AI$2:AI$500),
  _xlfn.IFNA(_xlpm.result, "")
)</f>
        <v/>
      </c>
      <c r="AK390" t="str">
        <f>_xlfn.LET(
  _xlpm.result, _xlfn.XLOOKUP($B390, Result_Database!$A$2:$A$500, Result_Database!AJ$2:AJ$500),
  _xlfn.IFNA(_xlpm.result, "")
)</f>
        <v/>
      </c>
      <c r="AL390" t="str">
        <f>_xlfn.LET(
  _xlpm.result, _xlfn.XLOOKUP($B390, Result_Database!$A$2:$A$500, Result_Database!AK$2:AK$500),
  _xlfn.IFNA(_xlpm.result, "")
)</f>
        <v/>
      </c>
      <c r="AM39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9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9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9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9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9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9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9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9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90" t="str">
        <f>IF(SUM(Table5[[#This Row],[A1]:[C6]])&lt;&gt;0,SUM(Table5[[#This Row],[A1]:[C6]]),"")</f>
        <v/>
      </c>
      <c r="AW390" t="str">
        <f>IF(SUM(Table5[[#This Row],[D7]:[F9]])=0,"",SUM(Table5[[#This Row],[D7]:[F9]]))</f>
        <v/>
      </c>
      <c r="AX39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9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9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9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9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9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90" t="str">
        <f>IF(COUNTIF(Table5[[#This Row],[English Language]:[Electrical/ Electronics]],"WITHHELD")=0,"",COUNTIF(Table5[[#This Row],[English Language]:[Electrical/ Electronics]],"WITHHELD"))</f>
        <v/>
      </c>
      <c r="BE390" t="str">
        <f>IF(SUM(Table5[[#This Row],[NO OF CREDITS]:[BELOW CREDITS]])=0,"",SUM(Table5[[#This Row],[NO OF CREDITS]:[BELOW CREDITS]]))</f>
        <v/>
      </c>
    </row>
    <row r="391" spans="1:57" x14ac:dyDescent="0.3">
      <c r="A391" t="str">
        <f>IF(B391&lt;&gt;"",COUNTA($B$6:B391),"")</f>
        <v/>
      </c>
      <c r="B391" t="str">
        <f>IF(Result_Database!A387="","",Result_Database!A387)</f>
        <v/>
      </c>
      <c r="C391" t="str">
        <f>_xlfn.LET(
_xlpm.result,_xlfn.XLOOKUP($B391,Result_Database!$A$2:$A$500,Result_Database!$B$2:$B$500),
_xlfn.IFNA(_xlpm.result,"")
)</f>
        <v/>
      </c>
      <c r="D391" t="str">
        <f>_xlfn.LET(
  _xlpm.result, _xlfn.XLOOKUP($B391, Result_Database!$A$2:$A$500, Result_Database!C$2:C$500),
  _xlfn.IFNA(_xlpm.result, "")
)</f>
        <v/>
      </c>
      <c r="E391" t="str">
        <f>_xlfn.LET(
  _xlpm.result, _xlfn.XLOOKUP($B391, Result_Database!$A$2:$A$500, Result_Database!D$2:D$500),
  _xlfn.IFNA(_xlpm.result, "")
)</f>
        <v/>
      </c>
      <c r="F391" t="str">
        <f>_xlfn.LET(
  _xlpm.result, _xlfn.XLOOKUP($B391, Result_Database!$A$2:$A$500, Result_Database!E$2:E$500),
  _xlfn.IFNA(_xlpm.result, "")
)</f>
        <v/>
      </c>
      <c r="G391" t="str">
        <f>_xlfn.LET(
  _xlpm.result, _xlfn.XLOOKUP($B391, Result_Database!$A$2:$A$500, Result_Database!F$2:F$500),
  _xlfn.IFNA(_xlpm.result, "")
)</f>
        <v/>
      </c>
      <c r="H391" t="str">
        <f>_xlfn.LET(
  _xlpm.result, _xlfn.XLOOKUP($B391, Result_Database!$A$2:$A$500, Result_Database!G$2:G$500),
  _xlfn.IFNA(_xlpm.result, "")
)</f>
        <v/>
      </c>
      <c r="I391" t="str">
        <f>_xlfn.LET(
  _xlpm.result, _xlfn.XLOOKUP($B391, Result_Database!$A$2:$A$500, Result_Database!H$2:H$500),
  _xlfn.IFNA(_xlpm.result, "")
)</f>
        <v/>
      </c>
      <c r="J391" t="str">
        <f>_xlfn.LET(
  _xlpm.result, _xlfn.XLOOKUP($B391, Result_Database!$A$2:$A$500, Result_Database!I$2:I$500),
  _xlfn.IFNA(_xlpm.result, "")
)</f>
        <v/>
      </c>
      <c r="K391" t="str">
        <f>_xlfn.LET(
  _xlpm.result, _xlfn.XLOOKUP($B391, Result_Database!$A$2:$A$500, Result_Database!J$2:J$500),
  _xlfn.IFNA(_xlpm.result, "")
)</f>
        <v/>
      </c>
      <c r="L391" t="str">
        <f>_xlfn.LET(
  _xlpm.result, _xlfn.XLOOKUP($B391, Result_Database!$A$2:$A$500, Result_Database!K$2:K$500),
  _xlfn.IFNA(_xlpm.result, "")
)</f>
        <v/>
      </c>
      <c r="M391" t="str">
        <f>_xlfn.LET(
  _xlpm.result, _xlfn.XLOOKUP($B391, Result_Database!$A$2:$A$500, Result_Database!L$2:L$500),
  _xlfn.IFNA(_xlpm.result, "")
)</f>
        <v/>
      </c>
      <c r="N391" t="str">
        <f>_xlfn.LET(
  _xlpm.result, _xlfn.XLOOKUP($B391, Result_Database!$A$2:$A$500, Result_Database!M$2:M$500),
  _xlfn.IFNA(_xlpm.result, "")
)</f>
        <v/>
      </c>
      <c r="O391" t="str">
        <f>_xlfn.LET(
  _xlpm.result, _xlfn.XLOOKUP($B391, Result_Database!$A$2:$A$500, Result_Database!N$2:N$500),
  _xlfn.IFNA(_xlpm.result, "")
)</f>
        <v/>
      </c>
      <c r="P391" t="str">
        <f>_xlfn.LET(
  _xlpm.result, _xlfn.XLOOKUP($B391, Result_Database!$A$2:$A$500, Result_Database!O$2:O$500),
  _xlfn.IFNA(_xlpm.result, "")
)</f>
        <v/>
      </c>
      <c r="Q391" t="str">
        <f>_xlfn.LET(
  _xlpm.result, _xlfn.XLOOKUP($B391, Result_Database!$A$2:$A$500, Result_Database!P$2:P$500),
  _xlfn.IFNA(_xlpm.result, "")
)</f>
        <v/>
      </c>
      <c r="R391" t="str">
        <f>_xlfn.LET(
  _xlpm.result, _xlfn.XLOOKUP($B391, Result_Database!$A$2:$A$500, Result_Database!Q$2:Q$500),
  _xlfn.IFNA(_xlpm.result, "")
)</f>
        <v/>
      </c>
      <c r="S391" t="str">
        <f>_xlfn.LET(
  _xlpm.result, _xlfn.XLOOKUP($B391, Result_Database!$A$2:$A$500, Result_Database!R$2:R$500),
  _xlfn.IFNA(_xlpm.result, "")
)</f>
        <v/>
      </c>
      <c r="T391" t="str">
        <f>_xlfn.LET(
  _xlpm.result, _xlfn.XLOOKUP($B391, Result_Database!$A$2:$A$500, Result_Database!S$2:S$500),
  _xlfn.IFNA(_xlpm.result, "")
)</f>
        <v/>
      </c>
      <c r="U391" t="str">
        <f>_xlfn.LET(
  _xlpm.result, _xlfn.XLOOKUP($B391, Result_Database!$A$2:$A$500, Result_Database!T$2:T$500),
  _xlfn.IFNA(_xlpm.result, "")
)</f>
        <v/>
      </c>
      <c r="V391" t="str">
        <f>_xlfn.LET(
  _xlpm.result, _xlfn.XLOOKUP($B391, Result_Database!$A$2:$A$500, Result_Database!U$2:U$500),
  _xlfn.IFNA(_xlpm.result, "")
)</f>
        <v/>
      </c>
      <c r="W391" t="str">
        <f>_xlfn.LET(
  _xlpm.result, _xlfn.XLOOKUP($B391, Result_Database!$A$2:$A$500, Result_Database!V$2:V$500),
  _xlfn.IFNA(_xlpm.result, "")
)</f>
        <v/>
      </c>
      <c r="X391" t="str">
        <f>_xlfn.LET(
  _xlpm.result, _xlfn.XLOOKUP($B391, Result_Database!$A$2:$A$500, Result_Database!W$2:W$500),
  _xlfn.IFNA(_xlpm.result, "")
)</f>
        <v/>
      </c>
      <c r="Y391" t="str">
        <f>_xlfn.LET(
  _xlpm.result, _xlfn.XLOOKUP($B391, Result_Database!$A$2:$A$500, Result_Database!X$2:X$500),
  _xlfn.IFNA(_xlpm.result, "")
)</f>
        <v/>
      </c>
      <c r="Z391" t="str">
        <f>_xlfn.LET(
  _xlpm.result, _xlfn.XLOOKUP($B391, Result_Database!$A$2:$A$500, Result_Database!Y$2:Y$500),
  _xlfn.IFNA(_xlpm.result, "")
)</f>
        <v/>
      </c>
      <c r="AA391" t="str">
        <f>_xlfn.LET(
  _xlpm.result, _xlfn.XLOOKUP($B391, Result_Database!$A$2:$A$500, Result_Database!Z$2:Z$500),
  _xlfn.IFNA(_xlpm.result, "")
)</f>
        <v/>
      </c>
      <c r="AB391" t="str">
        <f>_xlfn.LET(
  _xlpm.result, _xlfn.XLOOKUP($B391, Result_Database!$A$2:$A$500, Result_Database!AA$2:AA$500),
  _xlfn.IFNA(_xlpm.result, "")
)</f>
        <v/>
      </c>
      <c r="AC391" t="str">
        <f>_xlfn.LET(
  _xlpm.result, _xlfn.XLOOKUP($B391, Result_Database!$A$2:$A$500, Result_Database!AB$2:AB$500),
  _xlfn.IFNA(_xlpm.result, "")
)</f>
        <v/>
      </c>
      <c r="AD391" t="str">
        <f>_xlfn.LET(
  _xlpm.result, _xlfn.XLOOKUP($B391, Result_Database!$A$2:$A$500, Result_Database!AC$2:AC$500),
  _xlfn.IFNA(_xlpm.result, "")
)</f>
        <v/>
      </c>
      <c r="AE391" t="str">
        <f>_xlfn.LET(
  _xlpm.result, _xlfn.XLOOKUP($B391, Result_Database!$A$2:$A$500, Result_Database!AD$2:AD$500),
  _xlfn.IFNA(_xlpm.result, "")
)</f>
        <v/>
      </c>
      <c r="AF391" t="str">
        <f>_xlfn.LET(
  _xlpm.result, _xlfn.XLOOKUP($B391, Result_Database!$A$2:$A$500, Result_Database!AE$2:AE$500),
  _xlfn.IFNA(_xlpm.result, "")
)</f>
        <v/>
      </c>
      <c r="AG391" t="str">
        <f>_xlfn.LET(
  _xlpm.result, _xlfn.XLOOKUP($B391, Result_Database!$A$2:$A$500, Result_Database!AF$2:AF$500),
  _xlfn.IFNA(_xlpm.result, "")
)</f>
        <v/>
      </c>
      <c r="AH391" t="str">
        <f>_xlfn.LET(
  _xlpm.result, _xlfn.XLOOKUP($B391, Result_Database!$A$2:$A$500, Result_Database!AG$2:AG$500),
  _xlfn.IFNA(_xlpm.result, "")
)</f>
        <v/>
      </c>
      <c r="AI391" t="str">
        <f>_xlfn.LET(
  _xlpm.result, _xlfn.XLOOKUP($B391, Result_Database!$A$2:$A$500, Result_Database!AH$2:AH$500),
  _xlfn.IFNA(_xlpm.result, "")
)</f>
        <v/>
      </c>
      <c r="AJ391" t="str">
        <f>_xlfn.LET(
  _xlpm.result, _xlfn.XLOOKUP($B391, Result_Database!$A$2:$A$500, Result_Database!AI$2:AI$500),
  _xlfn.IFNA(_xlpm.result, "")
)</f>
        <v/>
      </c>
      <c r="AK391" t="str">
        <f>_xlfn.LET(
  _xlpm.result, _xlfn.XLOOKUP($B391, Result_Database!$A$2:$A$500, Result_Database!AJ$2:AJ$500),
  _xlfn.IFNA(_xlpm.result, "")
)</f>
        <v/>
      </c>
      <c r="AL391" t="str">
        <f>_xlfn.LET(
  _xlpm.result, _xlfn.XLOOKUP($B391, Result_Database!$A$2:$A$500, Result_Database!AK$2:AK$500),
  _xlfn.IFNA(_xlpm.result, "")
)</f>
        <v/>
      </c>
      <c r="AM39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9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9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9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9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9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9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9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9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91" t="str">
        <f>IF(SUM(Table5[[#This Row],[A1]:[C6]])&lt;&gt;0,SUM(Table5[[#This Row],[A1]:[C6]]),"")</f>
        <v/>
      </c>
      <c r="AW391" t="str">
        <f>IF(SUM(Table5[[#This Row],[D7]:[F9]])=0,"",SUM(Table5[[#This Row],[D7]:[F9]]))</f>
        <v/>
      </c>
      <c r="AX39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9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9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9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9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9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91" t="str">
        <f>IF(COUNTIF(Table5[[#This Row],[English Language]:[Electrical/ Electronics]],"WITHHELD")=0,"",COUNTIF(Table5[[#This Row],[English Language]:[Electrical/ Electronics]],"WITHHELD"))</f>
        <v/>
      </c>
      <c r="BE391" t="str">
        <f>IF(SUM(Table5[[#This Row],[NO OF CREDITS]:[BELOW CREDITS]])=0,"",SUM(Table5[[#This Row],[NO OF CREDITS]:[BELOW CREDITS]]))</f>
        <v/>
      </c>
    </row>
    <row r="392" spans="1:57" x14ac:dyDescent="0.3">
      <c r="A392" t="str">
        <f>IF(B392&lt;&gt;"",COUNTA($B$6:B392),"")</f>
        <v/>
      </c>
      <c r="B392" t="str">
        <f>IF(Result_Database!A388="","",Result_Database!A388)</f>
        <v/>
      </c>
      <c r="C392" t="str">
        <f>_xlfn.LET(
_xlpm.result,_xlfn.XLOOKUP($B392,Result_Database!$A$2:$A$500,Result_Database!$B$2:$B$500),
_xlfn.IFNA(_xlpm.result,"")
)</f>
        <v/>
      </c>
      <c r="D392" t="str">
        <f>_xlfn.LET(
  _xlpm.result, _xlfn.XLOOKUP($B392, Result_Database!$A$2:$A$500, Result_Database!C$2:C$500),
  _xlfn.IFNA(_xlpm.result, "")
)</f>
        <v/>
      </c>
      <c r="E392" t="str">
        <f>_xlfn.LET(
  _xlpm.result, _xlfn.XLOOKUP($B392, Result_Database!$A$2:$A$500, Result_Database!D$2:D$500),
  _xlfn.IFNA(_xlpm.result, "")
)</f>
        <v/>
      </c>
      <c r="F392" t="str">
        <f>_xlfn.LET(
  _xlpm.result, _xlfn.XLOOKUP($B392, Result_Database!$A$2:$A$500, Result_Database!E$2:E$500),
  _xlfn.IFNA(_xlpm.result, "")
)</f>
        <v/>
      </c>
      <c r="G392" t="str">
        <f>_xlfn.LET(
  _xlpm.result, _xlfn.XLOOKUP($B392, Result_Database!$A$2:$A$500, Result_Database!F$2:F$500),
  _xlfn.IFNA(_xlpm.result, "")
)</f>
        <v/>
      </c>
      <c r="H392" t="str">
        <f>_xlfn.LET(
  _xlpm.result, _xlfn.XLOOKUP($B392, Result_Database!$A$2:$A$500, Result_Database!G$2:G$500),
  _xlfn.IFNA(_xlpm.result, "")
)</f>
        <v/>
      </c>
      <c r="I392" t="str">
        <f>_xlfn.LET(
  _xlpm.result, _xlfn.XLOOKUP($B392, Result_Database!$A$2:$A$500, Result_Database!H$2:H$500),
  _xlfn.IFNA(_xlpm.result, "")
)</f>
        <v/>
      </c>
      <c r="J392" t="str">
        <f>_xlfn.LET(
  _xlpm.result, _xlfn.XLOOKUP($B392, Result_Database!$A$2:$A$500, Result_Database!I$2:I$500),
  _xlfn.IFNA(_xlpm.result, "")
)</f>
        <v/>
      </c>
      <c r="K392" t="str">
        <f>_xlfn.LET(
  _xlpm.result, _xlfn.XLOOKUP($B392, Result_Database!$A$2:$A$500, Result_Database!J$2:J$500),
  _xlfn.IFNA(_xlpm.result, "")
)</f>
        <v/>
      </c>
      <c r="L392" t="str">
        <f>_xlfn.LET(
  _xlpm.result, _xlfn.XLOOKUP($B392, Result_Database!$A$2:$A$500, Result_Database!K$2:K$500),
  _xlfn.IFNA(_xlpm.result, "")
)</f>
        <v/>
      </c>
      <c r="M392" t="str">
        <f>_xlfn.LET(
  _xlpm.result, _xlfn.XLOOKUP($B392, Result_Database!$A$2:$A$500, Result_Database!L$2:L$500),
  _xlfn.IFNA(_xlpm.result, "")
)</f>
        <v/>
      </c>
      <c r="N392" t="str">
        <f>_xlfn.LET(
  _xlpm.result, _xlfn.XLOOKUP($B392, Result_Database!$A$2:$A$500, Result_Database!M$2:M$500),
  _xlfn.IFNA(_xlpm.result, "")
)</f>
        <v/>
      </c>
      <c r="O392" t="str">
        <f>_xlfn.LET(
  _xlpm.result, _xlfn.XLOOKUP($B392, Result_Database!$A$2:$A$500, Result_Database!N$2:N$500),
  _xlfn.IFNA(_xlpm.result, "")
)</f>
        <v/>
      </c>
      <c r="P392" t="str">
        <f>_xlfn.LET(
  _xlpm.result, _xlfn.XLOOKUP($B392, Result_Database!$A$2:$A$500, Result_Database!O$2:O$500),
  _xlfn.IFNA(_xlpm.result, "")
)</f>
        <v/>
      </c>
      <c r="Q392" t="str">
        <f>_xlfn.LET(
  _xlpm.result, _xlfn.XLOOKUP($B392, Result_Database!$A$2:$A$500, Result_Database!P$2:P$500),
  _xlfn.IFNA(_xlpm.result, "")
)</f>
        <v/>
      </c>
      <c r="R392" t="str">
        <f>_xlfn.LET(
  _xlpm.result, _xlfn.XLOOKUP($B392, Result_Database!$A$2:$A$500, Result_Database!Q$2:Q$500),
  _xlfn.IFNA(_xlpm.result, "")
)</f>
        <v/>
      </c>
      <c r="S392" t="str">
        <f>_xlfn.LET(
  _xlpm.result, _xlfn.XLOOKUP($B392, Result_Database!$A$2:$A$500, Result_Database!R$2:R$500),
  _xlfn.IFNA(_xlpm.result, "")
)</f>
        <v/>
      </c>
      <c r="T392" t="str">
        <f>_xlfn.LET(
  _xlpm.result, _xlfn.XLOOKUP($B392, Result_Database!$A$2:$A$500, Result_Database!S$2:S$500),
  _xlfn.IFNA(_xlpm.result, "")
)</f>
        <v/>
      </c>
      <c r="U392" t="str">
        <f>_xlfn.LET(
  _xlpm.result, _xlfn.XLOOKUP($B392, Result_Database!$A$2:$A$500, Result_Database!T$2:T$500),
  _xlfn.IFNA(_xlpm.result, "")
)</f>
        <v/>
      </c>
      <c r="V392" t="str">
        <f>_xlfn.LET(
  _xlpm.result, _xlfn.XLOOKUP($B392, Result_Database!$A$2:$A$500, Result_Database!U$2:U$500),
  _xlfn.IFNA(_xlpm.result, "")
)</f>
        <v/>
      </c>
      <c r="W392" t="str">
        <f>_xlfn.LET(
  _xlpm.result, _xlfn.XLOOKUP($B392, Result_Database!$A$2:$A$500, Result_Database!V$2:V$500),
  _xlfn.IFNA(_xlpm.result, "")
)</f>
        <v/>
      </c>
      <c r="X392" t="str">
        <f>_xlfn.LET(
  _xlpm.result, _xlfn.XLOOKUP($B392, Result_Database!$A$2:$A$500, Result_Database!W$2:W$500),
  _xlfn.IFNA(_xlpm.result, "")
)</f>
        <v/>
      </c>
      <c r="Y392" t="str">
        <f>_xlfn.LET(
  _xlpm.result, _xlfn.XLOOKUP($B392, Result_Database!$A$2:$A$500, Result_Database!X$2:X$500),
  _xlfn.IFNA(_xlpm.result, "")
)</f>
        <v/>
      </c>
      <c r="Z392" t="str">
        <f>_xlfn.LET(
  _xlpm.result, _xlfn.XLOOKUP($B392, Result_Database!$A$2:$A$500, Result_Database!Y$2:Y$500),
  _xlfn.IFNA(_xlpm.result, "")
)</f>
        <v/>
      </c>
      <c r="AA392" t="str">
        <f>_xlfn.LET(
  _xlpm.result, _xlfn.XLOOKUP($B392, Result_Database!$A$2:$A$500, Result_Database!Z$2:Z$500),
  _xlfn.IFNA(_xlpm.result, "")
)</f>
        <v/>
      </c>
      <c r="AB392" t="str">
        <f>_xlfn.LET(
  _xlpm.result, _xlfn.XLOOKUP($B392, Result_Database!$A$2:$A$500, Result_Database!AA$2:AA$500),
  _xlfn.IFNA(_xlpm.result, "")
)</f>
        <v/>
      </c>
      <c r="AC392" t="str">
        <f>_xlfn.LET(
  _xlpm.result, _xlfn.XLOOKUP($B392, Result_Database!$A$2:$A$500, Result_Database!AB$2:AB$500),
  _xlfn.IFNA(_xlpm.result, "")
)</f>
        <v/>
      </c>
      <c r="AD392" t="str">
        <f>_xlfn.LET(
  _xlpm.result, _xlfn.XLOOKUP($B392, Result_Database!$A$2:$A$500, Result_Database!AC$2:AC$500),
  _xlfn.IFNA(_xlpm.result, "")
)</f>
        <v/>
      </c>
      <c r="AE392" t="str">
        <f>_xlfn.LET(
  _xlpm.result, _xlfn.XLOOKUP($B392, Result_Database!$A$2:$A$500, Result_Database!AD$2:AD$500),
  _xlfn.IFNA(_xlpm.result, "")
)</f>
        <v/>
      </c>
      <c r="AF392" t="str">
        <f>_xlfn.LET(
  _xlpm.result, _xlfn.XLOOKUP($B392, Result_Database!$A$2:$A$500, Result_Database!AE$2:AE$500),
  _xlfn.IFNA(_xlpm.result, "")
)</f>
        <v/>
      </c>
      <c r="AG392" t="str">
        <f>_xlfn.LET(
  _xlpm.result, _xlfn.XLOOKUP($B392, Result_Database!$A$2:$A$500, Result_Database!AF$2:AF$500),
  _xlfn.IFNA(_xlpm.result, "")
)</f>
        <v/>
      </c>
      <c r="AH392" t="str">
        <f>_xlfn.LET(
  _xlpm.result, _xlfn.XLOOKUP($B392, Result_Database!$A$2:$A$500, Result_Database!AG$2:AG$500),
  _xlfn.IFNA(_xlpm.result, "")
)</f>
        <v/>
      </c>
      <c r="AI392" t="str">
        <f>_xlfn.LET(
  _xlpm.result, _xlfn.XLOOKUP($B392, Result_Database!$A$2:$A$500, Result_Database!AH$2:AH$500),
  _xlfn.IFNA(_xlpm.result, "")
)</f>
        <v/>
      </c>
      <c r="AJ392" t="str">
        <f>_xlfn.LET(
  _xlpm.result, _xlfn.XLOOKUP($B392, Result_Database!$A$2:$A$500, Result_Database!AI$2:AI$500),
  _xlfn.IFNA(_xlpm.result, "")
)</f>
        <v/>
      </c>
      <c r="AK392" t="str">
        <f>_xlfn.LET(
  _xlpm.result, _xlfn.XLOOKUP($B392, Result_Database!$A$2:$A$500, Result_Database!AJ$2:AJ$500),
  _xlfn.IFNA(_xlpm.result, "")
)</f>
        <v/>
      </c>
      <c r="AL392" t="str">
        <f>_xlfn.LET(
  _xlpm.result, _xlfn.XLOOKUP($B392, Result_Database!$A$2:$A$500, Result_Database!AK$2:AK$500),
  _xlfn.IFNA(_xlpm.result, "")
)</f>
        <v/>
      </c>
      <c r="AM39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9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9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9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9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9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9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9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9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92" t="str">
        <f>IF(SUM(Table5[[#This Row],[A1]:[C6]])&lt;&gt;0,SUM(Table5[[#This Row],[A1]:[C6]]),"")</f>
        <v/>
      </c>
      <c r="AW392" t="str">
        <f>IF(SUM(Table5[[#This Row],[D7]:[F9]])=0,"",SUM(Table5[[#This Row],[D7]:[F9]]))</f>
        <v/>
      </c>
      <c r="AX39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9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9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9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9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9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92" t="str">
        <f>IF(COUNTIF(Table5[[#This Row],[English Language]:[Electrical/ Electronics]],"WITHHELD")=0,"",COUNTIF(Table5[[#This Row],[English Language]:[Electrical/ Electronics]],"WITHHELD"))</f>
        <v/>
      </c>
      <c r="BE392" t="str">
        <f>IF(SUM(Table5[[#This Row],[NO OF CREDITS]:[BELOW CREDITS]])=0,"",SUM(Table5[[#This Row],[NO OF CREDITS]:[BELOW CREDITS]]))</f>
        <v/>
      </c>
    </row>
    <row r="393" spans="1:57" x14ac:dyDescent="0.3">
      <c r="A393" t="str">
        <f>IF(B393&lt;&gt;"",COUNTA($B$6:B393),"")</f>
        <v/>
      </c>
      <c r="B393" t="str">
        <f>IF(Result_Database!A389="","",Result_Database!A389)</f>
        <v/>
      </c>
      <c r="C393" t="str">
        <f>_xlfn.LET(
_xlpm.result,_xlfn.XLOOKUP($B393,Result_Database!$A$2:$A$500,Result_Database!$B$2:$B$500),
_xlfn.IFNA(_xlpm.result,"")
)</f>
        <v/>
      </c>
      <c r="D393" t="str">
        <f>_xlfn.LET(
  _xlpm.result, _xlfn.XLOOKUP($B393, Result_Database!$A$2:$A$500, Result_Database!C$2:C$500),
  _xlfn.IFNA(_xlpm.result, "")
)</f>
        <v/>
      </c>
      <c r="E393" t="str">
        <f>_xlfn.LET(
  _xlpm.result, _xlfn.XLOOKUP($B393, Result_Database!$A$2:$A$500, Result_Database!D$2:D$500),
  _xlfn.IFNA(_xlpm.result, "")
)</f>
        <v/>
      </c>
      <c r="F393" t="str">
        <f>_xlfn.LET(
  _xlpm.result, _xlfn.XLOOKUP($B393, Result_Database!$A$2:$A$500, Result_Database!E$2:E$500),
  _xlfn.IFNA(_xlpm.result, "")
)</f>
        <v/>
      </c>
      <c r="G393" t="str">
        <f>_xlfn.LET(
  _xlpm.result, _xlfn.XLOOKUP($B393, Result_Database!$A$2:$A$500, Result_Database!F$2:F$500),
  _xlfn.IFNA(_xlpm.result, "")
)</f>
        <v/>
      </c>
      <c r="H393" t="str">
        <f>_xlfn.LET(
  _xlpm.result, _xlfn.XLOOKUP($B393, Result_Database!$A$2:$A$500, Result_Database!G$2:G$500),
  _xlfn.IFNA(_xlpm.result, "")
)</f>
        <v/>
      </c>
      <c r="I393" t="str">
        <f>_xlfn.LET(
  _xlpm.result, _xlfn.XLOOKUP($B393, Result_Database!$A$2:$A$500, Result_Database!H$2:H$500),
  _xlfn.IFNA(_xlpm.result, "")
)</f>
        <v/>
      </c>
      <c r="J393" t="str">
        <f>_xlfn.LET(
  _xlpm.result, _xlfn.XLOOKUP($B393, Result_Database!$A$2:$A$500, Result_Database!I$2:I$500),
  _xlfn.IFNA(_xlpm.result, "")
)</f>
        <v/>
      </c>
      <c r="K393" t="str">
        <f>_xlfn.LET(
  _xlpm.result, _xlfn.XLOOKUP($B393, Result_Database!$A$2:$A$500, Result_Database!J$2:J$500),
  _xlfn.IFNA(_xlpm.result, "")
)</f>
        <v/>
      </c>
      <c r="L393" t="str">
        <f>_xlfn.LET(
  _xlpm.result, _xlfn.XLOOKUP($B393, Result_Database!$A$2:$A$500, Result_Database!K$2:K$500),
  _xlfn.IFNA(_xlpm.result, "")
)</f>
        <v/>
      </c>
      <c r="M393" t="str">
        <f>_xlfn.LET(
  _xlpm.result, _xlfn.XLOOKUP($B393, Result_Database!$A$2:$A$500, Result_Database!L$2:L$500),
  _xlfn.IFNA(_xlpm.result, "")
)</f>
        <v/>
      </c>
      <c r="N393" t="str">
        <f>_xlfn.LET(
  _xlpm.result, _xlfn.XLOOKUP($B393, Result_Database!$A$2:$A$500, Result_Database!M$2:M$500),
  _xlfn.IFNA(_xlpm.result, "")
)</f>
        <v/>
      </c>
      <c r="O393" t="str">
        <f>_xlfn.LET(
  _xlpm.result, _xlfn.XLOOKUP($B393, Result_Database!$A$2:$A$500, Result_Database!N$2:N$500),
  _xlfn.IFNA(_xlpm.result, "")
)</f>
        <v/>
      </c>
      <c r="P393" t="str">
        <f>_xlfn.LET(
  _xlpm.result, _xlfn.XLOOKUP($B393, Result_Database!$A$2:$A$500, Result_Database!O$2:O$500),
  _xlfn.IFNA(_xlpm.result, "")
)</f>
        <v/>
      </c>
      <c r="Q393" t="str">
        <f>_xlfn.LET(
  _xlpm.result, _xlfn.XLOOKUP($B393, Result_Database!$A$2:$A$500, Result_Database!P$2:P$500),
  _xlfn.IFNA(_xlpm.result, "")
)</f>
        <v/>
      </c>
      <c r="R393" t="str">
        <f>_xlfn.LET(
  _xlpm.result, _xlfn.XLOOKUP($B393, Result_Database!$A$2:$A$500, Result_Database!Q$2:Q$500),
  _xlfn.IFNA(_xlpm.result, "")
)</f>
        <v/>
      </c>
      <c r="S393" t="str">
        <f>_xlfn.LET(
  _xlpm.result, _xlfn.XLOOKUP($B393, Result_Database!$A$2:$A$500, Result_Database!R$2:R$500),
  _xlfn.IFNA(_xlpm.result, "")
)</f>
        <v/>
      </c>
      <c r="T393" t="str">
        <f>_xlfn.LET(
  _xlpm.result, _xlfn.XLOOKUP($B393, Result_Database!$A$2:$A$500, Result_Database!S$2:S$500),
  _xlfn.IFNA(_xlpm.result, "")
)</f>
        <v/>
      </c>
      <c r="U393" t="str">
        <f>_xlfn.LET(
  _xlpm.result, _xlfn.XLOOKUP($B393, Result_Database!$A$2:$A$500, Result_Database!T$2:T$500),
  _xlfn.IFNA(_xlpm.result, "")
)</f>
        <v/>
      </c>
      <c r="V393" t="str">
        <f>_xlfn.LET(
  _xlpm.result, _xlfn.XLOOKUP($B393, Result_Database!$A$2:$A$500, Result_Database!U$2:U$500),
  _xlfn.IFNA(_xlpm.result, "")
)</f>
        <v/>
      </c>
      <c r="W393" t="str">
        <f>_xlfn.LET(
  _xlpm.result, _xlfn.XLOOKUP($B393, Result_Database!$A$2:$A$500, Result_Database!V$2:V$500),
  _xlfn.IFNA(_xlpm.result, "")
)</f>
        <v/>
      </c>
      <c r="X393" t="str">
        <f>_xlfn.LET(
  _xlpm.result, _xlfn.XLOOKUP($B393, Result_Database!$A$2:$A$500, Result_Database!W$2:W$500),
  _xlfn.IFNA(_xlpm.result, "")
)</f>
        <v/>
      </c>
      <c r="Y393" t="str">
        <f>_xlfn.LET(
  _xlpm.result, _xlfn.XLOOKUP($B393, Result_Database!$A$2:$A$500, Result_Database!X$2:X$500),
  _xlfn.IFNA(_xlpm.result, "")
)</f>
        <v/>
      </c>
      <c r="Z393" t="str">
        <f>_xlfn.LET(
  _xlpm.result, _xlfn.XLOOKUP($B393, Result_Database!$A$2:$A$500, Result_Database!Y$2:Y$500),
  _xlfn.IFNA(_xlpm.result, "")
)</f>
        <v/>
      </c>
      <c r="AA393" t="str">
        <f>_xlfn.LET(
  _xlpm.result, _xlfn.XLOOKUP($B393, Result_Database!$A$2:$A$500, Result_Database!Z$2:Z$500),
  _xlfn.IFNA(_xlpm.result, "")
)</f>
        <v/>
      </c>
      <c r="AB393" t="str">
        <f>_xlfn.LET(
  _xlpm.result, _xlfn.XLOOKUP($B393, Result_Database!$A$2:$A$500, Result_Database!AA$2:AA$500),
  _xlfn.IFNA(_xlpm.result, "")
)</f>
        <v/>
      </c>
      <c r="AC393" t="str">
        <f>_xlfn.LET(
  _xlpm.result, _xlfn.XLOOKUP($B393, Result_Database!$A$2:$A$500, Result_Database!AB$2:AB$500),
  _xlfn.IFNA(_xlpm.result, "")
)</f>
        <v/>
      </c>
      <c r="AD393" t="str">
        <f>_xlfn.LET(
  _xlpm.result, _xlfn.XLOOKUP($B393, Result_Database!$A$2:$A$500, Result_Database!AC$2:AC$500),
  _xlfn.IFNA(_xlpm.result, "")
)</f>
        <v/>
      </c>
      <c r="AE393" t="str">
        <f>_xlfn.LET(
  _xlpm.result, _xlfn.XLOOKUP($B393, Result_Database!$A$2:$A$500, Result_Database!AD$2:AD$500),
  _xlfn.IFNA(_xlpm.result, "")
)</f>
        <v/>
      </c>
      <c r="AF393" t="str">
        <f>_xlfn.LET(
  _xlpm.result, _xlfn.XLOOKUP($B393, Result_Database!$A$2:$A$500, Result_Database!AE$2:AE$500),
  _xlfn.IFNA(_xlpm.result, "")
)</f>
        <v/>
      </c>
      <c r="AG393" t="str">
        <f>_xlfn.LET(
  _xlpm.result, _xlfn.XLOOKUP($B393, Result_Database!$A$2:$A$500, Result_Database!AF$2:AF$500),
  _xlfn.IFNA(_xlpm.result, "")
)</f>
        <v/>
      </c>
      <c r="AH393" t="str">
        <f>_xlfn.LET(
  _xlpm.result, _xlfn.XLOOKUP($B393, Result_Database!$A$2:$A$500, Result_Database!AG$2:AG$500),
  _xlfn.IFNA(_xlpm.result, "")
)</f>
        <v/>
      </c>
      <c r="AI393" t="str">
        <f>_xlfn.LET(
  _xlpm.result, _xlfn.XLOOKUP($B393, Result_Database!$A$2:$A$500, Result_Database!AH$2:AH$500),
  _xlfn.IFNA(_xlpm.result, "")
)</f>
        <v/>
      </c>
      <c r="AJ393" t="str">
        <f>_xlfn.LET(
  _xlpm.result, _xlfn.XLOOKUP($B393, Result_Database!$A$2:$A$500, Result_Database!AI$2:AI$500),
  _xlfn.IFNA(_xlpm.result, "")
)</f>
        <v/>
      </c>
      <c r="AK393" t="str">
        <f>_xlfn.LET(
  _xlpm.result, _xlfn.XLOOKUP($B393, Result_Database!$A$2:$A$500, Result_Database!AJ$2:AJ$500),
  _xlfn.IFNA(_xlpm.result, "")
)</f>
        <v/>
      </c>
      <c r="AL393" t="str">
        <f>_xlfn.LET(
  _xlpm.result, _xlfn.XLOOKUP($B393, Result_Database!$A$2:$A$500, Result_Database!AK$2:AK$500),
  _xlfn.IFNA(_xlpm.result, "")
)</f>
        <v/>
      </c>
      <c r="AM39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9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9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9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9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9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9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9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9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93" t="str">
        <f>IF(SUM(Table5[[#This Row],[A1]:[C6]])&lt;&gt;0,SUM(Table5[[#This Row],[A1]:[C6]]),"")</f>
        <v/>
      </c>
      <c r="AW393" t="str">
        <f>IF(SUM(Table5[[#This Row],[D7]:[F9]])=0,"",SUM(Table5[[#This Row],[D7]:[F9]]))</f>
        <v/>
      </c>
      <c r="AX39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9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9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9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9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9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93" t="str">
        <f>IF(COUNTIF(Table5[[#This Row],[English Language]:[Electrical/ Electronics]],"WITHHELD")=0,"",COUNTIF(Table5[[#This Row],[English Language]:[Electrical/ Electronics]],"WITHHELD"))</f>
        <v/>
      </c>
      <c r="BE393" t="str">
        <f>IF(SUM(Table5[[#This Row],[NO OF CREDITS]:[BELOW CREDITS]])=0,"",SUM(Table5[[#This Row],[NO OF CREDITS]:[BELOW CREDITS]]))</f>
        <v/>
      </c>
    </row>
    <row r="394" spans="1:57" x14ac:dyDescent="0.3">
      <c r="A394" t="str">
        <f>IF(B394&lt;&gt;"",COUNTA($B$6:B394),"")</f>
        <v/>
      </c>
      <c r="B394" t="str">
        <f>IF(Result_Database!A390="","",Result_Database!A390)</f>
        <v/>
      </c>
      <c r="C394" t="str">
        <f>_xlfn.LET(
_xlpm.result,_xlfn.XLOOKUP($B394,Result_Database!$A$2:$A$500,Result_Database!$B$2:$B$500),
_xlfn.IFNA(_xlpm.result,"")
)</f>
        <v/>
      </c>
      <c r="D394" t="str">
        <f>_xlfn.LET(
  _xlpm.result, _xlfn.XLOOKUP($B394, Result_Database!$A$2:$A$500, Result_Database!C$2:C$500),
  _xlfn.IFNA(_xlpm.result, "")
)</f>
        <v/>
      </c>
      <c r="E394" t="str">
        <f>_xlfn.LET(
  _xlpm.result, _xlfn.XLOOKUP($B394, Result_Database!$A$2:$A$500, Result_Database!D$2:D$500),
  _xlfn.IFNA(_xlpm.result, "")
)</f>
        <v/>
      </c>
      <c r="F394" t="str">
        <f>_xlfn.LET(
  _xlpm.result, _xlfn.XLOOKUP($B394, Result_Database!$A$2:$A$500, Result_Database!E$2:E$500),
  _xlfn.IFNA(_xlpm.result, "")
)</f>
        <v/>
      </c>
      <c r="G394" t="str">
        <f>_xlfn.LET(
  _xlpm.result, _xlfn.XLOOKUP($B394, Result_Database!$A$2:$A$500, Result_Database!F$2:F$500),
  _xlfn.IFNA(_xlpm.result, "")
)</f>
        <v/>
      </c>
      <c r="H394" t="str">
        <f>_xlfn.LET(
  _xlpm.result, _xlfn.XLOOKUP($B394, Result_Database!$A$2:$A$500, Result_Database!G$2:G$500),
  _xlfn.IFNA(_xlpm.result, "")
)</f>
        <v/>
      </c>
      <c r="I394" t="str">
        <f>_xlfn.LET(
  _xlpm.result, _xlfn.XLOOKUP($B394, Result_Database!$A$2:$A$500, Result_Database!H$2:H$500),
  _xlfn.IFNA(_xlpm.result, "")
)</f>
        <v/>
      </c>
      <c r="J394" t="str">
        <f>_xlfn.LET(
  _xlpm.result, _xlfn.XLOOKUP($B394, Result_Database!$A$2:$A$500, Result_Database!I$2:I$500),
  _xlfn.IFNA(_xlpm.result, "")
)</f>
        <v/>
      </c>
      <c r="K394" t="str">
        <f>_xlfn.LET(
  _xlpm.result, _xlfn.XLOOKUP($B394, Result_Database!$A$2:$A$500, Result_Database!J$2:J$500),
  _xlfn.IFNA(_xlpm.result, "")
)</f>
        <v/>
      </c>
      <c r="L394" t="str">
        <f>_xlfn.LET(
  _xlpm.result, _xlfn.XLOOKUP($B394, Result_Database!$A$2:$A$500, Result_Database!K$2:K$500),
  _xlfn.IFNA(_xlpm.result, "")
)</f>
        <v/>
      </c>
      <c r="M394" t="str">
        <f>_xlfn.LET(
  _xlpm.result, _xlfn.XLOOKUP($B394, Result_Database!$A$2:$A$500, Result_Database!L$2:L$500),
  _xlfn.IFNA(_xlpm.result, "")
)</f>
        <v/>
      </c>
      <c r="N394" t="str">
        <f>_xlfn.LET(
  _xlpm.result, _xlfn.XLOOKUP($B394, Result_Database!$A$2:$A$500, Result_Database!M$2:M$500),
  _xlfn.IFNA(_xlpm.result, "")
)</f>
        <v/>
      </c>
      <c r="O394" t="str">
        <f>_xlfn.LET(
  _xlpm.result, _xlfn.XLOOKUP($B394, Result_Database!$A$2:$A$500, Result_Database!N$2:N$500),
  _xlfn.IFNA(_xlpm.result, "")
)</f>
        <v/>
      </c>
      <c r="P394" t="str">
        <f>_xlfn.LET(
  _xlpm.result, _xlfn.XLOOKUP($B394, Result_Database!$A$2:$A$500, Result_Database!O$2:O$500),
  _xlfn.IFNA(_xlpm.result, "")
)</f>
        <v/>
      </c>
      <c r="Q394" t="str">
        <f>_xlfn.LET(
  _xlpm.result, _xlfn.XLOOKUP($B394, Result_Database!$A$2:$A$500, Result_Database!P$2:P$500),
  _xlfn.IFNA(_xlpm.result, "")
)</f>
        <v/>
      </c>
      <c r="R394" t="str">
        <f>_xlfn.LET(
  _xlpm.result, _xlfn.XLOOKUP($B394, Result_Database!$A$2:$A$500, Result_Database!Q$2:Q$500),
  _xlfn.IFNA(_xlpm.result, "")
)</f>
        <v/>
      </c>
      <c r="S394" t="str">
        <f>_xlfn.LET(
  _xlpm.result, _xlfn.XLOOKUP($B394, Result_Database!$A$2:$A$500, Result_Database!R$2:R$500),
  _xlfn.IFNA(_xlpm.result, "")
)</f>
        <v/>
      </c>
      <c r="T394" t="str">
        <f>_xlfn.LET(
  _xlpm.result, _xlfn.XLOOKUP($B394, Result_Database!$A$2:$A$500, Result_Database!S$2:S$500),
  _xlfn.IFNA(_xlpm.result, "")
)</f>
        <v/>
      </c>
      <c r="U394" t="str">
        <f>_xlfn.LET(
  _xlpm.result, _xlfn.XLOOKUP($B394, Result_Database!$A$2:$A$500, Result_Database!T$2:T$500),
  _xlfn.IFNA(_xlpm.result, "")
)</f>
        <v/>
      </c>
      <c r="V394" t="str">
        <f>_xlfn.LET(
  _xlpm.result, _xlfn.XLOOKUP($B394, Result_Database!$A$2:$A$500, Result_Database!U$2:U$500),
  _xlfn.IFNA(_xlpm.result, "")
)</f>
        <v/>
      </c>
      <c r="W394" t="str">
        <f>_xlfn.LET(
  _xlpm.result, _xlfn.XLOOKUP($B394, Result_Database!$A$2:$A$500, Result_Database!V$2:V$500),
  _xlfn.IFNA(_xlpm.result, "")
)</f>
        <v/>
      </c>
      <c r="X394" t="str">
        <f>_xlfn.LET(
  _xlpm.result, _xlfn.XLOOKUP($B394, Result_Database!$A$2:$A$500, Result_Database!W$2:W$500),
  _xlfn.IFNA(_xlpm.result, "")
)</f>
        <v/>
      </c>
      <c r="Y394" t="str">
        <f>_xlfn.LET(
  _xlpm.result, _xlfn.XLOOKUP($B394, Result_Database!$A$2:$A$500, Result_Database!X$2:X$500),
  _xlfn.IFNA(_xlpm.result, "")
)</f>
        <v/>
      </c>
      <c r="Z394" t="str">
        <f>_xlfn.LET(
  _xlpm.result, _xlfn.XLOOKUP($B394, Result_Database!$A$2:$A$500, Result_Database!Y$2:Y$500),
  _xlfn.IFNA(_xlpm.result, "")
)</f>
        <v/>
      </c>
      <c r="AA394" t="str">
        <f>_xlfn.LET(
  _xlpm.result, _xlfn.XLOOKUP($B394, Result_Database!$A$2:$A$500, Result_Database!Z$2:Z$500),
  _xlfn.IFNA(_xlpm.result, "")
)</f>
        <v/>
      </c>
      <c r="AB394" t="str">
        <f>_xlfn.LET(
  _xlpm.result, _xlfn.XLOOKUP($B394, Result_Database!$A$2:$A$500, Result_Database!AA$2:AA$500),
  _xlfn.IFNA(_xlpm.result, "")
)</f>
        <v/>
      </c>
      <c r="AC394" t="str">
        <f>_xlfn.LET(
  _xlpm.result, _xlfn.XLOOKUP($B394, Result_Database!$A$2:$A$500, Result_Database!AB$2:AB$500),
  _xlfn.IFNA(_xlpm.result, "")
)</f>
        <v/>
      </c>
      <c r="AD394" t="str">
        <f>_xlfn.LET(
  _xlpm.result, _xlfn.XLOOKUP($B394, Result_Database!$A$2:$A$500, Result_Database!AC$2:AC$500),
  _xlfn.IFNA(_xlpm.result, "")
)</f>
        <v/>
      </c>
      <c r="AE394" t="str">
        <f>_xlfn.LET(
  _xlpm.result, _xlfn.XLOOKUP($B394, Result_Database!$A$2:$A$500, Result_Database!AD$2:AD$500),
  _xlfn.IFNA(_xlpm.result, "")
)</f>
        <v/>
      </c>
      <c r="AF394" t="str">
        <f>_xlfn.LET(
  _xlpm.result, _xlfn.XLOOKUP($B394, Result_Database!$A$2:$A$500, Result_Database!AE$2:AE$500),
  _xlfn.IFNA(_xlpm.result, "")
)</f>
        <v/>
      </c>
      <c r="AG394" t="str">
        <f>_xlfn.LET(
  _xlpm.result, _xlfn.XLOOKUP($B394, Result_Database!$A$2:$A$500, Result_Database!AF$2:AF$500),
  _xlfn.IFNA(_xlpm.result, "")
)</f>
        <v/>
      </c>
      <c r="AH394" t="str">
        <f>_xlfn.LET(
  _xlpm.result, _xlfn.XLOOKUP($B394, Result_Database!$A$2:$A$500, Result_Database!AG$2:AG$500),
  _xlfn.IFNA(_xlpm.result, "")
)</f>
        <v/>
      </c>
      <c r="AI394" t="str">
        <f>_xlfn.LET(
  _xlpm.result, _xlfn.XLOOKUP($B394, Result_Database!$A$2:$A$500, Result_Database!AH$2:AH$500),
  _xlfn.IFNA(_xlpm.result, "")
)</f>
        <v/>
      </c>
      <c r="AJ394" t="str">
        <f>_xlfn.LET(
  _xlpm.result, _xlfn.XLOOKUP($B394, Result_Database!$A$2:$A$500, Result_Database!AI$2:AI$500),
  _xlfn.IFNA(_xlpm.result, "")
)</f>
        <v/>
      </c>
      <c r="AK394" t="str">
        <f>_xlfn.LET(
  _xlpm.result, _xlfn.XLOOKUP($B394, Result_Database!$A$2:$A$500, Result_Database!AJ$2:AJ$500),
  _xlfn.IFNA(_xlpm.result, "")
)</f>
        <v/>
      </c>
      <c r="AL394" t="str">
        <f>_xlfn.LET(
  _xlpm.result, _xlfn.XLOOKUP($B394, Result_Database!$A$2:$A$500, Result_Database!AK$2:AK$500),
  _xlfn.IFNA(_xlpm.result, "")
)</f>
        <v/>
      </c>
      <c r="AM39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9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9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9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9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9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9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9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9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94" t="str">
        <f>IF(SUM(Table5[[#This Row],[A1]:[C6]])&lt;&gt;0,SUM(Table5[[#This Row],[A1]:[C6]]),"")</f>
        <v/>
      </c>
      <c r="AW394" t="str">
        <f>IF(SUM(Table5[[#This Row],[D7]:[F9]])=0,"",SUM(Table5[[#This Row],[D7]:[F9]]))</f>
        <v/>
      </c>
      <c r="AX39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9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9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9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9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9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94" t="str">
        <f>IF(COUNTIF(Table5[[#This Row],[English Language]:[Electrical/ Electronics]],"WITHHELD")=0,"",COUNTIF(Table5[[#This Row],[English Language]:[Electrical/ Electronics]],"WITHHELD"))</f>
        <v/>
      </c>
      <c r="BE394" t="str">
        <f>IF(SUM(Table5[[#This Row],[NO OF CREDITS]:[BELOW CREDITS]])=0,"",SUM(Table5[[#This Row],[NO OF CREDITS]:[BELOW CREDITS]]))</f>
        <v/>
      </c>
    </row>
    <row r="395" spans="1:57" x14ac:dyDescent="0.3">
      <c r="A395" t="str">
        <f>IF(B395&lt;&gt;"",COUNTA($B$6:B395),"")</f>
        <v/>
      </c>
      <c r="B395" t="str">
        <f>IF(Result_Database!A391="","",Result_Database!A391)</f>
        <v/>
      </c>
      <c r="C395" t="str">
        <f>_xlfn.LET(
_xlpm.result,_xlfn.XLOOKUP($B395,Result_Database!$A$2:$A$500,Result_Database!$B$2:$B$500),
_xlfn.IFNA(_xlpm.result,"")
)</f>
        <v/>
      </c>
      <c r="D395" t="str">
        <f>_xlfn.LET(
  _xlpm.result, _xlfn.XLOOKUP($B395, Result_Database!$A$2:$A$500, Result_Database!C$2:C$500),
  _xlfn.IFNA(_xlpm.result, "")
)</f>
        <v/>
      </c>
      <c r="E395" t="str">
        <f>_xlfn.LET(
  _xlpm.result, _xlfn.XLOOKUP($B395, Result_Database!$A$2:$A$500, Result_Database!D$2:D$500),
  _xlfn.IFNA(_xlpm.result, "")
)</f>
        <v/>
      </c>
      <c r="F395" t="str">
        <f>_xlfn.LET(
  _xlpm.result, _xlfn.XLOOKUP($B395, Result_Database!$A$2:$A$500, Result_Database!E$2:E$500),
  _xlfn.IFNA(_xlpm.result, "")
)</f>
        <v/>
      </c>
      <c r="G395" t="str">
        <f>_xlfn.LET(
  _xlpm.result, _xlfn.XLOOKUP($B395, Result_Database!$A$2:$A$500, Result_Database!F$2:F$500),
  _xlfn.IFNA(_xlpm.result, "")
)</f>
        <v/>
      </c>
      <c r="H395" t="str">
        <f>_xlfn.LET(
  _xlpm.result, _xlfn.XLOOKUP($B395, Result_Database!$A$2:$A$500, Result_Database!G$2:G$500),
  _xlfn.IFNA(_xlpm.result, "")
)</f>
        <v/>
      </c>
      <c r="I395" t="str">
        <f>_xlfn.LET(
  _xlpm.result, _xlfn.XLOOKUP($B395, Result_Database!$A$2:$A$500, Result_Database!H$2:H$500),
  _xlfn.IFNA(_xlpm.result, "")
)</f>
        <v/>
      </c>
      <c r="J395" t="str">
        <f>_xlfn.LET(
  _xlpm.result, _xlfn.XLOOKUP($B395, Result_Database!$A$2:$A$500, Result_Database!I$2:I$500),
  _xlfn.IFNA(_xlpm.result, "")
)</f>
        <v/>
      </c>
      <c r="K395" t="str">
        <f>_xlfn.LET(
  _xlpm.result, _xlfn.XLOOKUP($B395, Result_Database!$A$2:$A$500, Result_Database!J$2:J$500),
  _xlfn.IFNA(_xlpm.result, "")
)</f>
        <v/>
      </c>
      <c r="L395" t="str">
        <f>_xlfn.LET(
  _xlpm.result, _xlfn.XLOOKUP($B395, Result_Database!$A$2:$A$500, Result_Database!K$2:K$500),
  _xlfn.IFNA(_xlpm.result, "")
)</f>
        <v/>
      </c>
      <c r="M395" t="str">
        <f>_xlfn.LET(
  _xlpm.result, _xlfn.XLOOKUP($B395, Result_Database!$A$2:$A$500, Result_Database!L$2:L$500),
  _xlfn.IFNA(_xlpm.result, "")
)</f>
        <v/>
      </c>
      <c r="N395" t="str">
        <f>_xlfn.LET(
  _xlpm.result, _xlfn.XLOOKUP($B395, Result_Database!$A$2:$A$500, Result_Database!M$2:M$500),
  _xlfn.IFNA(_xlpm.result, "")
)</f>
        <v/>
      </c>
      <c r="O395" t="str">
        <f>_xlfn.LET(
  _xlpm.result, _xlfn.XLOOKUP($B395, Result_Database!$A$2:$A$500, Result_Database!N$2:N$500),
  _xlfn.IFNA(_xlpm.result, "")
)</f>
        <v/>
      </c>
      <c r="P395" t="str">
        <f>_xlfn.LET(
  _xlpm.result, _xlfn.XLOOKUP($B395, Result_Database!$A$2:$A$500, Result_Database!O$2:O$500),
  _xlfn.IFNA(_xlpm.result, "")
)</f>
        <v/>
      </c>
      <c r="Q395" t="str">
        <f>_xlfn.LET(
  _xlpm.result, _xlfn.XLOOKUP($B395, Result_Database!$A$2:$A$500, Result_Database!P$2:P$500),
  _xlfn.IFNA(_xlpm.result, "")
)</f>
        <v/>
      </c>
      <c r="R395" t="str">
        <f>_xlfn.LET(
  _xlpm.result, _xlfn.XLOOKUP($B395, Result_Database!$A$2:$A$500, Result_Database!Q$2:Q$500),
  _xlfn.IFNA(_xlpm.result, "")
)</f>
        <v/>
      </c>
      <c r="S395" t="str">
        <f>_xlfn.LET(
  _xlpm.result, _xlfn.XLOOKUP($B395, Result_Database!$A$2:$A$500, Result_Database!R$2:R$500),
  _xlfn.IFNA(_xlpm.result, "")
)</f>
        <v/>
      </c>
      <c r="T395" t="str">
        <f>_xlfn.LET(
  _xlpm.result, _xlfn.XLOOKUP($B395, Result_Database!$A$2:$A$500, Result_Database!S$2:S$500),
  _xlfn.IFNA(_xlpm.result, "")
)</f>
        <v/>
      </c>
      <c r="U395" t="str">
        <f>_xlfn.LET(
  _xlpm.result, _xlfn.XLOOKUP($B395, Result_Database!$A$2:$A$500, Result_Database!T$2:T$500),
  _xlfn.IFNA(_xlpm.result, "")
)</f>
        <v/>
      </c>
      <c r="V395" t="str">
        <f>_xlfn.LET(
  _xlpm.result, _xlfn.XLOOKUP($B395, Result_Database!$A$2:$A$500, Result_Database!U$2:U$500),
  _xlfn.IFNA(_xlpm.result, "")
)</f>
        <v/>
      </c>
      <c r="W395" t="str">
        <f>_xlfn.LET(
  _xlpm.result, _xlfn.XLOOKUP($B395, Result_Database!$A$2:$A$500, Result_Database!V$2:V$500),
  _xlfn.IFNA(_xlpm.result, "")
)</f>
        <v/>
      </c>
      <c r="X395" t="str">
        <f>_xlfn.LET(
  _xlpm.result, _xlfn.XLOOKUP($B395, Result_Database!$A$2:$A$500, Result_Database!W$2:W$500),
  _xlfn.IFNA(_xlpm.result, "")
)</f>
        <v/>
      </c>
      <c r="Y395" t="str">
        <f>_xlfn.LET(
  _xlpm.result, _xlfn.XLOOKUP($B395, Result_Database!$A$2:$A$500, Result_Database!X$2:X$500),
  _xlfn.IFNA(_xlpm.result, "")
)</f>
        <v/>
      </c>
      <c r="Z395" t="str">
        <f>_xlfn.LET(
  _xlpm.result, _xlfn.XLOOKUP($B395, Result_Database!$A$2:$A$500, Result_Database!Y$2:Y$500),
  _xlfn.IFNA(_xlpm.result, "")
)</f>
        <v/>
      </c>
      <c r="AA395" t="str">
        <f>_xlfn.LET(
  _xlpm.result, _xlfn.XLOOKUP($B395, Result_Database!$A$2:$A$500, Result_Database!Z$2:Z$500),
  _xlfn.IFNA(_xlpm.result, "")
)</f>
        <v/>
      </c>
      <c r="AB395" t="str">
        <f>_xlfn.LET(
  _xlpm.result, _xlfn.XLOOKUP($B395, Result_Database!$A$2:$A$500, Result_Database!AA$2:AA$500),
  _xlfn.IFNA(_xlpm.result, "")
)</f>
        <v/>
      </c>
      <c r="AC395" t="str">
        <f>_xlfn.LET(
  _xlpm.result, _xlfn.XLOOKUP($B395, Result_Database!$A$2:$A$500, Result_Database!AB$2:AB$500),
  _xlfn.IFNA(_xlpm.result, "")
)</f>
        <v/>
      </c>
      <c r="AD395" t="str">
        <f>_xlfn.LET(
  _xlpm.result, _xlfn.XLOOKUP($B395, Result_Database!$A$2:$A$500, Result_Database!AC$2:AC$500),
  _xlfn.IFNA(_xlpm.result, "")
)</f>
        <v/>
      </c>
      <c r="AE395" t="str">
        <f>_xlfn.LET(
  _xlpm.result, _xlfn.XLOOKUP($B395, Result_Database!$A$2:$A$500, Result_Database!AD$2:AD$500),
  _xlfn.IFNA(_xlpm.result, "")
)</f>
        <v/>
      </c>
      <c r="AF395" t="str">
        <f>_xlfn.LET(
  _xlpm.result, _xlfn.XLOOKUP($B395, Result_Database!$A$2:$A$500, Result_Database!AE$2:AE$500),
  _xlfn.IFNA(_xlpm.result, "")
)</f>
        <v/>
      </c>
      <c r="AG395" t="str">
        <f>_xlfn.LET(
  _xlpm.result, _xlfn.XLOOKUP($B395, Result_Database!$A$2:$A$500, Result_Database!AF$2:AF$500),
  _xlfn.IFNA(_xlpm.result, "")
)</f>
        <v/>
      </c>
      <c r="AH395" t="str">
        <f>_xlfn.LET(
  _xlpm.result, _xlfn.XLOOKUP($B395, Result_Database!$A$2:$A$500, Result_Database!AG$2:AG$500),
  _xlfn.IFNA(_xlpm.result, "")
)</f>
        <v/>
      </c>
      <c r="AI395" t="str">
        <f>_xlfn.LET(
  _xlpm.result, _xlfn.XLOOKUP($B395, Result_Database!$A$2:$A$500, Result_Database!AH$2:AH$500),
  _xlfn.IFNA(_xlpm.result, "")
)</f>
        <v/>
      </c>
      <c r="AJ395" t="str">
        <f>_xlfn.LET(
  _xlpm.result, _xlfn.XLOOKUP($B395, Result_Database!$A$2:$A$500, Result_Database!AI$2:AI$500),
  _xlfn.IFNA(_xlpm.result, "")
)</f>
        <v/>
      </c>
      <c r="AK395" t="str">
        <f>_xlfn.LET(
  _xlpm.result, _xlfn.XLOOKUP($B395, Result_Database!$A$2:$A$500, Result_Database!AJ$2:AJ$500),
  _xlfn.IFNA(_xlpm.result, "")
)</f>
        <v/>
      </c>
      <c r="AL395" t="str">
        <f>_xlfn.LET(
  _xlpm.result, _xlfn.XLOOKUP($B395, Result_Database!$A$2:$A$500, Result_Database!AK$2:AK$500),
  _xlfn.IFNA(_xlpm.result, "")
)</f>
        <v/>
      </c>
      <c r="AM39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9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9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9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9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9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9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9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9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95" t="str">
        <f>IF(SUM(Table5[[#This Row],[A1]:[C6]])&lt;&gt;0,SUM(Table5[[#This Row],[A1]:[C6]]),"")</f>
        <v/>
      </c>
      <c r="AW395" t="str">
        <f>IF(SUM(Table5[[#This Row],[D7]:[F9]])=0,"",SUM(Table5[[#This Row],[D7]:[F9]]))</f>
        <v/>
      </c>
      <c r="AX39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9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9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9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9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9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95" t="str">
        <f>IF(COUNTIF(Table5[[#This Row],[English Language]:[Electrical/ Electronics]],"WITHHELD")=0,"",COUNTIF(Table5[[#This Row],[English Language]:[Electrical/ Electronics]],"WITHHELD"))</f>
        <v/>
      </c>
      <c r="BE395" t="str">
        <f>IF(SUM(Table5[[#This Row],[NO OF CREDITS]:[BELOW CREDITS]])=0,"",SUM(Table5[[#This Row],[NO OF CREDITS]:[BELOW CREDITS]]))</f>
        <v/>
      </c>
    </row>
    <row r="396" spans="1:57" x14ac:dyDescent="0.3">
      <c r="A396" t="str">
        <f>IF(B396&lt;&gt;"",COUNTA($B$6:B396),"")</f>
        <v/>
      </c>
      <c r="B396" t="str">
        <f>IF(Result_Database!A392="","",Result_Database!A392)</f>
        <v/>
      </c>
      <c r="C396" t="str">
        <f>_xlfn.LET(
_xlpm.result,_xlfn.XLOOKUP($B396,Result_Database!$A$2:$A$500,Result_Database!$B$2:$B$500),
_xlfn.IFNA(_xlpm.result,"")
)</f>
        <v/>
      </c>
      <c r="D396" t="str">
        <f>_xlfn.LET(
  _xlpm.result, _xlfn.XLOOKUP($B396, Result_Database!$A$2:$A$500, Result_Database!C$2:C$500),
  _xlfn.IFNA(_xlpm.result, "")
)</f>
        <v/>
      </c>
      <c r="E396" t="str">
        <f>_xlfn.LET(
  _xlpm.result, _xlfn.XLOOKUP($B396, Result_Database!$A$2:$A$500, Result_Database!D$2:D$500),
  _xlfn.IFNA(_xlpm.result, "")
)</f>
        <v/>
      </c>
      <c r="F396" t="str">
        <f>_xlfn.LET(
  _xlpm.result, _xlfn.XLOOKUP($B396, Result_Database!$A$2:$A$500, Result_Database!E$2:E$500),
  _xlfn.IFNA(_xlpm.result, "")
)</f>
        <v/>
      </c>
      <c r="G396" t="str">
        <f>_xlfn.LET(
  _xlpm.result, _xlfn.XLOOKUP($B396, Result_Database!$A$2:$A$500, Result_Database!F$2:F$500),
  _xlfn.IFNA(_xlpm.result, "")
)</f>
        <v/>
      </c>
      <c r="H396" t="str">
        <f>_xlfn.LET(
  _xlpm.result, _xlfn.XLOOKUP($B396, Result_Database!$A$2:$A$500, Result_Database!G$2:G$500),
  _xlfn.IFNA(_xlpm.result, "")
)</f>
        <v/>
      </c>
      <c r="I396" t="str">
        <f>_xlfn.LET(
  _xlpm.result, _xlfn.XLOOKUP($B396, Result_Database!$A$2:$A$500, Result_Database!H$2:H$500),
  _xlfn.IFNA(_xlpm.result, "")
)</f>
        <v/>
      </c>
      <c r="J396" t="str">
        <f>_xlfn.LET(
  _xlpm.result, _xlfn.XLOOKUP($B396, Result_Database!$A$2:$A$500, Result_Database!I$2:I$500),
  _xlfn.IFNA(_xlpm.result, "")
)</f>
        <v/>
      </c>
      <c r="K396" t="str">
        <f>_xlfn.LET(
  _xlpm.result, _xlfn.XLOOKUP($B396, Result_Database!$A$2:$A$500, Result_Database!J$2:J$500),
  _xlfn.IFNA(_xlpm.result, "")
)</f>
        <v/>
      </c>
      <c r="L396" t="str">
        <f>_xlfn.LET(
  _xlpm.result, _xlfn.XLOOKUP($B396, Result_Database!$A$2:$A$500, Result_Database!K$2:K$500),
  _xlfn.IFNA(_xlpm.result, "")
)</f>
        <v/>
      </c>
      <c r="M396" t="str">
        <f>_xlfn.LET(
  _xlpm.result, _xlfn.XLOOKUP($B396, Result_Database!$A$2:$A$500, Result_Database!L$2:L$500),
  _xlfn.IFNA(_xlpm.result, "")
)</f>
        <v/>
      </c>
      <c r="N396" t="str">
        <f>_xlfn.LET(
  _xlpm.result, _xlfn.XLOOKUP($B396, Result_Database!$A$2:$A$500, Result_Database!M$2:M$500),
  _xlfn.IFNA(_xlpm.result, "")
)</f>
        <v/>
      </c>
      <c r="O396" t="str">
        <f>_xlfn.LET(
  _xlpm.result, _xlfn.XLOOKUP($B396, Result_Database!$A$2:$A$500, Result_Database!N$2:N$500),
  _xlfn.IFNA(_xlpm.result, "")
)</f>
        <v/>
      </c>
      <c r="P396" t="str">
        <f>_xlfn.LET(
  _xlpm.result, _xlfn.XLOOKUP($B396, Result_Database!$A$2:$A$500, Result_Database!O$2:O$500),
  _xlfn.IFNA(_xlpm.result, "")
)</f>
        <v/>
      </c>
      <c r="Q396" t="str">
        <f>_xlfn.LET(
  _xlpm.result, _xlfn.XLOOKUP($B396, Result_Database!$A$2:$A$500, Result_Database!P$2:P$500),
  _xlfn.IFNA(_xlpm.result, "")
)</f>
        <v/>
      </c>
      <c r="R396" t="str">
        <f>_xlfn.LET(
  _xlpm.result, _xlfn.XLOOKUP($B396, Result_Database!$A$2:$A$500, Result_Database!Q$2:Q$500),
  _xlfn.IFNA(_xlpm.result, "")
)</f>
        <v/>
      </c>
      <c r="S396" t="str">
        <f>_xlfn.LET(
  _xlpm.result, _xlfn.XLOOKUP($B396, Result_Database!$A$2:$A$500, Result_Database!R$2:R$500),
  _xlfn.IFNA(_xlpm.result, "")
)</f>
        <v/>
      </c>
      <c r="T396" t="str">
        <f>_xlfn.LET(
  _xlpm.result, _xlfn.XLOOKUP($B396, Result_Database!$A$2:$A$500, Result_Database!S$2:S$500),
  _xlfn.IFNA(_xlpm.result, "")
)</f>
        <v/>
      </c>
      <c r="U396" t="str">
        <f>_xlfn.LET(
  _xlpm.result, _xlfn.XLOOKUP($B396, Result_Database!$A$2:$A$500, Result_Database!T$2:T$500),
  _xlfn.IFNA(_xlpm.result, "")
)</f>
        <v/>
      </c>
      <c r="V396" t="str">
        <f>_xlfn.LET(
  _xlpm.result, _xlfn.XLOOKUP($B396, Result_Database!$A$2:$A$500, Result_Database!U$2:U$500),
  _xlfn.IFNA(_xlpm.result, "")
)</f>
        <v/>
      </c>
      <c r="W396" t="str">
        <f>_xlfn.LET(
  _xlpm.result, _xlfn.XLOOKUP($B396, Result_Database!$A$2:$A$500, Result_Database!V$2:V$500),
  _xlfn.IFNA(_xlpm.result, "")
)</f>
        <v/>
      </c>
      <c r="X396" t="str">
        <f>_xlfn.LET(
  _xlpm.result, _xlfn.XLOOKUP($B396, Result_Database!$A$2:$A$500, Result_Database!W$2:W$500),
  _xlfn.IFNA(_xlpm.result, "")
)</f>
        <v/>
      </c>
      <c r="Y396" t="str">
        <f>_xlfn.LET(
  _xlpm.result, _xlfn.XLOOKUP($B396, Result_Database!$A$2:$A$500, Result_Database!X$2:X$500),
  _xlfn.IFNA(_xlpm.result, "")
)</f>
        <v/>
      </c>
      <c r="Z396" t="str">
        <f>_xlfn.LET(
  _xlpm.result, _xlfn.XLOOKUP($B396, Result_Database!$A$2:$A$500, Result_Database!Y$2:Y$500),
  _xlfn.IFNA(_xlpm.result, "")
)</f>
        <v/>
      </c>
      <c r="AA396" t="str">
        <f>_xlfn.LET(
  _xlpm.result, _xlfn.XLOOKUP($B396, Result_Database!$A$2:$A$500, Result_Database!Z$2:Z$500),
  _xlfn.IFNA(_xlpm.result, "")
)</f>
        <v/>
      </c>
      <c r="AB396" t="str">
        <f>_xlfn.LET(
  _xlpm.result, _xlfn.XLOOKUP($B396, Result_Database!$A$2:$A$500, Result_Database!AA$2:AA$500),
  _xlfn.IFNA(_xlpm.result, "")
)</f>
        <v/>
      </c>
      <c r="AC396" t="str">
        <f>_xlfn.LET(
  _xlpm.result, _xlfn.XLOOKUP($B396, Result_Database!$A$2:$A$500, Result_Database!AB$2:AB$500),
  _xlfn.IFNA(_xlpm.result, "")
)</f>
        <v/>
      </c>
      <c r="AD396" t="str">
        <f>_xlfn.LET(
  _xlpm.result, _xlfn.XLOOKUP($B396, Result_Database!$A$2:$A$500, Result_Database!AC$2:AC$500),
  _xlfn.IFNA(_xlpm.result, "")
)</f>
        <v/>
      </c>
      <c r="AE396" t="str">
        <f>_xlfn.LET(
  _xlpm.result, _xlfn.XLOOKUP($B396, Result_Database!$A$2:$A$500, Result_Database!AD$2:AD$500),
  _xlfn.IFNA(_xlpm.result, "")
)</f>
        <v/>
      </c>
      <c r="AF396" t="str">
        <f>_xlfn.LET(
  _xlpm.result, _xlfn.XLOOKUP($B396, Result_Database!$A$2:$A$500, Result_Database!AE$2:AE$500),
  _xlfn.IFNA(_xlpm.result, "")
)</f>
        <v/>
      </c>
      <c r="AG396" t="str">
        <f>_xlfn.LET(
  _xlpm.result, _xlfn.XLOOKUP($B396, Result_Database!$A$2:$A$500, Result_Database!AF$2:AF$500),
  _xlfn.IFNA(_xlpm.result, "")
)</f>
        <v/>
      </c>
      <c r="AH396" t="str">
        <f>_xlfn.LET(
  _xlpm.result, _xlfn.XLOOKUP($B396, Result_Database!$A$2:$A$500, Result_Database!AG$2:AG$500),
  _xlfn.IFNA(_xlpm.result, "")
)</f>
        <v/>
      </c>
      <c r="AI396" t="str">
        <f>_xlfn.LET(
  _xlpm.result, _xlfn.XLOOKUP($B396, Result_Database!$A$2:$A$500, Result_Database!AH$2:AH$500),
  _xlfn.IFNA(_xlpm.result, "")
)</f>
        <v/>
      </c>
      <c r="AJ396" t="str">
        <f>_xlfn.LET(
  _xlpm.result, _xlfn.XLOOKUP($B396, Result_Database!$A$2:$A$500, Result_Database!AI$2:AI$500),
  _xlfn.IFNA(_xlpm.result, "")
)</f>
        <v/>
      </c>
      <c r="AK396" t="str">
        <f>_xlfn.LET(
  _xlpm.result, _xlfn.XLOOKUP($B396, Result_Database!$A$2:$A$500, Result_Database!AJ$2:AJ$500),
  _xlfn.IFNA(_xlpm.result, "")
)</f>
        <v/>
      </c>
      <c r="AL396" t="str">
        <f>_xlfn.LET(
  _xlpm.result, _xlfn.XLOOKUP($B396, Result_Database!$A$2:$A$500, Result_Database!AK$2:AK$500),
  _xlfn.IFNA(_xlpm.result, "")
)</f>
        <v/>
      </c>
      <c r="AM39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9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9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9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9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9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9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9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9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96" t="str">
        <f>IF(SUM(Table5[[#This Row],[A1]:[C6]])&lt;&gt;0,SUM(Table5[[#This Row],[A1]:[C6]]),"")</f>
        <v/>
      </c>
      <c r="AW396" t="str">
        <f>IF(SUM(Table5[[#This Row],[D7]:[F9]])=0,"",SUM(Table5[[#This Row],[D7]:[F9]]))</f>
        <v/>
      </c>
      <c r="AX39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9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9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9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9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9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96" t="str">
        <f>IF(COUNTIF(Table5[[#This Row],[English Language]:[Electrical/ Electronics]],"WITHHELD")=0,"",COUNTIF(Table5[[#This Row],[English Language]:[Electrical/ Electronics]],"WITHHELD"))</f>
        <v/>
      </c>
      <c r="BE396" t="str">
        <f>IF(SUM(Table5[[#This Row],[NO OF CREDITS]:[BELOW CREDITS]])=0,"",SUM(Table5[[#This Row],[NO OF CREDITS]:[BELOW CREDITS]]))</f>
        <v/>
      </c>
    </row>
    <row r="397" spans="1:57" x14ac:dyDescent="0.3">
      <c r="A397" t="str">
        <f>IF(B397&lt;&gt;"",COUNTA($B$6:B397),"")</f>
        <v/>
      </c>
      <c r="B397" t="str">
        <f>IF(Result_Database!A393="","",Result_Database!A393)</f>
        <v/>
      </c>
      <c r="C397" t="str">
        <f>_xlfn.LET(
_xlpm.result,_xlfn.XLOOKUP($B397,Result_Database!$A$2:$A$500,Result_Database!$B$2:$B$500),
_xlfn.IFNA(_xlpm.result,"")
)</f>
        <v/>
      </c>
      <c r="D397" t="str">
        <f>_xlfn.LET(
  _xlpm.result, _xlfn.XLOOKUP($B397, Result_Database!$A$2:$A$500, Result_Database!C$2:C$500),
  _xlfn.IFNA(_xlpm.result, "")
)</f>
        <v/>
      </c>
      <c r="E397" t="str">
        <f>_xlfn.LET(
  _xlpm.result, _xlfn.XLOOKUP($B397, Result_Database!$A$2:$A$500, Result_Database!D$2:D$500),
  _xlfn.IFNA(_xlpm.result, "")
)</f>
        <v/>
      </c>
      <c r="F397" t="str">
        <f>_xlfn.LET(
  _xlpm.result, _xlfn.XLOOKUP($B397, Result_Database!$A$2:$A$500, Result_Database!E$2:E$500),
  _xlfn.IFNA(_xlpm.result, "")
)</f>
        <v/>
      </c>
      <c r="G397" t="str">
        <f>_xlfn.LET(
  _xlpm.result, _xlfn.XLOOKUP($B397, Result_Database!$A$2:$A$500, Result_Database!F$2:F$500),
  _xlfn.IFNA(_xlpm.result, "")
)</f>
        <v/>
      </c>
      <c r="H397" t="str">
        <f>_xlfn.LET(
  _xlpm.result, _xlfn.XLOOKUP($B397, Result_Database!$A$2:$A$500, Result_Database!G$2:G$500),
  _xlfn.IFNA(_xlpm.result, "")
)</f>
        <v/>
      </c>
      <c r="I397" t="str">
        <f>_xlfn.LET(
  _xlpm.result, _xlfn.XLOOKUP($B397, Result_Database!$A$2:$A$500, Result_Database!H$2:H$500),
  _xlfn.IFNA(_xlpm.result, "")
)</f>
        <v/>
      </c>
      <c r="J397" t="str">
        <f>_xlfn.LET(
  _xlpm.result, _xlfn.XLOOKUP($B397, Result_Database!$A$2:$A$500, Result_Database!I$2:I$500),
  _xlfn.IFNA(_xlpm.result, "")
)</f>
        <v/>
      </c>
      <c r="K397" t="str">
        <f>_xlfn.LET(
  _xlpm.result, _xlfn.XLOOKUP($B397, Result_Database!$A$2:$A$500, Result_Database!J$2:J$500),
  _xlfn.IFNA(_xlpm.result, "")
)</f>
        <v/>
      </c>
      <c r="L397" t="str">
        <f>_xlfn.LET(
  _xlpm.result, _xlfn.XLOOKUP($B397, Result_Database!$A$2:$A$500, Result_Database!K$2:K$500),
  _xlfn.IFNA(_xlpm.result, "")
)</f>
        <v/>
      </c>
      <c r="M397" t="str">
        <f>_xlfn.LET(
  _xlpm.result, _xlfn.XLOOKUP($B397, Result_Database!$A$2:$A$500, Result_Database!L$2:L$500),
  _xlfn.IFNA(_xlpm.result, "")
)</f>
        <v/>
      </c>
      <c r="N397" t="str">
        <f>_xlfn.LET(
  _xlpm.result, _xlfn.XLOOKUP($B397, Result_Database!$A$2:$A$500, Result_Database!M$2:M$500),
  _xlfn.IFNA(_xlpm.result, "")
)</f>
        <v/>
      </c>
      <c r="O397" t="str">
        <f>_xlfn.LET(
  _xlpm.result, _xlfn.XLOOKUP($B397, Result_Database!$A$2:$A$500, Result_Database!N$2:N$500),
  _xlfn.IFNA(_xlpm.result, "")
)</f>
        <v/>
      </c>
      <c r="P397" t="str">
        <f>_xlfn.LET(
  _xlpm.result, _xlfn.XLOOKUP($B397, Result_Database!$A$2:$A$500, Result_Database!O$2:O$500),
  _xlfn.IFNA(_xlpm.result, "")
)</f>
        <v/>
      </c>
      <c r="Q397" t="str">
        <f>_xlfn.LET(
  _xlpm.result, _xlfn.XLOOKUP($B397, Result_Database!$A$2:$A$500, Result_Database!P$2:P$500),
  _xlfn.IFNA(_xlpm.result, "")
)</f>
        <v/>
      </c>
      <c r="R397" t="str">
        <f>_xlfn.LET(
  _xlpm.result, _xlfn.XLOOKUP($B397, Result_Database!$A$2:$A$500, Result_Database!Q$2:Q$500),
  _xlfn.IFNA(_xlpm.result, "")
)</f>
        <v/>
      </c>
      <c r="S397" t="str">
        <f>_xlfn.LET(
  _xlpm.result, _xlfn.XLOOKUP($B397, Result_Database!$A$2:$A$500, Result_Database!R$2:R$500),
  _xlfn.IFNA(_xlpm.result, "")
)</f>
        <v/>
      </c>
      <c r="T397" t="str">
        <f>_xlfn.LET(
  _xlpm.result, _xlfn.XLOOKUP($B397, Result_Database!$A$2:$A$500, Result_Database!S$2:S$500),
  _xlfn.IFNA(_xlpm.result, "")
)</f>
        <v/>
      </c>
      <c r="U397" t="str">
        <f>_xlfn.LET(
  _xlpm.result, _xlfn.XLOOKUP($B397, Result_Database!$A$2:$A$500, Result_Database!T$2:T$500),
  _xlfn.IFNA(_xlpm.result, "")
)</f>
        <v/>
      </c>
      <c r="V397" t="str">
        <f>_xlfn.LET(
  _xlpm.result, _xlfn.XLOOKUP($B397, Result_Database!$A$2:$A$500, Result_Database!U$2:U$500),
  _xlfn.IFNA(_xlpm.result, "")
)</f>
        <v/>
      </c>
      <c r="W397" t="str">
        <f>_xlfn.LET(
  _xlpm.result, _xlfn.XLOOKUP($B397, Result_Database!$A$2:$A$500, Result_Database!V$2:V$500),
  _xlfn.IFNA(_xlpm.result, "")
)</f>
        <v/>
      </c>
      <c r="X397" t="str">
        <f>_xlfn.LET(
  _xlpm.result, _xlfn.XLOOKUP($B397, Result_Database!$A$2:$A$500, Result_Database!W$2:W$500),
  _xlfn.IFNA(_xlpm.result, "")
)</f>
        <v/>
      </c>
      <c r="Y397" t="str">
        <f>_xlfn.LET(
  _xlpm.result, _xlfn.XLOOKUP($B397, Result_Database!$A$2:$A$500, Result_Database!X$2:X$500),
  _xlfn.IFNA(_xlpm.result, "")
)</f>
        <v/>
      </c>
      <c r="Z397" t="str">
        <f>_xlfn.LET(
  _xlpm.result, _xlfn.XLOOKUP($B397, Result_Database!$A$2:$A$500, Result_Database!Y$2:Y$500),
  _xlfn.IFNA(_xlpm.result, "")
)</f>
        <v/>
      </c>
      <c r="AA397" t="str">
        <f>_xlfn.LET(
  _xlpm.result, _xlfn.XLOOKUP($B397, Result_Database!$A$2:$A$500, Result_Database!Z$2:Z$500),
  _xlfn.IFNA(_xlpm.result, "")
)</f>
        <v/>
      </c>
      <c r="AB397" t="str">
        <f>_xlfn.LET(
  _xlpm.result, _xlfn.XLOOKUP($B397, Result_Database!$A$2:$A$500, Result_Database!AA$2:AA$500),
  _xlfn.IFNA(_xlpm.result, "")
)</f>
        <v/>
      </c>
      <c r="AC397" t="str">
        <f>_xlfn.LET(
  _xlpm.result, _xlfn.XLOOKUP($B397, Result_Database!$A$2:$A$500, Result_Database!AB$2:AB$500),
  _xlfn.IFNA(_xlpm.result, "")
)</f>
        <v/>
      </c>
      <c r="AD397" t="str">
        <f>_xlfn.LET(
  _xlpm.result, _xlfn.XLOOKUP($B397, Result_Database!$A$2:$A$500, Result_Database!AC$2:AC$500),
  _xlfn.IFNA(_xlpm.result, "")
)</f>
        <v/>
      </c>
      <c r="AE397" t="str">
        <f>_xlfn.LET(
  _xlpm.result, _xlfn.XLOOKUP($B397, Result_Database!$A$2:$A$500, Result_Database!AD$2:AD$500),
  _xlfn.IFNA(_xlpm.result, "")
)</f>
        <v/>
      </c>
      <c r="AF397" t="str">
        <f>_xlfn.LET(
  _xlpm.result, _xlfn.XLOOKUP($B397, Result_Database!$A$2:$A$500, Result_Database!AE$2:AE$500),
  _xlfn.IFNA(_xlpm.result, "")
)</f>
        <v/>
      </c>
      <c r="AG397" t="str">
        <f>_xlfn.LET(
  _xlpm.result, _xlfn.XLOOKUP($B397, Result_Database!$A$2:$A$500, Result_Database!AF$2:AF$500),
  _xlfn.IFNA(_xlpm.result, "")
)</f>
        <v/>
      </c>
      <c r="AH397" t="str">
        <f>_xlfn.LET(
  _xlpm.result, _xlfn.XLOOKUP($B397, Result_Database!$A$2:$A$500, Result_Database!AG$2:AG$500),
  _xlfn.IFNA(_xlpm.result, "")
)</f>
        <v/>
      </c>
      <c r="AI397" t="str">
        <f>_xlfn.LET(
  _xlpm.result, _xlfn.XLOOKUP($B397, Result_Database!$A$2:$A$500, Result_Database!AH$2:AH$500),
  _xlfn.IFNA(_xlpm.result, "")
)</f>
        <v/>
      </c>
      <c r="AJ397" t="str">
        <f>_xlfn.LET(
  _xlpm.result, _xlfn.XLOOKUP($B397, Result_Database!$A$2:$A$500, Result_Database!AI$2:AI$500),
  _xlfn.IFNA(_xlpm.result, "")
)</f>
        <v/>
      </c>
      <c r="AK397" t="str">
        <f>_xlfn.LET(
  _xlpm.result, _xlfn.XLOOKUP($B397, Result_Database!$A$2:$A$500, Result_Database!AJ$2:AJ$500),
  _xlfn.IFNA(_xlpm.result, "")
)</f>
        <v/>
      </c>
      <c r="AL397" t="str">
        <f>_xlfn.LET(
  _xlpm.result, _xlfn.XLOOKUP($B397, Result_Database!$A$2:$A$500, Result_Database!AK$2:AK$500),
  _xlfn.IFNA(_xlpm.result, "")
)</f>
        <v/>
      </c>
      <c r="AM39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9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9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9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9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9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9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9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9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97" t="str">
        <f>IF(SUM(Table5[[#This Row],[A1]:[C6]])&lt;&gt;0,SUM(Table5[[#This Row],[A1]:[C6]]),"")</f>
        <v/>
      </c>
      <c r="AW397" t="str">
        <f>IF(SUM(Table5[[#This Row],[D7]:[F9]])=0,"",SUM(Table5[[#This Row],[D7]:[F9]]))</f>
        <v/>
      </c>
      <c r="AX39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9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9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9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9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9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97" t="str">
        <f>IF(COUNTIF(Table5[[#This Row],[English Language]:[Electrical/ Electronics]],"WITHHELD")=0,"",COUNTIF(Table5[[#This Row],[English Language]:[Electrical/ Electronics]],"WITHHELD"))</f>
        <v/>
      </c>
      <c r="BE397" t="str">
        <f>IF(SUM(Table5[[#This Row],[NO OF CREDITS]:[BELOW CREDITS]])=0,"",SUM(Table5[[#This Row],[NO OF CREDITS]:[BELOW CREDITS]]))</f>
        <v/>
      </c>
    </row>
    <row r="398" spans="1:57" x14ac:dyDescent="0.3">
      <c r="A398" t="str">
        <f>IF(B398&lt;&gt;"",COUNTA($B$6:B398),"")</f>
        <v/>
      </c>
      <c r="B398" t="str">
        <f>IF(Result_Database!A394="","",Result_Database!A394)</f>
        <v/>
      </c>
      <c r="C398" t="str">
        <f>_xlfn.LET(
_xlpm.result,_xlfn.XLOOKUP($B398,Result_Database!$A$2:$A$500,Result_Database!$B$2:$B$500),
_xlfn.IFNA(_xlpm.result,"")
)</f>
        <v/>
      </c>
      <c r="D398" t="str">
        <f>_xlfn.LET(
  _xlpm.result, _xlfn.XLOOKUP($B398, Result_Database!$A$2:$A$500, Result_Database!C$2:C$500),
  _xlfn.IFNA(_xlpm.result, "")
)</f>
        <v/>
      </c>
      <c r="E398" t="str">
        <f>_xlfn.LET(
  _xlpm.result, _xlfn.XLOOKUP($B398, Result_Database!$A$2:$A$500, Result_Database!D$2:D$500),
  _xlfn.IFNA(_xlpm.result, "")
)</f>
        <v/>
      </c>
      <c r="F398" t="str">
        <f>_xlfn.LET(
  _xlpm.result, _xlfn.XLOOKUP($B398, Result_Database!$A$2:$A$500, Result_Database!E$2:E$500),
  _xlfn.IFNA(_xlpm.result, "")
)</f>
        <v/>
      </c>
      <c r="G398" t="str">
        <f>_xlfn.LET(
  _xlpm.result, _xlfn.XLOOKUP($B398, Result_Database!$A$2:$A$500, Result_Database!F$2:F$500),
  _xlfn.IFNA(_xlpm.result, "")
)</f>
        <v/>
      </c>
      <c r="H398" t="str">
        <f>_xlfn.LET(
  _xlpm.result, _xlfn.XLOOKUP($B398, Result_Database!$A$2:$A$500, Result_Database!G$2:G$500),
  _xlfn.IFNA(_xlpm.result, "")
)</f>
        <v/>
      </c>
      <c r="I398" t="str">
        <f>_xlfn.LET(
  _xlpm.result, _xlfn.XLOOKUP($B398, Result_Database!$A$2:$A$500, Result_Database!H$2:H$500),
  _xlfn.IFNA(_xlpm.result, "")
)</f>
        <v/>
      </c>
      <c r="J398" t="str">
        <f>_xlfn.LET(
  _xlpm.result, _xlfn.XLOOKUP($B398, Result_Database!$A$2:$A$500, Result_Database!I$2:I$500),
  _xlfn.IFNA(_xlpm.result, "")
)</f>
        <v/>
      </c>
      <c r="K398" t="str">
        <f>_xlfn.LET(
  _xlpm.result, _xlfn.XLOOKUP($B398, Result_Database!$A$2:$A$500, Result_Database!J$2:J$500),
  _xlfn.IFNA(_xlpm.result, "")
)</f>
        <v/>
      </c>
      <c r="L398" t="str">
        <f>_xlfn.LET(
  _xlpm.result, _xlfn.XLOOKUP($B398, Result_Database!$A$2:$A$500, Result_Database!K$2:K$500),
  _xlfn.IFNA(_xlpm.result, "")
)</f>
        <v/>
      </c>
      <c r="M398" t="str">
        <f>_xlfn.LET(
  _xlpm.result, _xlfn.XLOOKUP($B398, Result_Database!$A$2:$A$500, Result_Database!L$2:L$500),
  _xlfn.IFNA(_xlpm.result, "")
)</f>
        <v/>
      </c>
      <c r="N398" t="str">
        <f>_xlfn.LET(
  _xlpm.result, _xlfn.XLOOKUP($B398, Result_Database!$A$2:$A$500, Result_Database!M$2:M$500),
  _xlfn.IFNA(_xlpm.result, "")
)</f>
        <v/>
      </c>
      <c r="O398" t="str">
        <f>_xlfn.LET(
  _xlpm.result, _xlfn.XLOOKUP($B398, Result_Database!$A$2:$A$500, Result_Database!N$2:N$500),
  _xlfn.IFNA(_xlpm.result, "")
)</f>
        <v/>
      </c>
      <c r="P398" t="str">
        <f>_xlfn.LET(
  _xlpm.result, _xlfn.XLOOKUP($B398, Result_Database!$A$2:$A$500, Result_Database!O$2:O$500),
  _xlfn.IFNA(_xlpm.result, "")
)</f>
        <v/>
      </c>
      <c r="Q398" t="str">
        <f>_xlfn.LET(
  _xlpm.result, _xlfn.XLOOKUP($B398, Result_Database!$A$2:$A$500, Result_Database!P$2:P$500),
  _xlfn.IFNA(_xlpm.result, "")
)</f>
        <v/>
      </c>
      <c r="R398" t="str">
        <f>_xlfn.LET(
  _xlpm.result, _xlfn.XLOOKUP($B398, Result_Database!$A$2:$A$500, Result_Database!Q$2:Q$500),
  _xlfn.IFNA(_xlpm.result, "")
)</f>
        <v/>
      </c>
      <c r="S398" t="str">
        <f>_xlfn.LET(
  _xlpm.result, _xlfn.XLOOKUP($B398, Result_Database!$A$2:$A$500, Result_Database!R$2:R$500),
  _xlfn.IFNA(_xlpm.result, "")
)</f>
        <v/>
      </c>
      <c r="T398" t="str">
        <f>_xlfn.LET(
  _xlpm.result, _xlfn.XLOOKUP($B398, Result_Database!$A$2:$A$500, Result_Database!S$2:S$500),
  _xlfn.IFNA(_xlpm.result, "")
)</f>
        <v/>
      </c>
      <c r="U398" t="str">
        <f>_xlfn.LET(
  _xlpm.result, _xlfn.XLOOKUP($B398, Result_Database!$A$2:$A$500, Result_Database!T$2:T$500),
  _xlfn.IFNA(_xlpm.result, "")
)</f>
        <v/>
      </c>
      <c r="V398" t="str">
        <f>_xlfn.LET(
  _xlpm.result, _xlfn.XLOOKUP($B398, Result_Database!$A$2:$A$500, Result_Database!U$2:U$500),
  _xlfn.IFNA(_xlpm.result, "")
)</f>
        <v/>
      </c>
      <c r="W398" t="str">
        <f>_xlfn.LET(
  _xlpm.result, _xlfn.XLOOKUP($B398, Result_Database!$A$2:$A$500, Result_Database!V$2:V$500),
  _xlfn.IFNA(_xlpm.result, "")
)</f>
        <v/>
      </c>
      <c r="X398" t="str">
        <f>_xlfn.LET(
  _xlpm.result, _xlfn.XLOOKUP($B398, Result_Database!$A$2:$A$500, Result_Database!W$2:W$500),
  _xlfn.IFNA(_xlpm.result, "")
)</f>
        <v/>
      </c>
      <c r="Y398" t="str">
        <f>_xlfn.LET(
  _xlpm.result, _xlfn.XLOOKUP($B398, Result_Database!$A$2:$A$500, Result_Database!X$2:X$500),
  _xlfn.IFNA(_xlpm.result, "")
)</f>
        <v/>
      </c>
      <c r="Z398" t="str">
        <f>_xlfn.LET(
  _xlpm.result, _xlfn.XLOOKUP($B398, Result_Database!$A$2:$A$500, Result_Database!Y$2:Y$500),
  _xlfn.IFNA(_xlpm.result, "")
)</f>
        <v/>
      </c>
      <c r="AA398" t="str">
        <f>_xlfn.LET(
  _xlpm.result, _xlfn.XLOOKUP($B398, Result_Database!$A$2:$A$500, Result_Database!Z$2:Z$500),
  _xlfn.IFNA(_xlpm.result, "")
)</f>
        <v/>
      </c>
      <c r="AB398" t="str">
        <f>_xlfn.LET(
  _xlpm.result, _xlfn.XLOOKUP($B398, Result_Database!$A$2:$A$500, Result_Database!AA$2:AA$500),
  _xlfn.IFNA(_xlpm.result, "")
)</f>
        <v/>
      </c>
      <c r="AC398" t="str">
        <f>_xlfn.LET(
  _xlpm.result, _xlfn.XLOOKUP($B398, Result_Database!$A$2:$A$500, Result_Database!AB$2:AB$500),
  _xlfn.IFNA(_xlpm.result, "")
)</f>
        <v/>
      </c>
      <c r="AD398" t="str">
        <f>_xlfn.LET(
  _xlpm.result, _xlfn.XLOOKUP($B398, Result_Database!$A$2:$A$500, Result_Database!AC$2:AC$500),
  _xlfn.IFNA(_xlpm.result, "")
)</f>
        <v/>
      </c>
      <c r="AE398" t="str">
        <f>_xlfn.LET(
  _xlpm.result, _xlfn.XLOOKUP($B398, Result_Database!$A$2:$A$500, Result_Database!AD$2:AD$500),
  _xlfn.IFNA(_xlpm.result, "")
)</f>
        <v/>
      </c>
      <c r="AF398" t="str">
        <f>_xlfn.LET(
  _xlpm.result, _xlfn.XLOOKUP($B398, Result_Database!$A$2:$A$500, Result_Database!AE$2:AE$500),
  _xlfn.IFNA(_xlpm.result, "")
)</f>
        <v/>
      </c>
      <c r="AG398" t="str">
        <f>_xlfn.LET(
  _xlpm.result, _xlfn.XLOOKUP($B398, Result_Database!$A$2:$A$500, Result_Database!AF$2:AF$500),
  _xlfn.IFNA(_xlpm.result, "")
)</f>
        <v/>
      </c>
      <c r="AH398" t="str">
        <f>_xlfn.LET(
  _xlpm.result, _xlfn.XLOOKUP($B398, Result_Database!$A$2:$A$500, Result_Database!AG$2:AG$500),
  _xlfn.IFNA(_xlpm.result, "")
)</f>
        <v/>
      </c>
      <c r="AI398" t="str">
        <f>_xlfn.LET(
  _xlpm.result, _xlfn.XLOOKUP($B398, Result_Database!$A$2:$A$500, Result_Database!AH$2:AH$500),
  _xlfn.IFNA(_xlpm.result, "")
)</f>
        <v/>
      </c>
      <c r="AJ398" t="str">
        <f>_xlfn.LET(
  _xlpm.result, _xlfn.XLOOKUP($B398, Result_Database!$A$2:$A$500, Result_Database!AI$2:AI$500),
  _xlfn.IFNA(_xlpm.result, "")
)</f>
        <v/>
      </c>
      <c r="AK398" t="str">
        <f>_xlfn.LET(
  _xlpm.result, _xlfn.XLOOKUP($B398, Result_Database!$A$2:$A$500, Result_Database!AJ$2:AJ$500),
  _xlfn.IFNA(_xlpm.result, "")
)</f>
        <v/>
      </c>
      <c r="AL398" t="str">
        <f>_xlfn.LET(
  _xlpm.result, _xlfn.XLOOKUP($B398, Result_Database!$A$2:$A$500, Result_Database!AK$2:AK$500),
  _xlfn.IFNA(_xlpm.result, "")
)</f>
        <v/>
      </c>
      <c r="AM39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9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9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9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9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9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9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9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9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98" t="str">
        <f>IF(SUM(Table5[[#This Row],[A1]:[C6]])&lt;&gt;0,SUM(Table5[[#This Row],[A1]:[C6]]),"")</f>
        <v/>
      </c>
      <c r="AW398" t="str">
        <f>IF(SUM(Table5[[#This Row],[D7]:[F9]])=0,"",SUM(Table5[[#This Row],[D7]:[F9]]))</f>
        <v/>
      </c>
      <c r="AX39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9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9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9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9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9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98" t="str">
        <f>IF(COUNTIF(Table5[[#This Row],[English Language]:[Electrical/ Electronics]],"WITHHELD")=0,"",COUNTIF(Table5[[#This Row],[English Language]:[Electrical/ Electronics]],"WITHHELD"))</f>
        <v/>
      </c>
      <c r="BE398" t="str">
        <f>IF(SUM(Table5[[#This Row],[NO OF CREDITS]:[BELOW CREDITS]])=0,"",SUM(Table5[[#This Row],[NO OF CREDITS]:[BELOW CREDITS]]))</f>
        <v/>
      </c>
    </row>
    <row r="399" spans="1:57" x14ac:dyDescent="0.3">
      <c r="A399" t="str">
        <f>IF(B399&lt;&gt;"",COUNTA($B$6:B399),"")</f>
        <v/>
      </c>
      <c r="B399" t="str">
        <f>IF(Result_Database!A395="","",Result_Database!A395)</f>
        <v/>
      </c>
      <c r="C399" t="str">
        <f>_xlfn.LET(
_xlpm.result,_xlfn.XLOOKUP($B399,Result_Database!$A$2:$A$500,Result_Database!$B$2:$B$500),
_xlfn.IFNA(_xlpm.result,"")
)</f>
        <v/>
      </c>
      <c r="D399" t="str">
        <f>_xlfn.LET(
  _xlpm.result, _xlfn.XLOOKUP($B399, Result_Database!$A$2:$A$500, Result_Database!C$2:C$500),
  _xlfn.IFNA(_xlpm.result, "")
)</f>
        <v/>
      </c>
      <c r="E399" t="str">
        <f>_xlfn.LET(
  _xlpm.result, _xlfn.XLOOKUP($B399, Result_Database!$A$2:$A$500, Result_Database!D$2:D$500),
  _xlfn.IFNA(_xlpm.result, "")
)</f>
        <v/>
      </c>
      <c r="F399" t="str">
        <f>_xlfn.LET(
  _xlpm.result, _xlfn.XLOOKUP($B399, Result_Database!$A$2:$A$500, Result_Database!E$2:E$500),
  _xlfn.IFNA(_xlpm.result, "")
)</f>
        <v/>
      </c>
      <c r="G399" t="str">
        <f>_xlfn.LET(
  _xlpm.result, _xlfn.XLOOKUP($B399, Result_Database!$A$2:$A$500, Result_Database!F$2:F$500),
  _xlfn.IFNA(_xlpm.result, "")
)</f>
        <v/>
      </c>
      <c r="H399" t="str">
        <f>_xlfn.LET(
  _xlpm.result, _xlfn.XLOOKUP($B399, Result_Database!$A$2:$A$500, Result_Database!G$2:G$500),
  _xlfn.IFNA(_xlpm.result, "")
)</f>
        <v/>
      </c>
      <c r="I399" t="str">
        <f>_xlfn.LET(
  _xlpm.result, _xlfn.XLOOKUP($B399, Result_Database!$A$2:$A$500, Result_Database!H$2:H$500),
  _xlfn.IFNA(_xlpm.result, "")
)</f>
        <v/>
      </c>
      <c r="J399" t="str">
        <f>_xlfn.LET(
  _xlpm.result, _xlfn.XLOOKUP($B399, Result_Database!$A$2:$A$500, Result_Database!I$2:I$500),
  _xlfn.IFNA(_xlpm.result, "")
)</f>
        <v/>
      </c>
      <c r="K399" t="str">
        <f>_xlfn.LET(
  _xlpm.result, _xlfn.XLOOKUP($B399, Result_Database!$A$2:$A$500, Result_Database!J$2:J$500),
  _xlfn.IFNA(_xlpm.result, "")
)</f>
        <v/>
      </c>
      <c r="L399" t="str">
        <f>_xlfn.LET(
  _xlpm.result, _xlfn.XLOOKUP($B399, Result_Database!$A$2:$A$500, Result_Database!K$2:K$500),
  _xlfn.IFNA(_xlpm.result, "")
)</f>
        <v/>
      </c>
      <c r="M399" t="str">
        <f>_xlfn.LET(
  _xlpm.result, _xlfn.XLOOKUP($B399, Result_Database!$A$2:$A$500, Result_Database!L$2:L$500),
  _xlfn.IFNA(_xlpm.result, "")
)</f>
        <v/>
      </c>
      <c r="N399" t="str">
        <f>_xlfn.LET(
  _xlpm.result, _xlfn.XLOOKUP($B399, Result_Database!$A$2:$A$500, Result_Database!M$2:M$500),
  _xlfn.IFNA(_xlpm.result, "")
)</f>
        <v/>
      </c>
      <c r="O399" t="str">
        <f>_xlfn.LET(
  _xlpm.result, _xlfn.XLOOKUP($B399, Result_Database!$A$2:$A$500, Result_Database!N$2:N$500),
  _xlfn.IFNA(_xlpm.result, "")
)</f>
        <v/>
      </c>
      <c r="P399" t="str">
        <f>_xlfn.LET(
  _xlpm.result, _xlfn.XLOOKUP($B399, Result_Database!$A$2:$A$500, Result_Database!O$2:O$500),
  _xlfn.IFNA(_xlpm.result, "")
)</f>
        <v/>
      </c>
      <c r="Q399" t="str">
        <f>_xlfn.LET(
  _xlpm.result, _xlfn.XLOOKUP($B399, Result_Database!$A$2:$A$500, Result_Database!P$2:P$500),
  _xlfn.IFNA(_xlpm.result, "")
)</f>
        <v/>
      </c>
      <c r="R399" t="str">
        <f>_xlfn.LET(
  _xlpm.result, _xlfn.XLOOKUP($B399, Result_Database!$A$2:$A$500, Result_Database!Q$2:Q$500),
  _xlfn.IFNA(_xlpm.result, "")
)</f>
        <v/>
      </c>
      <c r="S399" t="str">
        <f>_xlfn.LET(
  _xlpm.result, _xlfn.XLOOKUP($B399, Result_Database!$A$2:$A$500, Result_Database!R$2:R$500),
  _xlfn.IFNA(_xlpm.result, "")
)</f>
        <v/>
      </c>
      <c r="T399" t="str">
        <f>_xlfn.LET(
  _xlpm.result, _xlfn.XLOOKUP($B399, Result_Database!$A$2:$A$500, Result_Database!S$2:S$500),
  _xlfn.IFNA(_xlpm.result, "")
)</f>
        <v/>
      </c>
      <c r="U399" t="str">
        <f>_xlfn.LET(
  _xlpm.result, _xlfn.XLOOKUP($B399, Result_Database!$A$2:$A$500, Result_Database!T$2:T$500),
  _xlfn.IFNA(_xlpm.result, "")
)</f>
        <v/>
      </c>
      <c r="V399" t="str">
        <f>_xlfn.LET(
  _xlpm.result, _xlfn.XLOOKUP($B399, Result_Database!$A$2:$A$500, Result_Database!U$2:U$500),
  _xlfn.IFNA(_xlpm.result, "")
)</f>
        <v/>
      </c>
      <c r="W399" t="str">
        <f>_xlfn.LET(
  _xlpm.result, _xlfn.XLOOKUP($B399, Result_Database!$A$2:$A$500, Result_Database!V$2:V$500),
  _xlfn.IFNA(_xlpm.result, "")
)</f>
        <v/>
      </c>
      <c r="X399" t="str">
        <f>_xlfn.LET(
  _xlpm.result, _xlfn.XLOOKUP($B399, Result_Database!$A$2:$A$500, Result_Database!W$2:W$500),
  _xlfn.IFNA(_xlpm.result, "")
)</f>
        <v/>
      </c>
      <c r="Y399" t="str">
        <f>_xlfn.LET(
  _xlpm.result, _xlfn.XLOOKUP($B399, Result_Database!$A$2:$A$500, Result_Database!X$2:X$500),
  _xlfn.IFNA(_xlpm.result, "")
)</f>
        <v/>
      </c>
      <c r="Z399" t="str">
        <f>_xlfn.LET(
  _xlpm.result, _xlfn.XLOOKUP($B399, Result_Database!$A$2:$A$500, Result_Database!Y$2:Y$500),
  _xlfn.IFNA(_xlpm.result, "")
)</f>
        <v/>
      </c>
      <c r="AA399" t="str">
        <f>_xlfn.LET(
  _xlpm.result, _xlfn.XLOOKUP($B399, Result_Database!$A$2:$A$500, Result_Database!Z$2:Z$500),
  _xlfn.IFNA(_xlpm.result, "")
)</f>
        <v/>
      </c>
      <c r="AB399" t="str">
        <f>_xlfn.LET(
  _xlpm.result, _xlfn.XLOOKUP($B399, Result_Database!$A$2:$A$500, Result_Database!AA$2:AA$500),
  _xlfn.IFNA(_xlpm.result, "")
)</f>
        <v/>
      </c>
      <c r="AC399" t="str">
        <f>_xlfn.LET(
  _xlpm.result, _xlfn.XLOOKUP($B399, Result_Database!$A$2:$A$500, Result_Database!AB$2:AB$500),
  _xlfn.IFNA(_xlpm.result, "")
)</f>
        <v/>
      </c>
      <c r="AD399" t="str">
        <f>_xlfn.LET(
  _xlpm.result, _xlfn.XLOOKUP($B399, Result_Database!$A$2:$A$500, Result_Database!AC$2:AC$500),
  _xlfn.IFNA(_xlpm.result, "")
)</f>
        <v/>
      </c>
      <c r="AE399" t="str">
        <f>_xlfn.LET(
  _xlpm.result, _xlfn.XLOOKUP($B399, Result_Database!$A$2:$A$500, Result_Database!AD$2:AD$500),
  _xlfn.IFNA(_xlpm.result, "")
)</f>
        <v/>
      </c>
      <c r="AF399" t="str">
        <f>_xlfn.LET(
  _xlpm.result, _xlfn.XLOOKUP($B399, Result_Database!$A$2:$A$500, Result_Database!AE$2:AE$500),
  _xlfn.IFNA(_xlpm.result, "")
)</f>
        <v/>
      </c>
      <c r="AG399" t="str">
        <f>_xlfn.LET(
  _xlpm.result, _xlfn.XLOOKUP($B399, Result_Database!$A$2:$A$500, Result_Database!AF$2:AF$500),
  _xlfn.IFNA(_xlpm.result, "")
)</f>
        <v/>
      </c>
      <c r="AH399" t="str">
        <f>_xlfn.LET(
  _xlpm.result, _xlfn.XLOOKUP($B399, Result_Database!$A$2:$A$500, Result_Database!AG$2:AG$500),
  _xlfn.IFNA(_xlpm.result, "")
)</f>
        <v/>
      </c>
      <c r="AI399" t="str">
        <f>_xlfn.LET(
  _xlpm.result, _xlfn.XLOOKUP($B399, Result_Database!$A$2:$A$500, Result_Database!AH$2:AH$500),
  _xlfn.IFNA(_xlpm.result, "")
)</f>
        <v/>
      </c>
      <c r="AJ399" t="str">
        <f>_xlfn.LET(
  _xlpm.result, _xlfn.XLOOKUP($B399, Result_Database!$A$2:$A$500, Result_Database!AI$2:AI$500),
  _xlfn.IFNA(_xlpm.result, "")
)</f>
        <v/>
      </c>
      <c r="AK399" t="str">
        <f>_xlfn.LET(
  _xlpm.result, _xlfn.XLOOKUP($B399, Result_Database!$A$2:$A$500, Result_Database!AJ$2:AJ$500),
  _xlfn.IFNA(_xlpm.result, "")
)</f>
        <v/>
      </c>
      <c r="AL399" t="str">
        <f>_xlfn.LET(
  _xlpm.result, _xlfn.XLOOKUP($B399, Result_Database!$A$2:$A$500, Result_Database!AK$2:AK$500),
  _xlfn.IFNA(_xlpm.result, "")
)</f>
        <v/>
      </c>
      <c r="AM39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39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39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39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39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39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39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39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39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399" t="str">
        <f>IF(SUM(Table5[[#This Row],[A1]:[C6]])&lt;&gt;0,SUM(Table5[[#This Row],[A1]:[C6]]),"")</f>
        <v/>
      </c>
      <c r="AW399" t="str">
        <f>IF(SUM(Table5[[#This Row],[D7]:[F9]])=0,"",SUM(Table5[[#This Row],[D7]:[F9]]))</f>
        <v/>
      </c>
      <c r="AX39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39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39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39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39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39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399" t="str">
        <f>IF(COUNTIF(Table5[[#This Row],[English Language]:[Electrical/ Electronics]],"WITHHELD")=0,"",COUNTIF(Table5[[#This Row],[English Language]:[Electrical/ Electronics]],"WITHHELD"))</f>
        <v/>
      </c>
      <c r="BE399" t="str">
        <f>IF(SUM(Table5[[#This Row],[NO OF CREDITS]:[BELOW CREDITS]])=0,"",SUM(Table5[[#This Row],[NO OF CREDITS]:[BELOW CREDITS]]))</f>
        <v/>
      </c>
    </row>
    <row r="400" spans="1:57" x14ac:dyDescent="0.3">
      <c r="A400" t="str">
        <f>IF(B400&lt;&gt;"",COUNTA($B$6:B400),"")</f>
        <v/>
      </c>
      <c r="B400" t="str">
        <f>IF(Result_Database!A396="","",Result_Database!A396)</f>
        <v/>
      </c>
      <c r="C400" t="str">
        <f>_xlfn.LET(
_xlpm.result,_xlfn.XLOOKUP($B400,Result_Database!$A$2:$A$500,Result_Database!$B$2:$B$500),
_xlfn.IFNA(_xlpm.result,"")
)</f>
        <v/>
      </c>
      <c r="D400" t="str">
        <f>_xlfn.LET(
  _xlpm.result, _xlfn.XLOOKUP($B400, Result_Database!$A$2:$A$500, Result_Database!C$2:C$500),
  _xlfn.IFNA(_xlpm.result, "")
)</f>
        <v/>
      </c>
      <c r="E400" t="str">
        <f>_xlfn.LET(
  _xlpm.result, _xlfn.XLOOKUP($B400, Result_Database!$A$2:$A$500, Result_Database!D$2:D$500),
  _xlfn.IFNA(_xlpm.result, "")
)</f>
        <v/>
      </c>
      <c r="F400" t="str">
        <f>_xlfn.LET(
  _xlpm.result, _xlfn.XLOOKUP($B400, Result_Database!$A$2:$A$500, Result_Database!E$2:E$500),
  _xlfn.IFNA(_xlpm.result, "")
)</f>
        <v/>
      </c>
      <c r="G400" t="str">
        <f>_xlfn.LET(
  _xlpm.result, _xlfn.XLOOKUP($B400, Result_Database!$A$2:$A$500, Result_Database!F$2:F$500),
  _xlfn.IFNA(_xlpm.result, "")
)</f>
        <v/>
      </c>
      <c r="H400" t="str">
        <f>_xlfn.LET(
  _xlpm.result, _xlfn.XLOOKUP($B400, Result_Database!$A$2:$A$500, Result_Database!G$2:G$500),
  _xlfn.IFNA(_xlpm.result, "")
)</f>
        <v/>
      </c>
      <c r="I400" t="str">
        <f>_xlfn.LET(
  _xlpm.result, _xlfn.XLOOKUP($B400, Result_Database!$A$2:$A$500, Result_Database!H$2:H$500),
  _xlfn.IFNA(_xlpm.result, "")
)</f>
        <v/>
      </c>
      <c r="J400" t="str">
        <f>_xlfn.LET(
  _xlpm.result, _xlfn.XLOOKUP($B400, Result_Database!$A$2:$A$500, Result_Database!I$2:I$500),
  _xlfn.IFNA(_xlpm.result, "")
)</f>
        <v/>
      </c>
      <c r="K400" t="str">
        <f>_xlfn.LET(
  _xlpm.result, _xlfn.XLOOKUP($B400, Result_Database!$A$2:$A$500, Result_Database!J$2:J$500),
  _xlfn.IFNA(_xlpm.result, "")
)</f>
        <v/>
      </c>
      <c r="L400" t="str">
        <f>_xlfn.LET(
  _xlpm.result, _xlfn.XLOOKUP($B400, Result_Database!$A$2:$A$500, Result_Database!K$2:K$500),
  _xlfn.IFNA(_xlpm.result, "")
)</f>
        <v/>
      </c>
      <c r="M400" t="str">
        <f>_xlfn.LET(
  _xlpm.result, _xlfn.XLOOKUP($B400, Result_Database!$A$2:$A$500, Result_Database!L$2:L$500),
  _xlfn.IFNA(_xlpm.result, "")
)</f>
        <v/>
      </c>
      <c r="N400" t="str">
        <f>_xlfn.LET(
  _xlpm.result, _xlfn.XLOOKUP($B400, Result_Database!$A$2:$A$500, Result_Database!M$2:M$500),
  _xlfn.IFNA(_xlpm.result, "")
)</f>
        <v/>
      </c>
      <c r="O400" t="str">
        <f>_xlfn.LET(
  _xlpm.result, _xlfn.XLOOKUP($B400, Result_Database!$A$2:$A$500, Result_Database!N$2:N$500),
  _xlfn.IFNA(_xlpm.result, "")
)</f>
        <v/>
      </c>
      <c r="P400" t="str">
        <f>_xlfn.LET(
  _xlpm.result, _xlfn.XLOOKUP($B400, Result_Database!$A$2:$A$500, Result_Database!O$2:O$500),
  _xlfn.IFNA(_xlpm.result, "")
)</f>
        <v/>
      </c>
      <c r="Q400" t="str">
        <f>_xlfn.LET(
  _xlpm.result, _xlfn.XLOOKUP($B400, Result_Database!$A$2:$A$500, Result_Database!P$2:P$500),
  _xlfn.IFNA(_xlpm.result, "")
)</f>
        <v/>
      </c>
      <c r="R400" t="str">
        <f>_xlfn.LET(
  _xlpm.result, _xlfn.XLOOKUP($B400, Result_Database!$A$2:$A$500, Result_Database!Q$2:Q$500),
  _xlfn.IFNA(_xlpm.result, "")
)</f>
        <v/>
      </c>
      <c r="S400" t="str">
        <f>_xlfn.LET(
  _xlpm.result, _xlfn.XLOOKUP($B400, Result_Database!$A$2:$A$500, Result_Database!R$2:R$500),
  _xlfn.IFNA(_xlpm.result, "")
)</f>
        <v/>
      </c>
      <c r="T400" t="str">
        <f>_xlfn.LET(
  _xlpm.result, _xlfn.XLOOKUP($B400, Result_Database!$A$2:$A$500, Result_Database!S$2:S$500),
  _xlfn.IFNA(_xlpm.result, "")
)</f>
        <v/>
      </c>
      <c r="U400" t="str">
        <f>_xlfn.LET(
  _xlpm.result, _xlfn.XLOOKUP($B400, Result_Database!$A$2:$A$500, Result_Database!T$2:T$500),
  _xlfn.IFNA(_xlpm.result, "")
)</f>
        <v/>
      </c>
      <c r="V400" t="str">
        <f>_xlfn.LET(
  _xlpm.result, _xlfn.XLOOKUP($B400, Result_Database!$A$2:$A$500, Result_Database!U$2:U$500),
  _xlfn.IFNA(_xlpm.result, "")
)</f>
        <v/>
      </c>
      <c r="W400" t="str">
        <f>_xlfn.LET(
  _xlpm.result, _xlfn.XLOOKUP($B400, Result_Database!$A$2:$A$500, Result_Database!V$2:V$500),
  _xlfn.IFNA(_xlpm.result, "")
)</f>
        <v/>
      </c>
      <c r="X400" t="str">
        <f>_xlfn.LET(
  _xlpm.result, _xlfn.XLOOKUP($B400, Result_Database!$A$2:$A$500, Result_Database!W$2:W$500),
  _xlfn.IFNA(_xlpm.result, "")
)</f>
        <v/>
      </c>
      <c r="Y400" t="str">
        <f>_xlfn.LET(
  _xlpm.result, _xlfn.XLOOKUP($B400, Result_Database!$A$2:$A$500, Result_Database!X$2:X$500),
  _xlfn.IFNA(_xlpm.result, "")
)</f>
        <v/>
      </c>
      <c r="Z400" t="str">
        <f>_xlfn.LET(
  _xlpm.result, _xlfn.XLOOKUP($B400, Result_Database!$A$2:$A$500, Result_Database!Y$2:Y$500),
  _xlfn.IFNA(_xlpm.result, "")
)</f>
        <v/>
      </c>
      <c r="AA400" t="str">
        <f>_xlfn.LET(
  _xlpm.result, _xlfn.XLOOKUP($B400, Result_Database!$A$2:$A$500, Result_Database!Z$2:Z$500),
  _xlfn.IFNA(_xlpm.result, "")
)</f>
        <v/>
      </c>
      <c r="AB400" t="str">
        <f>_xlfn.LET(
  _xlpm.result, _xlfn.XLOOKUP($B400, Result_Database!$A$2:$A$500, Result_Database!AA$2:AA$500),
  _xlfn.IFNA(_xlpm.result, "")
)</f>
        <v/>
      </c>
      <c r="AC400" t="str">
        <f>_xlfn.LET(
  _xlpm.result, _xlfn.XLOOKUP($B400, Result_Database!$A$2:$A$500, Result_Database!AB$2:AB$500),
  _xlfn.IFNA(_xlpm.result, "")
)</f>
        <v/>
      </c>
      <c r="AD400" t="str">
        <f>_xlfn.LET(
  _xlpm.result, _xlfn.XLOOKUP($B400, Result_Database!$A$2:$A$500, Result_Database!AC$2:AC$500),
  _xlfn.IFNA(_xlpm.result, "")
)</f>
        <v/>
      </c>
      <c r="AE400" t="str">
        <f>_xlfn.LET(
  _xlpm.result, _xlfn.XLOOKUP($B400, Result_Database!$A$2:$A$500, Result_Database!AD$2:AD$500),
  _xlfn.IFNA(_xlpm.result, "")
)</f>
        <v/>
      </c>
      <c r="AF400" t="str">
        <f>_xlfn.LET(
  _xlpm.result, _xlfn.XLOOKUP($B400, Result_Database!$A$2:$A$500, Result_Database!AE$2:AE$500),
  _xlfn.IFNA(_xlpm.result, "")
)</f>
        <v/>
      </c>
      <c r="AG400" t="str">
        <f>_xlfn.LET(
  _xlpm.result, _xlfn.XLOOKUP($B400, Result_Database!$A$2:$A$500, Result_Database!AF$2:AF$500),
  _xlfn.IFNA(_xlpm.result, "")
)</f>
        <v/>
      </c>
      <c r="AH400" t="str">
        <f>_xlfn.LET(
  _xlpm.result, _xlfn.XLOOKUP($B400, Result_Database!$A$2:$A$500, Result_Database!AG$2:AG$500),
  _xlfn.IFNA(_xlpm.result, "")
)</f>
        <v/>
      </c>
      <c r="AI400" t="str">
        <f>_xlfn.LET(
  _xlpm.result, _xlfn.XLOOKUP($B400, Result_Database!$A$2:$A$500, Result_Database!AH$2:AH$500),
  _xlfn.IFNA(_xlpm.result, "")
)</f>
        <v/>
      </c>
      <c r="AJ400" t="str">
        <f>_xlfn.LET(
  _xlpm.result, _xlfn.XLOOKUP($B400, Result_Database!$A$2:$A$500, Result_Database!AI$2:AI$500),
  _xlfn.IFNA(_xlpm.result, "")
)</f>
        <v/>
      </c>
      <c r="AK400" t="str">
        <f>_xlfn.LET(
  _xlpm.result, _xlfn.XLOOKUP($B400, Result_Database!$A$2:$A$500, Result_Database!AJ$2:AJ$500),
  _xlfn.IFNA(_xlpm.result, "")
)</f>
        <v/>
      </c>
      <c r="AL400" t="str">
        <f>_xlfn.LET(
  _xlpm.result, _xlfn.XLOOKUP($B400, Result_Database!$A$2:$A$500, Result_Database!AK$2:AK$500),
  _xlfn.IFNA(_xlpm.result, "")
)</f>
        <v/>
      </c>
      <c r="AM40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0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0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0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0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0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0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0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0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00" t="str">
        <f>IF(SUM(Table5[[#This Row],[A1]:[C6]])&lt;&gt;0,SUM(Table5[[#This Row],[A1]:[C6]]),"")</f>
        <v/>
      </c>
      <c r="AW400" t="str">
        <f>IF(SUM(Table5[[#This Row],[D7]:[F9]])=0,"",SUM(Table5[[#This Row],[D7]:[F9]]))</f>
        <v/>
      </c>
      <c r="AX40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0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0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0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0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0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00" t="str">
        <f>IF(COUNTIF(Table5[[#This Row],[English Language]:[Electrical/ Electronics]],"WITHHELD")=0,"",COUNTIF(Table5[[#This Row],[English Language]:[Electrical/ Electronics]],"WITHHELD"))</f>
        <v/>
      </c>
      <c r="BE400" t="str">
        <f>IF(SUM(Table5[[#This Row],[NO OF CREDITS]:[BELOW CREDITS]])=0,"",SUM(Table5[[#This Row],[NO OF CREDITS]:[BELOW CREDITS]]))</f>
        <v/>
      </c>
    </row>
    <row r="401" spans="1:57" x14ac:dyDescent="0.3">
      <c r="A401" t="str">
        <f>IF(B401&lt;&gt;"",COUNTA($B$6:B401),"")</f>
        <v/>
      </c>
      <c r="B401" t="str">
        <f>IF(Result_Database!A397="","",Result_Database!A397)</f>
        <v/>
      </c>
      <c r="C401" t="str">
        <f>_xlfn.LET(
_xlpm.result,_xlfn.XLOOKUP($B401,Result_Database!$A$2:$A$500,Result_Database!$B$2:$B$500),
_xlfn.IFNA(_xlpm.result,"")
)</f>
        <v/>
      </c>
      <c r="D401" t="str">
        <f>_xlfn.LET(
  _xlpm.result, _xlfn.XLOOKUP($B401, Result_Database!$A$2:$A$500, Result_Database!C$2:C$500),
  _xlfn.IFNA(_xlpm.result, "")
)</f>
        <v/>
      </c>
      <c r="E401" t="str">
        <f>_xlfn.LET(
  _xlpm.result, _xlfn.XLOOKUP($B401, Result_Database!$A$2:$A$500, Result_Database!D$2:D$500),
  _xlfn.IFNA(_xlpm.result, "")
)</f>
        <v/>
      </c>
      <c r="F401" t="str">
        <f>_xlfn.LET(
  _xlpm.result, _xlfn.XLOOKUP($B401, Result_Database!$A$2:$A$500, Result_Database!E$2:E$500),
  _xlfn.IFNA(_xlpm.result, "")
)</f>
        <v/>
      </c>
      <c r="G401" t="str">
        <f>_xlfn.LET(
  _xlpm.result, _xlfn.XLOOKUP($B401, Result_Database!$A$2:$A$500, Result_Database!F$2:F$500),
  _xlfn.IFNA(_xlpm.result, "")
)</f>
        <v/>
      </c>
      <c r="H401" t="str">
        <f>_xlfn.LET(
  _xlpm.result, _xlfn.XLOOKUP($B401, Result_Database!$A$2:$A$500, Result_Database!G$2:G$500),
  _xlfn.IFNA(_xlpm.result, "")
)</f>
        <v/>
      </c>
      <c r="I401" t="str">
        <f>_xlfn.LET(
  _xlpm.result, _xlfn.XLOOKUP($B401, Result_Database!$A$2:$A$500, Result_Database!H$2:H$500),
  _xlfn.IFNA(_xlpm.result, "")
)</f>
        <v/>
      </c>
      <c r="J401" t="str">
        <f>_xlfn.LET(
  _xlpm.result, _xlfn.XLOOKUP($B401, Result_Database!$A$2:$A$500, Result_Database!I$2:I$500),
  _xlfn.IFNA(_xlpm.result, "")
)</f>
        <v/>
      </c>
      <c r="K401" t="str">
        <f>_xlfn.LET(
  _xlpm.result, _xlfn.XLOOKUP($B401, Result_Database!$A$2:$A$500, Result_Database!J$2:J$500),
  _xlfn.IFNA(_xlpm.result, "")
)</f>
        <v/>
      </c>
      <c r="L401" t="str">
        <f>_xlfn.LET(
  _xlpm.result, _xlfn.XLOOKUP($B401, Result_Database!$A$2:$A$500, Result_Database!K$2:K$500),
  _xlfn.IFNA(_xlpm.result, "")
)</f>
        <v/>
      </c>
      <c r="M401" t="str">
        <f>_xlfn.LET(
  _xlpm.result, _xlfn.XLOOKUP($B401, Result_Database!$A$2:$A$500, Result_Database!L$2:L$500),
  _xlfn.IFNA(_xlpm.result, "")
)</f>
        <v/>
      </c>
      <c r="N401" t="str">
        <f>_xlfn.LET(
  _xlpm.result, _xlfn.XLOOKUP($B401, Result_Database!$A$2:$A$500, Result_Database!M$2:M$500),
  _xlfn.IFNA(_xlpm.result, "")
)</f>
        <v/>
      </c>
      <c r="O401" t="str">
        <f>_xlfn.LET(
  _xlpm.result, _xlfn.XLOOKUP($B401, Result_Database!$A$2:$A$500, Result_Database!N$2:N$500),
  _xlfn.IFNA(_xlpm.result, "")
)</f>
        <v/>
      </c>
      <c r="P401" t="str">
        <f>_xlfn.LET(
  _xlpm.result, _xlfn.XLOOKUP($B401, Result_Database!$A$2:$A$500, Result_Database!O$2:O$500),
  _xlfn.IFNA(_xlpm.result, "")
)</f>
        <v/>
      </c>
      <c r="Q401" t="str">
        <f>_xlfn.LET(
  _xlpm.result, _xlfn.XLOOKUP($B401, Result_Database!$A$2:$A$500, Result_Database!P$2:P$500),
  _xlfn.IFNA(_xlpm.result, "")
)</f>
        <v/>
      </c>
      <c r="R401" t="str">
        <f>_xlfn.LET(
  _xlpm.result, _xlfn.XLOOKUP($B401, Result_Database!$A$2:$A$500, Result_Database!Q$2:Q$500),
  _xlfn.IFNA(_xlpm.result, "")
)</f>
        <v/>
      </c>
      <c r="S401" t="str">
        <f>_xlfn.LET(
  _xlpm.result, _xlfn.XLOOKUP($B401, Result_Database!$A$2:$A$500, Result_Database!R$2:R$500),
  _xlfn.IFNA(_xlpm.result, "")
)</f>
        <v/>
      </c>
      <c r="T401" t="str">
        <f>_xlfn.LET(
  _xlpm.result, _xlfn.XLOOKUP($B401, Result_Database!$A$2:$A$500, Result_Database!S$2:S$500),
  _xlfn.IFNA(_xlpm.result, "")
)</f>
        <v/>
      </c>
      <c r="U401" t="str">
        <f>_xlfn.LET(
  _xlpm.result, _xlfn.XLOOKUP($B401, Result_Database!$A$2:$A$500, Result_Database!T$2:T$500),
  _xlfn.IFNA(_xlpm.result, "")
)</f>
        <v/>
      </c>
      <c r="V401" t="str">
        <f>_xlfn.LET(
  _xlpm.result, _xlfn.XLOOKUP($B401, Result_Database!$A$2:$A$500, Result_Database!U$2:U$500),
  _xlfn.IFNA(_xlpm.result, "")
)</f>
        <v/>
      </c>
      <c r="W401" t="str">
        <f>_xlfn.LET(
  _xlpm.result, _xlfn.XLOOKUP($B401, Result_Database!$A$2:$A$500, Result_Database!V$2:V$500),
  _xlfn.IFNA(_xlpm.result, "")
)</f>
        <v/>
      </c>
      <c r="X401" t="str">
        <f>_xlfn.LET(
  _xlpm.result, _xlfn.XLOOKUP($B401, Result_Database!$A$2:$A$500, Result_Database!W$2:W$500),
  _xlfn.IFNA(_xlpm.result, "")
)</f>
        <v/>
      </c>
      <c r="Y401" t="str">
        <f>_xlfn.LET(
  _xlpm.result, _xlfn.XLOOKUP($B401, Result_Database!$A$2:$A$500, Result_Database!X$2:X$500),
  _xlfn.IFNA(_xlpm.result, "")
)</f>
        <v/>
      </c>
      <c r="Z401" t="str">
        <f>_xlfn.LET(
  _xlpm.result, _xlfn.XLOOKUP($B401, Result_Database!$A$2:$A$500, Result_Database!Y$2:Y$500),
  _xlfn.IFNA(_xlpm.result, "")
)</f>
        <v/>
      </c>
      <c r="AA401" t="str">
        <f>_xlfn.LET(
  _xlpm.result, _xlfn.XLOOKUP($B401, Result_Database!$A$2:$A$500, Result_Database!Z$2:Z$500),
  _xlfn.IFNA(_xlpm.result, "")
)</f>
        <v/>
      </c>
      <c r="AB401" t="str">
        <f>_xlfn.LET(
  _xlpm.result, _xlfn.XLOOKUP($B401, Result_Database!$A$2:$A$500, Result_Database!AA$2:AA$500),
  _xlfn.IFNA(_xlpm.result, "")
)</f>
        <v/>
      </c>
      <c r="AC401" t="str">
        <f>_xlfn.LET(
  _xlpm.result, _xlfn.XLOOKUP($B401, Result_Database!$A$2:$A$500, Result_Database!AB$2:AB$500),
  _xlfn.IFNA(_xlpm.result, "")
)</f>
        <v/>
      </c>
      <c r="AD401" t="str">
        <f>_xlfn.LET(
  _xlpm.result, _xlfn.XLOOKUP($B401, Result_Database!$A$2:$A$500, Result_Database!AC$2:AC$500),
  _xlfn.IFNA(_xlpm.result, "")
)</f>
        <v/>
      </c>
      <c r="AE401" t="str">
        <f>_xlfn.LET(
  _xlpm.result, _xlfn.XLOOKUP($B401, Result_Database!$A$2:$A$500, Result_Database!AD$2:AD$500),
  _xlfn.IFNA(_xlpm.result, "")
)</f>
        <v/>
      </c>
      <c r="AF401" t="str">
        <f>_xlfn.LET(
  _xlpm.result, _xlfn.XLOOKUP($B401, Result_Database!$A$2:$A$500, Result_Database!AE$2:AE$500),
  _xlfn.IFNA(_xlpm.result, "")
)</f>
        <v/>
      </c>
      <c r="AG401" t="str">
        <f>_xlfn.LET(
  _xlpm.result, _xlfn.XLOOKUP($B401, Result_Database!$A$2:$A$500, Result_Database!AF$2:AF$500),
  _xlfn.IFNA(_xlpm.result, "")
)</f>
        <v/>
      </c>
      <c r="AH401" t="str">
        <f>_xlfn.LET(
  _xlpm.result, _xlfn.XLOOKUP($B401, Result_Database!$A$2:$A$500, Result_Database!AG$2:AG$500),
  _xlfn.IFNA(_xlpm.result, "")
)</f>
        <v/>
      </c>
      <c r="AI401" t="str">
        <f>_xlfn.LET(
  _xlpm.result, _xlfn.XLOOKUP($B401, Result_Database!$A$2:$A$500, Result_Database!AH$2:AH$500),
  _xlfn.IFNA(_xlpm.result, "")
)</f>
        <v/>
      </c>
      <c r="AJ401" t="str">
        <f>_xlfn.LET(
  _xlpm.result, _xlfn.XLOOKUP($B401, Result_Database!$A$2:$A$500, Result_Database!AI$2:AI$500),
  _xlfn.IFNA(_xlpm.result, "")
)</f>
        <v/>
      </c>
      <c r="AK401" t="str">
        <f>_xlfn.LET(
  _xlpm.result, _xlfn.XLOOKUP($B401, Result_Database!$A$2:$A$500, Result_Database!AJ$2:AJ$500),
  _xlfn.IFNA(_xlpm.result, "")
)</f>
        <v/>
      </c>
      <c r="AL401" t="str">
        <f>_xlfn.LET(
  _xlpm.result, _xlfn.XLOOKUP($B401, Result_Database!$A$2:$A$500, Result_Database!AK$2:AK$500),
  _xlfn.IFNA(_xlpm.result, "")
)</f>
        <v/>
      </c>
      <c r="AM40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0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0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0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0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0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0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0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0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01" t="str">
        <f>IF(SUM(Table5[[#This Row],[A1]:[C6]])&lt;&gt;0,SUM(Table5[[#This Row],[A1]:[C6]]),"")</f>
        <v/>
      </c>
      <c r="AW401" t="str">
        <f>IF(SUM(Table5[[#This Row],[D7]:[F9]])=0,"",SUM(Table5[[#This Row],[D7]:[F9]]))</f>
        <v/>
      </c>
      <c r="AX40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0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0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0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0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0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01" t="str">
        <f>IF(COUNTIF(Table5[[#This Row],[English Language]:[Electrical/ Electronics]],"WITHHELD")=0,"",COUNTIF(Table5[[#This Row],[English Language]:[Electrical/ Electronics]],"WITHHELD"))</f>
        <v/>
      </c>
      <c r="BE401" t="str">
        <f>IF(SUM(Table5[[#This Row],[NO OF CREDITS]:[BELOW CREDITS]])=0,"",SUM(Table5[[#This Row],[NO OF CREDITS]:[BELOW CREDITS]]))</f>
        <v/>
      </c>
    </row>
    <row r="402" spans="1:57" x14ac:dyDescent="0.3">
      <c r="A402" t="str">
        <f>IF(B402&lt;&gt;"",COUNTA($B$6:B402),"")</f>
        <v/>
      </c>
      <c r="B402" t="str">
        <f>IF(Result_Database!A398="","",Result_Database!A398)</f>
        <v/>
      </c>
      <c r="C402" t="str">
        <f>_xlfn.LET(
_xlpm.result,_xlfn.XLOOKUP($B402,Result_Database!$A$2:$A$500,Result_Database!$B$2:$B$500),
_xlfn.IFNA(_xlpm.result,"")
)</f>
        <v/>
      </c>
      <c r="D402" t="str">
        <f>_xlfn.LET(
  _xlpm.result, _xlfn.XLOOKUP($B402, Result_Database!$A$2:$A$500, Result_Database!C$2:C$500),
  _xlfn.IFNA(_xlpm.result, "")
)</f>
        <v/>
      </c>
      <c r="E402" t="str">
        <f>_xlfn.LET(
  _xlpm.result, _xlfn.XLOOKUP($B402, Result_Database!$A$2:$A$500, Result_Database!D$2:D$500),
  _xlfn.IFNA(_xlpm.result, "")
)</f>
        <v/>
      </c>
      <c r="F402" t="str">
        <f>_xlfn.LET(
  _xlpm.result, _xlfn.XLOOKUP($B402, Result_Database!$A$2:$A$500, Result_Database!E$2:E$500),
  _xlfn.IFNA(_xlpm.result, "")
)</f>
        <v/>
      </c>
      <c r="G402" t="str">
        <f>_xlfn.LET(
  _xlpm.result, _xlfn.XLOOKUP($B402, Result_Database!$A$2:$A$500, Result_Database!F$2:F$500),
  _xlfn.IFNA(_xlpm.result, "")
)</f>
        <v/>
      </c>
      <c r="H402" t="str">
        <f>_xlfn.LET(
  _xlpm.result, _xlfn.XLOOKUP($B402, Result_Database!$A$2:$A$500, Result_Database!G$2:G$500),
  _xlfn.IFNA(_xlpm.result, "")
)</f>
        <v/>
      </c>
      <c r="I402" t="str">
        <f>_xlfn.LET(
  _xlpm.result, _xlfn.XLOOKUP($B402, Result_Database!$A$2:$A$500, Result_Database!H$2:H$500),
  _xlfn.IFNA(_xlpm.result, "")
)</f>
        <v/>
      </c>
      <c r="J402" t="str">
        <f>_xlfn.LET(
  _xlpm.result, _xlfn.XLOOKUP($B402, Result_Database!$A$2:$A$500, Result_Database!I$2:I$500),
  _xlfn.IFNA(_xlpm.result, "")
)</f>
        <v/>
      </c>
      <c r="K402" t="str">
        <f>_xlfn.LET(
  _xlpm.result, _xlfn.XLOOKUP($B402, Result_Database!$A$2:$A$500, Result_Database!J$2:J$500),
  _xlfn.IFNA(_xlpm.result, "")
)</f>
        <v/>
      </c>
      <c r="L402" t="str">
        <f>_xlfn.LET(
  _xlpm.result, _xlfn.XLOOKUP($B402, Result_Database!$A$2:$A$500, Result_Database!K$2:K$500),
  _xlfn.IFNA(_xlpm.result, "")
)</f>
        <v/>
      </c>
      <c r="M402" t="str">
        <f>_xlfn.LET(
  _xlpm.result, _xlfn.XLOOKUP($B402, Result_Database!$A$2:$A$500, Result_Database!L$2:L$500),
  _xlfn.IFNA(_xlpm.result, "")
)</f>
        <v/>
      </c>
      <c r="N402" t="str">
        <f>_xlfn.LET(
  _xlpm.result, _xlfn.XLOOKUP($B402, Result_Database!$A$2:$A$500, Result_Database!M$2:M$500),
  _xlfn.IFNA(_xlpm.result, "")
)</f>
        <v/>
      </c>
      <c r="O402" t="str">
        <f>_xlfn.LET(
  _xlpm.result, _xlfn.XLOOKUP($B402, Result_Database!$A$2:$A$500, Result_Database!N$2:N$500),
  _xlfn.IFNA(_xlpm.result, "")
)</f>
        <v/>
      </c>
      <c r="P402" t="str">
        <f>_xlfn.LET(
  _xlpm.result, _xlfn.XLOOKUP($B402, Result_Database!$A$2:$A$500, Result_Database!O$2:O$500),
  _xlfn.IFNA(_xlpm.result, "")
)</f>
        <v/>
      </c>
      <c r="Q402" t="str">
        <f>_xlfn.LET(
  _xlpm.result, _xlfn.XLOOKUP($B402, Result_Database!$A$2:$A$500, Result_Database!P$2:P$500),
  _xlfn.IFNA(_xlpm.result, "")
)</f>
        <v/>
      </c>
      <c r="R402" t="str">
        <f>_xlfn.LET(
  _xlpm.result, _xlfn.XLOOKUP($B402, Result_Database!$A$2:$A$500, Result_Database!Q$2:Q$500),
  _xlfn.IFNA(_xlpm.result, "")
)</f>
        <v/>
      </c>
      <c r="S402" t="str">
        <f>_xlfn.LET(
  _xlpm.result, _xlfn.XLOOKUP($B402, Result_Database!$A$2:$A$500, Result_Database!R$2:R$500),
  _xlfn.IFNA(_xlpm.result, "")
)</f>
        <v/>
      </c>
      <c r="T402" t="str">
        <f>_xlfn.LET(
  _xlpm.result, _xlfn.XLOOKUP($B402, Result_Database!$A$2:$A$500, Result_Database!S$2:S$500),
  _xlfn.IFNA(_xlpm.result, "")
)</f>
        <v/>
      </c>
      <c r="U402" t="str">
        <f>_xlfn.LET(
  _xlpm.result, _xlfn.XLOOKUP($B402, Result_Database!$A$2:$A$500, Result_Database!T$2:T$500),
  _xlfn.IFNA(_xlpm.result, "")
)</f>
        <v/>
      </c>
      <c r="V402" t="str">
        <f>_xlfn.LET(
  _xlpm.result, _xlfn.XLOOKUP($B402, Result_Database!$A$2:$A$500, Result_Database!U$2:U$500),
  _xlfn.IFNA(_xlpm.result, "")
)</f>
        <v/>
      </c>
      <c r="W402" t="str">
        <f>_xlfn.LET(
  _xlpm.result, _xlfn.XLOOKUP($B402, Result_Database!$A$2:$A$500, Result_Database!V$2:V$500),
  _xlfn.IFNA(_xlpm.result, "")
)</f>
        <v/>
      </c>
      <c r="X402" t="str">
        <f>_xlfn.LET(
  _xlpm.result, _xlfn.XLOOKUP($B402, Result_Database!$A$2:$A$500, Result_Database!W$2:W$500),
  _xlfn.IFNA(_xlpm.result, "")
)</f>
        <v/>
      </c>
      <c r="Y402" t="str">
        <f>_xlfn.LET(
  _xlpm.result, _xlfn.XLOOKUP($B402, Result_Database!$A$2:$A$500, Result_Database!X$2:X$500),
  _xlfn.IFNA(_xlpm.result, "")
)</f>
        <v/>
      </c>
      <c r="Z402" t="str">
        <f>_xlfn.LET(
  _xlpm.result, _xlfn.XLOOKUP($B402, Result_Database!$A$2:$A$500, Result_Database!Y$2:Y$500),
  _xlfn.IFNA(_xlpm.result, "")
)</f>
        <v/>
      </c>
      <c r="AA402" t="str">
        <f>_xlfn.LET(
  _xlpm.result, _xlfn.XLOOKUP($B402, Result_Database!$A$2:$A$500, Result_Database!Z$2:Z$500),
  _xlfn.IFNA(_xlpm.result, "")
)</f>
        <v/>
      </c>
      <c r="AB402" t="str">
        <f>_xlfn.LET(
  _xlpm.result, _xlfn.XLOOKUP($B402, Result_Database!$A$2:$A$500, Result_Database!AA$2:AA$500),
  _xlfn.IFNA(_xlpm.result, "")
)</f>
        <v/>
      </c>
      <c r="AC402" t="str">
        <f>_xlfn.LET(
  _xlpm.result, _xlfn.XLOOKUP($B402, Result_Database!$A$2:$A$500, Result_Database!AB$2:AB$500),
  _xlfn.IFNA(_xlpm.result, "")
)</f>
        <v/>
      </c>
      <c r="AD402" t="str">
        <f>_xlfn.LET(
  _xlpm.result, _xlfn.XLOOKUP($B402, Result_Database!$A$2:$A$500, Result_Database!AC$2:AC$500),
  _xlfn.IFNA(_xlpm.result, "")
)</f>
        <v/>
      </c>
      <c r="AE402" t="str">
        <f>_xlfn.LET(
  _xlpm.result, _xlfn.XLOOKUP($B402, Result_Database!$A$2:$A$500, Result_Database!AD$2:AD$500),
  _xlfn.IFNA(_xlpm.result, "")
)</f>
        <v/>
      </c>
      <c r="AF402" t="str">
        <f>_xlfn.LET(
  _xlpm.result, _xlfn.XLOOKUP($B402, Result_Database!$A$2:$A$500, Result_Database!AE$2:AE$500),
  _xlfn.IFNA(_xlpm.result, "")
)</f>
        <v/>
      </c>
      <c r="AG402" t="str">
        <f>_xlfn.LET(
  _xlpm.result, _xlfn.XLOOKUP($B402, Result_Database!$A$2:$A$500, Result_Database!AF$2:AF$500),
  _xlfn.IFNA(_xlpm.result, "")
)</f>
        <v/>
      </c>
      <c r="AH402" t="str">
        <f>_xlfn.LET(
  _xlpm.result, _xlfn.XLOOKUP($B402, Result_Database!$A$2:$A$500, Result_Database!AG$2:AG$500),
  _xlfn.IFNA(_xlpm.result, "")
)</f>
        <v/>
      </c>
      <c r="AI402" t="str">
        <f>_xlfn.LET(
  _xlpm.result, _xlfn.XLOOKUP($B402, Result_Database!$A$2:$A$500, Result_Database!AH$2:AH$500),
  _xlfn.IFNA(_xlpm.result, "")
)</f>
        <v/>
      </c>
      <c r="AJ402" t="str">
        <f>_xlfn.LET(
  _xlpm.result, _xlfn.XLOOKUP($B402, Result_Database!$A$2:$A$500, Result_Database!AI$2:AI$500),
  _xlfn.IFNA(_xlpm.result, "")
)</f>
        <v/>
      </c>
      <c r="AK402" t="str">
        <f>_xlfn.LET(
  _xlpm.result, _xlfn.XLOOKUP($B402, Result_Database!$A$2:$A$500, Result_Database!AJ$2:AJ$500),
  _xlfn.IFNA(_xlpm.result, "")
)</f>
        <v/>
      </c>
      <c r="AL402" t="str">
        <f>_xlfn.LET(
  _xlpm.result, _xlfn.XLOOKUP($B402, Result_Database!$A$2:$A$500, Result_Database!AK$2:AK$500),
  _xlfn.IFNA(_xlpm.result, "")
)</f>
        <v/>
      </c>
      <c r="AM40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0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0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0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0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0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0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0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0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02" t="str">
        <f>IF(SUM(Table5[[#This Row],[A1]:[C6]])&lt;&gt;0,SUM(Table5[[#This Row],[A1]:[C6]]),"")</f>
        <v/>
      </c>
      <c r="AW402" t="str">
        <f>IF(SUM(Table5[[#This Row],[D7]:[F9]])=0,"",SUM(Table5[[#This Row],[D7]:[F9]]))</f>
        <v/>
      </c>
      <c r="AX40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0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0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0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0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0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02" t="str">
        <f>IF(COUNTIF(Table5[[#This Row],[English Language]:[Electrical/ Electronics]],"WITHHELD")=0,"",COUNTIF(Table5[[#This Row],[English Language]:[Electrical/ Electronics]],"WITHHELD"))</f>
        <v/>
      </c>
      <c r="BE402" t="str">
        <f>IF(SUM(Table5[[#This Row],[NO OF CREDITS]:[BELOW CREDITS]])=0,"",SUM(Table5[[#This Row],[NO OF CREDITS]:[BELOW CREDITS]]))</f>
        <v/>
      </c>
    </row>
    <row r="403" spans="1:57" x14ac:dyDescent="0.3">
      <c r="A403" t="str">
        <f>IF(B403&lt;&gt;"",COUNTA($B$6:B403),"")</f>
        <v/>
      </c>
      <c r="B403" t="str">
        <f>IF(Result_Database!A399="","",Result_Database!A399)</f>
        <v/>
      </c>
      <c r="C403" t="str">
        <f>_xlfn.LET(
_xlpm.result,_xlfn.XLOOKUP($B403,Result_Database!$A$2:$A$500,Result_Database!$B$2:$B$500),
_xlfn.IFNA(_xlpm.result,"")
)</f>
        <v/>
      </c>
      <c r="D403" t="str">
        <f>_xlfn.LET(
  _xlpm.result, _xlfn.XLOOKUP($B403, Result_Database!$A$2:$A$500, Result_Database!C$2:C$500),
  _xlfn.IFNA(_xlpm.result, "")
)</f>
        <v/>
      </c>
      <c r="E403" t="str">
        <f>_xlfn.LET(
  _xlpm.result, _xlfn.XLOOKUP($B403, Result_Database!$A$2:$A$500, Result_Database!D$2:D$500),
  _xlfn.IFNA(_xlpm.result, "")
)</f>
        <v/>
      </c>
      <c r="F403" t="str">
        <f>_xlfn.LET(
  _xlpm.result, _xlfn.XLOOKUP($B403, Result_Database!$A$2:$A$500, Result_Database!E$2:E$500),
  _xlfn.IFNA(_xlpm.result, "")
)</f>
        <v/>
      </c>
      <c r="G403" t="str">
        <f>_xlfn.LET(
  _xlpm.result, _xlfn.XLOOKUP($B403, Result_Database!$A$2:$A$500, Result_Database!F$2:F$500),
  _xlfn.IFNA(_xlpm.result, "")
)</f>
        <v/>
      </c>
      <c r="H403" t="str">
        <f>_xlfn.LET(
  _xlpm.result, _xlfn.XLOOKUP($B403, Result_Database!$A$2:$A$500, Result_Database!G$2:G$500),
  _xlfn.IFNA(_xlpm.result, "")
)</f>
        <v/>
      </c>
      <c r="I403" t="str">
        <f>_xlfn.LET(
  _xlpm.result, _xlfn.XLOOKUP($B403, Result_Database!$A$2:$A$500, Result_Database!H$2:H$500),
  _xlfn.IFNA(_xlpm.result, "")
)</f>
        <v/>
      </c>
      <c r="J403" t="str">
        <f>_xlfn.LET(
  _xlpm.result, _xlfn.XLOOKUP($B403, Result_Database!$A$2:$A$500, Result_Database!I$2:I$500),
  _xlfn.IFNA(_xlpm.result, "")
)</f>
        <v/>
      </c>
      <c r="K403" t="str">
        <f>_xlfn.LET(
  _xlpm.result, _xlfn.XLOOKUP($B403, Result_Database!$A$2:$A$500, Result_Database!J$2:J$500),
  _xlfn.IFNA(_xlpm.result, "")
)</f>
        <v/>
      </c>
      <c r="L403" t="str">
        <f>_xlfn.LET(
  _xlpm.result, _xlfn.XLOOKUP($B403, Result_Database!$A$2:$A$500, Result_Database!K$2:K$500),
  _xlfn.IFNA(_xlpm.result, "")
)</f>
        <v/>
      </c>
      <c r="M403" t="str">
        <f>_xlfn.LET(
  _xlpm.result, _xlfn.XLOOKUP($B403, Result_Database!$A$2:$A$500, Result_Database!L$2:L$500),
  _xlfn.IFNA(_xlpm.result, "")
)</f>
        <v/>
      </c>
      <c r="N403" t="str">
        <f>_xlfn.LET(
  _xlpm.result, _xlfn.XLOOKUP($B403, Result_Database!$A$2:$A$500, Result_Database!M$2:M$500),
  _xlfn.IFNA(_xlpm.result, "")
)</f>
        <v/>
      </c>
      <c r="O403" t="str">
        <f>_xlfn.LET(
  _xlpm.result, _xlfn.XLOOKUP($B403, Result_Database!$A$2:$A$500, Result_Database!N$2:N$500),
  _xlfn.IFNA(_xlpm.result, "")
)</f>
        <v/>
      </c>
      <c r="P403" t="str">
        <f>_xlfn.LET(
  _xlpm.result, _xlfn.XLOOKUP($B403, Result_Database!$A$2:$A$500, Result_Database!O$2:O$500),
  _xlfn.IFNA(_xlpm.result, "")
)</f>
        <v/>
      </c>
      <c r="Q403" t="str">
        <f>_xlfn.LET(
  _xlpm.result, _xlfn.XLOOKUP($B403, Result_Database!$A$2:$A$500, Result_Database!P$2:P$500),
  _xlfn.IFNA(_xlpm.result, "")
)</f>
        <v/>
      </c>
      <c r="R403" t="str">
        <f>_xlfn.LET(
  _xlpm.result, _xlfn.XLOOKUP($B403, Result_Database!$A$2:$A$500, Result_Database!Q$2:Q$500),
  _xlfn.IFNA(_xlpm.result, "")
)</f>
        <v/>
      </c>
      <c r="S403" t="str">
        <f>_xlfn.LET(
  _xlpm.result, _xlfn.XLOOKUP($B403, Result_Database!$A$2:$A$500, Result_Database!R$2:R$500),
  _xlfn.IFNA(_xlpm.result, "")
)</f>
        <v/>
      </c>
      <c r="T403" t="str">
        <f>_xlfn.LET(
  _xlpm.result, _xlfn.XLOOKUP($B403, Result_Database!$A$2:$A$500, Result_Database!S$2:S$500),
  _xlfn.IFNA(_xlpm.result, "")
)</f>
        <v/>
      </c>
      <c r="U403" t="str">
        <f>_xlfn.LET(
  _xlpm.result, _xlfn.XLOOKUP($B403, Result_Database!$A$2:$A$500, Result_Database!T$2:T$500),
  _xlfn.IFNA(_xlpm.result, "")
)</f>
        <v/>
      </c>
      <c r="V403" t="str">
        <f>_xlfn.LET(
  _xlpm.result, _xlfn.XLOOKUP($B403, Result_Database!$A$2:$A$500, Result_Database!U$2:U$500),
  _xlfn.IFNA(_xlpm.result, "")
)</f>
        <v/>
      </c>
      <c r="W403" t="str">
        <f>_xlfn.LET(
  _xlpm.result, _xlfn.XLOOKUP($B403, Result_Database!$A$2:$A$500, Result_Database!V$2:V$500),
  _xlfn.IFNA(_xlpm.result, "")
)</f>
        <v/>
      </c>
      <c r="X403" t="str">
        <f>_xlfn.LET(
  _xlpm.result, _xlfn.XLOOKUP($B403, Result_Database!$A$2:$A$500, Result_Database!W$2:W$500),
  _xlfn.IFNA(_xlpm.result, "")
)</f>
        <v/>
      </c>
      <c r="Y403" t="str">
        <f>_xlfn.LET(
  _xlpm.result, _xlfn.XLOOKUP($B403, Result_Database!$A$2:$A$500, Result_Database!X$2:X$500),
  _xlfn.IFNA(_xlpm.result, "")
)</f>
        <v/>
      </c>
      <c r="Z403" t="str">
        <f>_xlfn.LET(
  _xlpm.result, _xlfn.XLOOKUP($B403, Result_Database!$A$2:$A$500, Result_Database!Y$2:Y$500),
  _xlfn.IFNA(_xlpm.result, "")
)</f>
        <v/>
      </c>
      <c r="AA403" t="str">
        <f>_xlfn.LET(
  _xlpm.result, _xlfn.XLOOKUP($B403, Result_Database!$A$2:$A$500, Result_Database!Z$2:Z$500),
  _xlfn.IFNA(_xlpm.result, "")
)</f>
        <v/>
      </c>
      <c r="AB403" t="str">
        <f>_xlfn.LET(
  _xlpm.result, _xlfn.XLOOKUP($B403, Result_Database!$A$2:$A$500, Result_Database!AA$2:AA$500),
  _xlfn.IFNA(_xlpm.result, "")
)</f>
        <v/>
      </c>
      <c r="AC403" t="str">
        <f>_xlfn.LET(
  _xlpm.result, _xlfn.XLOOKUP($B403, Result_Database!$A$2:$A$500, Result_Database!AB$2:AB$500),
  _xlfn.IFNA(_xlpm.result, "")
)</f>
        <v/>
      </c>
      <c r="AD403" t="str">
        <f>_xlfn.LET(
  _xlpm.result, _xlfn.XLOOKUP($B403, Result_Database!$A$2:$A$500, Result_Database!AC$2:AC$500),
  _xlfn.IFNA(_xlpm.result, "")
)</f>
        <v/>
      </c>
      <c r="AE403" t="str">
        <f>_xlfn.LET(
  _xlpm.result, _xlfn.XLOOKUP($B403, Result_Database!$A$2:$A$500, Result_Database!AD$2:AD$500),
  _xlfn.IFNA(_xlpm.result, "")
)</f>
        <v/>
      </c>
      <c r="AF403" t="str">
        <f>_xlfn.LET(
  _xlpm.result, _xlfn.XLOOKUP($B403, Result_Database!$A$2:$A$500, Result_Database!AE$2:AE$500),
  _xlfn.IFNA(_xlpm.result, "")
)</f>
        <v/>
      </c>
      <c r="AG403" t="str">
        <f>_xlfn.LET(
  _xlpm.result, _xlfn.XLOOKUP($B403, Result_Database!$A$2:$A$500, Result_Database!AF$2:AF$500),
  _xlfn.IFNA(_xlpm.result, "")
)</f>
        <v/>
      </c>
      <c r="AH403" t="str">
        <f>_xlfn.LET(
  _xlpm.result, _xlfn.XLOOKUP($B403, Result_Database!$A$2:$A$500, Result_Database!AG$2:AG$500),
  _xlfn.IFNA(_xlpm.result, "")
)</f>
        <v/>
      </c>
      <c r="AI403" t="str">
        <f>_xlfn.LET(
  _xlpm.result, _xlfn.XLOOKUP($B403, Result_Database!$A$2:$A$500, Result_Database!AH$2:AH$500),
  _xlfn.IFNA(_xlpm.result, "")
)</f>
        <v/>
      </c>
      <c r="AJ403" t="str">
        <f>_xlfn.LET(
  _xlpm.result, _xlfn.XLOOKUP($B403, Result_Database!$A$2:$A$500, Result_Database!AI$2:AI$500),
  _xlfn.IFNA(_xlpm.result, "")
)</f>
        <v/>
      </c>
      <c r="AK403" t="str">
        <f>_xlfn.LET(
  _xlpm.result, _xlfn.XLOOKUP($B403, Result_Database!$A$2:$A$500, Result_Database!AJ$2:AJ$500),
  _xlfn.IFNA(_xlpm.result, "")
)</f>
        <v/>
      </c>
      <c r="AL403" t="str">
        <f>_xlfn.LET(
  _xlpm.result, _xlfn.XLOOKUP($B403, Result_Database!$A$2:$A$500, Result_Database!AK$2:AK$500),
  _xlfn.IFNA(_xlpm.result, "")
)</f>
        <v/>
      </c>
      <c r="AM40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0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0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0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0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0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0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0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0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03" t="str">
        <f>IF(SUM(Table5[[#This Row],[A1]:[C6]])&lt;&gt;0,SUM(Table5[[#This Row],[A1]:[C6]]),"")</f>
        <v/>
      </c>
      <c r="AW403" t="str">
        <f>IF(SUM(Table5[[#This Row],[D7]:[F9]])=0,"",SUM(Table5[[#This Row],[D7]:[F9]]))</f>
        <v/>
      </c>
      <c r="AX40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0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0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0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0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0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03" t="str">
        <f>IF(COUNTIF(Table5[[#This Row],[English Language]:[Electrical/ Electronics]],"WITHHELD")=0,"",COUNTIF(Table5[[#This Row],[English Language]:[Electrical/ Electronics]],"WITHHELD"))</f>
        <v/>
      </c>
      <c r="BE403" t="str">
        <f>IF(SUM(Table5[[#This Row],[NO OF CREDITS]:[BELOW CREDITS]])=0,"",SUM(Table5[[#This Row],[NO OF CREDITS]:[BELOW CREDITS]]))</f>
        <v/>
      </c>
    </row>
    <row r="404" spans="1:57" x14ac:dyDescent="0.3">
      <c r="A404" t="str">
        <f>IF(B404&lt;&gt;"",COUNTA($B$6:B404),"")</f>
        <v/>
      </c>
      <c r="B404" t="str">
        <f>IF(Result_Database!A400="","",Result_Database!A400)</f>
        <v/>
      </c>
      <c r="C404" t="str">
        <f>_xlfn.LET(
_xlpm.result,_xlfn.XLOOKUP($B404,Result_Database!$A$2:$A$500,Result_Database!$B$2:$B$500),
_xlfn.IFNA(_xlpm.result,"")
)</f>
        <v/>
      </c>
      <c r="D404" t="str">
        <f>_xlfn.LET(
  _xlpm.result, _xlfn.XLOOKUP($B404, Result_Database!$A$2:$A$500, Result_Database!C$2:C$500),
  _xlfn.IFNA(_xlpm.result, "")
)</f>
        <v/>
      </c>
      <c r="E404" t="str">
        <f>_xlfn.LET(
  _xlpm.result, _xlfn.XLOOKUP($B404, Result_Database!$A$2:$A$500, Result_Database!D$2:D$500),
  _xlfn.IFNA(_xlpm.result, "")
)</f>
        <v/>
      </c>
      <c r="F404" t="str">
        <f>_xlfn.LET(
  _xlpm.result, _xlfn.XLOOKUP($B404, Result_Database!$A$2:$A$500, Result_Database!E$2:E$500),
  _xlfn.IFNA(_xlpm.result, "")
)</f>
        <v/>
      </c>
      <c r="G404" t="str">
        <f>_xlfn.LET(
  _xlpm.result, _xlfn.XLOOKUP($B404, Result_Database!$A$2:$A$500, Result_Database!F$2:F$500),
  _xlfn.IFNA(_xlpm.result, "")
)</f>
        <v/>
      </c>
      <c r="H404" t="str">
        <f>_xlfn.LET(
  _xlpm.result, _xlfn.XLOOKUP($B404, Result_Database!$A$2:$A$500, Result_Database!G$2:G$500),
  _xlfn.IFNA(_xlpm.result, "")
)</f>
        <v/>
      </c>
      <c r="I404" t="str">
        <f>_xlfn.LET(
  _xlpm.result, _xlfn.XLOOKUP($B404, Result_Database!$A$2:$A$500, Result_Database!H$2:H$500),
  _xlfn.IFNA(_xlpm.result, "")
)</f>
        <v/>
      </c>
      <c r="J404" t="str">
        <f>_xlfn.LET(
  _xlpm.result, _xlfn.XLOOKUP($B404, Result_Database!$A$2:$A$500, Result_Database!I$2:I$500),
  _xlfn.IFNA(_xlpm.result, "")
)</f>
        <v/>
      </c>
      <c r="K404" t="str">
        <f>_xlfn.LET(
  _xlpm.result, _xlfn.XLOOKUP($B404, Result_Database!$A$2:$A$500, Result_Database!J$2:J$500),
  _xlfn.IFNA(_xlpm.result, "")
)</f>
        <v/>
      </c>
      <c r="L404" t="str">
        <f>_xlfn.LET(
  _xlpm.result, _xlfn.XLOOKUP($B404, Result_Database!$A$2:$A$500, Result_Database!K$2:K$500),
  _xlfn.IFNA(_xlpm.result, "")
)</f>
        <v/>
      </c>
      <c r="M404" t="str">
        <f>_xlfn.LET(
  _xlpm.result, _xlfn.XLOOKUP($B404, Result_Database!$A$2:$A$500, Result_Database!L$2:L$500),
  _xlfn.IFNA(_xlpm.result, "")
)</f>
        <v/>
      </c>
      <c r="N404" t="str">
        <f>_xlfn.LET(
  _xlpm.result, _xlfn.XLOOKUP($B404, Result_Database!$A$2:$A$500, Result_Database!M$2:M$500),
  _xlfn.IFNA(_xlpm.result, "")
)</f>
        <v/>
      </c>
      <c r="O404" t="str">
        <f>_xlfn.LET(
  _xlpm.result, _xlfn.XLOOKUP($B404, Result_Database!$A$2:$A$500, Result_Database!N$2:N$500),
  _xlfn.IFNA(_xlpm.result, "")
)</f>
        <v/>
      </c>
      <c r="P404" t="str">
        <f>_xlfn.LET(
  _xlpm.result, _xlfn.XLOOKUP($B404, Result_Database!$A$2:$A$500, Result_Database!O$2:O$500),
  _xlfn.IFNA(_xlpm.result, "")
)</f>
        <v/>
      </c>
      <c r="Q404" t="str">
        <f>_xlfn.LET(
  _xlpm.result, _xlfn.XLOOKUP($B404, Result_Database!$A$2:$A$500, Result_Database!P$2:P$500),
  _xlfn.IFNA(_xlpm.result, "")
)</f>
        <v/>
      </c>
      <c r="R404" t="str">
        <f>_xlfn.LET(
  _xlpm.result, _xlfn.XLOOKUP($B404, Result_Database!$A$2:$A$500, Result_Database!Q$2:Q$500),
  _xlfn.IFNA(_xlpm.result, "")
)</f>
        <v/>
      </c>
      <c r="S404" t="str">
        <f>_xlfn.LET(
  _xlpm.result, _xlfn.XLOOKUP($B404, Result_Database!$A$2:$A$500, Result_Database!R$2:R$500),
  _xlfn.IFNA(_xlpm.result, "")
)</f>
        <v/>
      </c>
      <c r="T404" t="str">
        <f>_xlfn.LET(
  _xlpm.result, _xlfn.XLOOKUP($B404, Result_Database!$A$2:$A$500, Result_Database!S$2:S$500),
  _xlfn.IFNA(_xlpm.result, "")
)</f>
        <v/>
      </c>
      <c r="U404" t="str">
        <f>_xlfn.LET(
  _xlpm.result, _xlfn.XLOOKUP($B404, Result_Database!$A$2:$A$500, Result_Database!T$2:T$500),
  _xlfn.IFNA(_xlpm.result, "")
)</f>
        <v/>
      </c>
      <c r="V404" t="str">
        <f>_xlfn.LET(
  _xlpm.result, _xlfn.XLOOKUP($B404, Result_Database!$A$2:$A$500, Result_Database!U$2:U$500),
  _xlfn.IFNA(_xlpm.result, "")
)</f>
        <v/>
      </c>
      <c r="W404" t="str">
        <f>_xlfn.LET(
  _xlpm.result, _xlfn.XLOOKUP($B404, Result_Database!$A$2:$A$500, Result_Database!V$2:V$500),
  _xlfn.IFNA(_xlpm.result, "")
)</f>
        <v/>
      </c>
      <c r="X404" t="str">
        <f>_xlfn.LET(
  _xlpm.result, _xlfn.XLOOKUP($B404, Result_Database!$A$2:$A$500, Result_Database!W$2:W$500),
  _xlfn.IFNA(_xlpm.result, "")
)</f>
        <v/>
      </c>
      <c r="Y404" t="str">
        <f>_xlfn.LET(
  _xlpm.result, _xlfn.XLOOKUP($B404, Result_Database!$A$2:$A$500, Result_Database!X$2:X$500),
  _xlfn.IFNA(_xlpm.result, "")
)</f>
        <v/>
      </c>
      <c r="Z404" t="str">
        <f>_xlfn.LET(
  _xlpm.result, _xlfn.XLOOKUP($B404, Result_Database!$A$2:$A$500, Result_Database!Y$2:Y$500),
  _xlfn.IFNA(_xlpm.result, "")
)</f>
        <v/>
      </c>
      <c r="AA404" t="str">
        <f>_xlfn.LET(
  _xlpm.result, _xlfn.XLOOKUP($B404, Result_Database!$A$2:$A$500, Result_Database!Z$2:Z$500),
  _xlfn.IFNA(_xlpm.result, "")
)</f>
        <v/>
      </c>
      <c r="AB404" t="str">
        <f>_xlfn.LET(
  _xlpm.result, _xlfn.XLOOKUP($B404, Result_Database!$A$2:$A$500, Result_Database!AA$2:AA$500),
  _xlfn.IFNA(_xlpm.result, "")
)</f>
        <v/>
      </c>
      <c r="AC404" t="str">
        <f>_xlfn.LET(
  _xlpm.result, _xlfn.XLOOKUP($B404, Result_Database!$A$2:$A$500, Result_Database!AB$2:AB$500),
  _xlfn.IFNA(_xlpm.result, "")
)</f>
        <v/>
      </c>
      <c r="AD404" t="str">
        <f>_xlfn.LET(
  _xlpm.result, _xlfn.XLOOKUP($B404, Result_Database!$A$2:$A$500, Result_Database!AC$2:AC$500),
  _xlfn.IFNA(_xlpm.result, "")
)</f>
        <v/>
      </c>
      <c r="AE404" t="str">
        <f>_xlfn.LET(
  _xlpm.result, _xlfn.XLOOKUP($B404, Result_Database!$A$2:$A$500, Result_Database!AD$2:AD$500),
  _xlfn.IFNA(_xlpm.result, "")
)</f>
        <v/>
      </c>
      <c r="AF404" t="str">
        <f>_xlfn.LET(
  _xlpm.result, _xlfn.XLOOKUP($B404, Result_Database!$A$2:$A$500, Result_Database!AE$2:AE$500),
  _xlfn.IFNA(_xlpm.result, "")
)</f>
        <v/>
      </c>
      <c r="AG404" t="str">
        <f>_xlfn.LET(
  _xlpm.result, _xlfn.XLOOKUP($B404, Result_Database!$A$2:$A$500, Result_Database!AF$2:AF$500),
  _xlfn.IFNA(_xlpm.result, "")
)</f>
        <v/>
      </c>
      <c r="AH404" t="str">
        <f>_xlfn.LET(
  _xlpm.result, _xlfn.XLOOKUP($B404, Result_Database!$A$2:$A$500, Result_Database!AG$2:AG$500),
  _xlfn.IFNA(_xlpm.result, "")
)</f>
        <v/>
      </c>
      <c r="AI404" t="str">
        <f>_xlfn.LET(
  _xlpm.result, _xlfn.XLOOKUP($B404, Result_Database!$A$2:$A$500, Result_Database!AH$2:AH$500),
  _xlfn.IFNA(_xlpm.result, "")
)</f>
        <v/>
      </c>
      <c r="AJ404" t="str">
        <f>_xlfn.LET(
  _xlpm.result, _xlfn.XLOOKUP($B404, Result_Database!$A$2:$A$500, Result_Database!AI$2:AI$500),
  _xlfn.IFNA(_xlpm.result, "")
)</f>
        <v/>
      </c>
      <c r="AK404" t="str">
        <f>_xlfn.LET(
  _xlpm.result, _xlfn.XLOOKUP($B404, Result_Database!$A$2:$A$500, Result_Database!AJ$2:AJ$500),
  _xlfn.IFNA(_xlpm.result, "")
)</f>
        <v/>
      </c>
      <c r="AL404" t="str">
        <f>_xlfn.LET(
  _xlpm.result, _xlfn.XLOOKUP($B404, Result_Database!$A$2:$A$500, Result_Database!AK$2:AK$500),
  _xlfn.IFNA(_xlpm.result, "")
)</f>
        <v/>
      </c>
      <c r="AM40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0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0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0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0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0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0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0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0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04" t="str">
        <f>IF(SUM(Table5[[#This Row],[A1]:[C6]])&lt;&gt;0,SUM(Table5[[#This Row],[A1]:[C6]]),"")</f>
        <v/>
      </c>
      <c r="AW404" t="str">
        <f>IF(SUM(Table5[[#This Row],[D7]:[F9]])=0,"",SUM(Table5[[#This Row],[D7]:[F9]]))</f>
        <v/>
      </c>
      <c r="AX40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0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0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0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0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0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04" t="str">
        <f>IF(COUNTIF(Table5[[#This Row],[English Language]:[Electrical/ Electronics]],"WITHHELD")=0,"",COUNTIF(Table5[[#This Row],[English Language]:[Electrical/ Electronics]],"WITHHELD"))</f>
        <v/>
      </c>
      <c r="BE404" t="str">
        <f>IF(SUM(Table5[[#This Row],[NO OF CREDITS]:[BELOW CREDITS]])=0,"",SUM(Table5[[#This Row],[NO OF CREDITS]:[BELOW CREDITS]]))</f>
        <v/>
      </c>
    </row>
    <row r="405" spans="1:57" x14ac:dyDescent="0.3">
      <c r="A405" t="str">
        <f>IF(B405&lt;&gt;"",COUNTA($B$6:B405),"")</f>
        <v/>
      </c>
      <c r="B405" t="str">
        <f>IF(Result_Database!A401="","",Result_Database!A401)</f>
        <v/>
      </c>
      <c r="C405" t="str">
        <f>_xlfn.LET(
_xlpm.result,_xlfn.XLOOKUP($B405,Result_Database!$A$2:$A$500,Result_Database!$B$2:$B$500),
_xlfn.IFNA(_xlpm.result,"")
)</f>
        <v/>
      </c>
      <c r="D405" t="str">
        <f>_xlfn.LET(
  _xlpm.result, _xlfn.XLOOKUP($B405, Result_Database!$A$2:$A$500, Result_Database!C$2:C$500),
  _xlfn.IFNA(_xlpm.result, "")
)</f>
        <v/>
      </c>
      <c r="E405" t="str">
        <f>_xlfn.LET(
  _xlpm.result, _xlfn.XLOOKUP($B405, Result_Database!$A$2:$A$500, Result_Database!D$2:D$500),
  _xlfn.IFNA(_xlpm.result, "")
)</f>
        <v/>
      </c>
      <c r="F405" t="str">
        <f>_xlfn.LET(
  _xlpm.result, _xlfn.XLOOKUP($B405, Result_Database!$A$2:$A$500, Result_Database!E$2:E$500),
  _xlfn.IFNA(_xlpm.result, "")
)</f>
        <v/>
      </c>
      <c r="G405" t="str">
        <f>_xlfn.LET(
  _xlpm.result, _xlfn.XLOOKUP($B405, Result_Database!$A$2:$A$500, Result_Database!F$2:F$500),
  _xlfn.IFNA(_xlpm.result, "")
)</f>
        <v/>
      </c>
      <c r="H405" t="str">
        <f>_xlfn.LET(
  _xlpm.result, _xlfn.XLOOKUP($B405, Result_Database!$A$2:$A$500, Result_Database!G$2:G$500),
  _xlfn.IFNA(_xlpm.result, "")
)</f>
        <v/>
      </c>
      <c r="I405" t="str">
        <f>_xlfn.LET(
  _xlpm.result, _xlfn.XLOOKUP($B405, Result_Database!$A$2:$A$500, Result_Database!H$2:H$500),
  _xlfn.IFNA(_xlpm.result, "")
)</f>
        <v/>
      </c>
      <c r="J405" t="str">
        <f>_xlfn.LET(
  _xlpm.result, _xlfn.XLOOKUP($B405, Result_Database!$A$2:$A$500, Result_Database!I$2:I$500),
  _xlfn.IFNA(_xlpm.result, "")
)</f>
        <v/>
      </c>
      <c r="K405" t="str">
        <f>_xlfn.LET(
  _xlpm.result, _xlfn.XLOOKUP($B405, Result_Database!$A$2:$A$500, Result_Database!J$2:J$500),
  _xlfn.IFNA(_xlpm.result, "")
)</f>
        <v/>
      </c>
      <c r="L405" t="str">
        <f>_xlfn.LET(
  _xlpm.result, _xlfn.XLOOKUP($B405, Result_Database!$A$2:$A$500, Result_Database!K$2:K$500),
  _xlfn.IFNA(_xlpm.result, "")
)</f>
        <v/>
      </c>
      <c r="M405" t="str">
        <f>_xlfn.LET(
  _xlpm.result, _xlfn.XLOOKUP($B405, Result_Database!$A$2:$A$500, Result_Database!L$2:L$500),
  _xlfn.IFNA(_xlpm.result, "")
)</f>
        <v/>
      </c>
      <c r="N405" t="str">
        <f>_xlfn.LET(
  _xlpm.result, _xlfn.XLOOKUP($B405, Result_Database!$A$2:$A$500, Result_Database!M$2:M$500),
  _xlfn.IFNA(_xlpm.result, "")
)</f>
        <v/>
      </c>
      <c r="O405" t="str">
        <f>_xlfn.LET(
  _xlpm.result, _xlfn.XLOOKUP($B405, Result_Database!$A$2:$A$500, Result_Database!N$2:N$500),
  _xlfn.IFNA(_xlpm.result, "")
)</f>
        <v/>
      </c>
      <c r="P405" t="str">
        <f>_xlfn.LET(
  _xlpm.result, _xlfn.XLOOKUP($B405, Result_Database!$A$2:$A$500, Result_Database!O$2:O$500),
  _xlfn.IFNA(_xlpm.result, "")
)</f>
        <v/>
      </c>
      <c r="Q405" t="str">
        <f>_xlfn.LET(
  _xlpm.result, _xlfn.XLOOKUP($B405, Result_Database!$A$2:$A$500, Result_Database!P$2:P$500),
  _xlfn.IFNA(_xlpm.result, "")
)</f>
        <v/>
      </c>
      <c r="R405" t="str">
        <f>_xlfn.LET(
  _xlpm.result, _xlfn.XLOOKUP($B405, Result_Database!$A$2:$A$500, Result_Database!Q$2:Q$500),
  _xlfn.IFNA(_xlpm.result, "")
)</f>
        <v/>
      </c>
      <c r="S405" t="str">
        <f>_xlfn.LET(
  _xlpm.result, _xlfn.XLOOKUP($B405, Result_Database!$A$2:$A$500, Result_Database!R$2:R$500),
  _xlfn.IFNA(_xlpm.result, "")
)</f>
        <v/>
      </c>
      <c r="T405" t="str">
        <f>_xlfn.LET(
  _xlpm.result, _xlfn.XLOOKUP($B405, Result_Database!$A$2:$A$500, Result_Database!S$2:S$500),
  _xlfn.IFNA(_xlpm.result, "")
)</f>
        <v/>
      </c>
      <c r="U405" t="str">
        <f>_xlfn.LET(
  _xlpm.result, _xlfn.XLOOKUP($B405, Result_Database!$A$2:$A$500, Result_Database!T$2:T$500),
  _xlfn.IFNA(_xlpm.result, "")
)</f>
        <v/>
      </c>
      <c r="V405" t="str">
        <f>_xlfn.LET(
  _xlpm.result, _xlfn.XLOOKUP($B405, Result_Database!$A$2:$A$500, Result_Database!U$2:U$500),
  _xlfn.IFNA(_xlpm.result, "")
)</f>
        <v/>
      </c>
      <c r="W405" t="str">
        <f>_xlfn.LET(
  _xlpm.result, _xlfn.XLOOKUP($B405, Result_Database!$A$2:$A$500, Result_Database!V$2:V$500),
  _xlfn.IFNA(_xlpm.result, "")
)</f>
        <v/>
      </c>
      <c r="X405" t="str">
        <f>_xlfn.LET(
  _xlpm.result, _xlfn.XLOOKUP($B405, Result_Database!$A$2:$A$500, Result_Database!W$2:W$500),
  _xlfn.IFNA(_xlpm.result, "")
)</f>
        <v/>
      </c>
      <c r="Y405" t="str">
        <f>_xlfn.LET(
  _xlpm.result, _xlfn.XLOOKUP($B405, Result_Database!$A$2:$A$500, Result_Database!X$2:X$500),
  _xlfn.IFNA(_xlpm.result, "")
)</f>
        <v/>
      </c>
      <c r="Z405" t="str">
        <f>_xlfn.LET(
  _xlpm.result, _xlfn.XLOOKUP($B405, Result_Database!$A$2:$A$500, Result_Database!Y$2:Y$500),
  _xlfn.IFNA(_xlpm.result, "")
)</f>
        <v/>
      </c>
      <c r="AA405" t="str">
        <f>_xlfn.LET(
  _xlpm.result, _xlfn.XLOOKUP($B405, Result_Database!$A$2:$A$500, Result_Database!Z$2:Z$500),
  _xlfn.IFNA(_xlpm.result, "")
)</f>
        <v/>
      </c>
      <c r="AB405" t="str">
        <f>_xlfn.LET(
  _xlpm.result, _xlfn.XLOOKUP($B405, Result_Database!$A$2:$A$500, Result_Database!AA$2:AA$500),
  _xlfn.IFNA(_xlpm.result, "")
)</f>
        <v/>
      </c>
      <c r="AC405" t="str">
        <f>_xlfn.LET(
  _xlpm.result, _xlfn.XLOOKUP($B405, Result_Database!$A$2:$A$500, Result_Database!AB$2:AB$500),
  _xlfn.IFNA(_xlpm.result, "")
)</f>
        <v/>
      </c>
      <c r="AD405" t="str">
        <f>_xlfn.LET(
  _xlpm.result, _xlfn.XLOOKUP($B405, Result_Database!$A$2:$A$500, Result_Database!AC$2:AC$500),
  _xlfn.IFNA(_xlpm.result, "")
)</f>
        <v/>
      </c>
      <c r="AE405" t="str">
        <f>_xlfn.LET(
  _xlpm.result, _xlfn.XLOOKUP($B405, Result_Database!$A$2:$A$500, Result_Database!AD$2:AD$500),
  _xlfn.IFNA(_xlpm.result, "")
)</f>
        <v/>
      </c>
      <c r="AF405" t="str">
        <f>_xlfn.LET(
  _xlpm.result, _xlfn.XLOOKUP($B405, Result_Database!$A$2:$A$500, Result_Database!AE$2:AE$500),
  _xlfn.IFNA(_xlpm.result, "")
)</f>
        <v/>
      </c>
      <c r="AG405" t="str">
        <f>_xlfn.LET(
  _xlpm.result, _xlfn.XLOOKUP($B405, Result_Database!$A$2:$A$500, Result_Database!AF$2:AF$500),
  _xlfn.IFNA(_xlpm.result, "")
)</f>
        <v/>
      </c>
      <c r="AH405" t="str">
        <f>_xlfn.LET(
  _xlpm.result, _xlfn.XLOOKUP($B405, Result_Database!$A$2:$A$500, Result_Database!AG$2:AG$500),
  _xlfn.IFNA(_xlpm.result, "")
)</f>
        <v/>
      </c>
      <c r="AI405" t="str">
        <f>_xlfn.LET(
  _xlpm.result, _xlfn.XLOOKUP($B405, Result_Database!$A$2:$A$500, Result_Database!AH$2:AH$500),
  _xlfn.IFNA(_xlpm.result, "")
)</f>
        <v/>
      </c>
      <c r="AJ405" t="str">
        <f>_xlfn.LET(
  _xlpm.result, _xlfn.XLOOKUP($B405, Result_Database!$A$2:$A$500, Result_Database!AI$2:AI$500),
  _xlfn.IFNA(_xlpm.result, "")
)</f>
        <v/>
      </c>
      <c r="AK405" t="str">
        <f>_xlfn.LET(
  _xlpm.result, _xlfn.XLOOKUP($B405, Result_Database!$A$2:$A$500, Result_Database!AJ$2:AJ$500),
  _xlfn.IFNA(_xlpm.result, "")
)</f>
        <v/>
      </c>
      <c r="AL405" t="str">
        <f>_xlfn.LET(
  _xlpm.result, _xlfn.XLOOKUP($B405, Result_Database!$A$2:$A$500, Result_Database!AK$2:AK$500),
  _xlfn.IFNA(_xlpm.result, "")
)</f>
        <v/>
      </c>
      <c r="AM40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0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0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0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0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0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0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0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0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05" t="str">
        <f>IF(SUM(Table5[[#This Row],[A1]:[C6]])&lt;&gt;0,SUM(Table5[[#This Row],[A1]:[C6]]),"")</f>
        <v/>
      </c>
      <c r="AW405" t="str">
        <f>IF(SUM(Table5[[#This Row],[D7]:[F9]])=0,"",SUM(Table5[[#This Row],[D7]:[F9]]))</f>
        <v/>
      </c>
      <c r="AX40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0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0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0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0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0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05" t="str">
        <f>IF(COUNTIF(Table5[[#This Row],[English Language]:[Electrical/ Electronics]],"WITHHELD")=0,"",COUNTIF(Table5[[#This Row],[English Language]:[Electrical/ Electronics]],"WITHHELD"))</f>
        <v/>
      </c>
      <c r="BE405" t="str">
        <f>IF(SUM(Table5[[#This Row],[NO OF CREDITS]:[BELOW CREDITS]])=0,"",SUM(Table5[[#This Row],[NO OF CREDITS]:[BELOW CREDITS]]))</f>
        <v/>
      </c>
    </row>
    <row r="406" spans="1:57" x14ac:dyDescent="0.3">
      <c r="A406" t="str">
        <f>IF(B406&lt;&gt;"",COUNTA($B$6:B406),"")</f>
        <v/>
      </c>
      <c r="B406" t="str">
        <f>IF(Result_Database!A402="","",Result_Database!A402)</f>
        <v/>
      </c>
      <c r="C406" t="str">
        <f>_xlfn.LET(
_xlpm.result,_xlfn.XLOOKUP($B406,Result_Database!$A$2:$A$500,Result_Database!$B$2:$B$500),
_xlfn.IFNA(_xlpm.result,"")
)</f>
        <v/>
      </c>
      <c r="D406" t="str">
        <f>_xlfn.LET(
  _xlpm.result, _xlfn.XLOOKUP($B406, Result_Database!$A$2:$A$500, Result_Database!C$2:C$500),
  _xlfn.IFNA(_xlpm.result, "")
)</f>
        <v/>
      </c>
      <c r="E406" t="str">
        <f>_xlfn.LET(
  _xlpm.result, _xlfn.XLOOKUP($B406, Result_Database!$A$2:$A$500, Result_Database!D$2:D$500),
  _xlfn.IFNA(_xlpm.result, "")
)</f>
        <v/>
      </c>
      <c r="F406" t="str">
        <f>_xlfn.LET(
  _xlpm.result, _xlfn.XLOOKUP($B406, Result_Database!$A$2:$A$500, Result_Database!E$2:E$500),
  _xlfn.IFNA(_xlpm.result, "")
)</f>
        <v/>
      </c>
      <c r="G406" t="str">
        <f>_xlfn.LET(
  _xlpm.result, _xlfn.XLOOKUP($B406, Result_Database!$A$2:$A$500, Result_Database!F$2:F$500),
  _xlfn.IFNA(_xlpm.result, "")
)</f>
        <v/>
      </c>
      <c r="H406" t="str">
        <f>_xlfn.LET(
  _xlpm.result, _xlfn.XLOOKUP($B406, Result_Database!$A$2:$A$500, Result_Database!G$2:G$500),
  _xlfn.IFNA(_xlpm.result, "")
)</f>
        <v/>
      </c>
      <c r="I406" t="str">
        <f>_xlfn.LET(
  _xlpm.result, _xlfn.XLOOKUP($B406, Result_Database!$A$2:$A$500, Result_Database!H$2:H$500),
  _xlfn.IFNA(_xlpm.result, "")
)</f>
        <v/>
      </c>
      <c r="J406" t="str">
        <f>_xlfn.LET(
  _xlpm.result, _xlfn.XLOOKUP($B406, Result_Database!$A$2:$A$500, Result_Database!I$2:I$500),
  _xlfn.IFNA(_xlpm.result, "")
)</f>
        <v/>
      </c>
      <c r="K406" t="str">
        <f>_xlfn.LET(
  _xlpm.result, _xlfn.XLOOKUP($B406, Result_Database!$A$2:$A$500, Result_Database!J$2:J$500),
  _xlfn.IFNA(_xlpm.result, "")
)</f>
        <v/>
      </c>
      <c r="L406" t="str">
        <f>_xlfn.LET(
  _xlpm.result, _xlfn.XLOOKUP($B406, Result_Database!$A$2:$A$500, Result_Database!K$2:K$500),
  _xlfn.IFNA(_xlpm.result, "")
)</f>
        <v/>
      </c>
      <c r="M406" t="str">
        <f>_xlfn.LET(
  _xlpm.result, _xlfn.XLOOKUP($B406, Result_Database!$A$2:$A$500, Result_Database!L$2:L$500),
  _xlfn.IFNA(_xlpm.result, "")
)</f>
        <v/>
      </c>
      <c r="N406" t="str">
        <f>_xlfn.LET(
  _xlpm.result, _xlfn.XLOOKUP($B406, Result_Database!$A$2:$A$500, Result_Database!M$2:M$500),
  _xlfn.IFNA(_xlpm.result, "")
)</f>
        <v/>
      </c>
      <c r="O406" t="str">
        <f>_xlfn.LET(
  _xlpm.result, _xlfn.XLOOKUP($B406, Result_Database!$A$2:$A$500, Result_Database!N$2:N$500),
  _xlfn.IFNA(_xlpm.result, "")
)</f>
        <v/>
      </c>
      <c r="P406" t="str">
        <f>_xlfn.LET(
  _xlpm.result, _xlfn.XLOOKUP($B406, Result_Database!$A$2:$A$500, Result_Database!O$2:O$500),
  _xlfn.IFNA(_xlpm.result, "")
)</f>
        <v/>
      </c>
      <c r="Q406" t="str">
        <f>_xlfn.LET(
  _xlpm.result, _xlfn.XLOOKUP($B406, Result_Database!$A$2:$A$500, Result_Database!P$2:P$500),
  _xlfn.IFNA(_xlpm.result, "")
)</f>
        <v/>
      </c>
      <c r="R406" t="str">
        <f>_xlfn.LET(
  _xlpm.result, _xlfn.XLOOKUP($B406, Result_Database!$A$2:$A$500, Result_Database!Q$2:Q$500),
  _xlfn.IFNA(_xlpm.result, "")
)</f>
        <v/>
      </c>
      <c r="S406" t="str">
        <f>_xlfn.LET(
  _xlpm.result, _xlfn.XLOOKUP($B406, Result_Database!$A$2:$A$500, Result_Database!R$2:R$500),
  _xlfn.IFNA(_xlpm.result, "")
)</f>
        <v/>
      </c>
      <c r="T406" t="str">
        <f>_xlfn.LET(
  _xlpm.result, _xlfn.XLOOKUP($B406, Result_Database!$A$2:$A$500, Result_Database!S$2:S$500),
  _xlfn.IFNA(_xlpm.result, "")
)</f>
        <v/>
      </c>
      <c r="U406" t="str">
        <f>_xlfn.LET(
  _xlpm.result, _xlfn.XLOOKUP($B406, Result_Database!$A$2:$A$500, Result_Database!T$2:T$500),
  _xlfn.IFNA(_xlpm.result, "")
)</f>
        <v/>
      </c>
      <c r="V406" t="str">
        <f>_xlfn.LET(
  _xlpm.result, _xlfn.XLOOKUP($B406, Result_Database!$A$2:$A$500, Result_Database!U$2:U$500),
  _xlfn.IFNA(_xlpm.result, "")
)</f>
        <v/>
      </c>
      <c r="W406" t="str">
        <f>_xlfn.LET(
  _xlpm.result, _xlfn.XLOOKUP($B406, Result_Database!$A$2:$A$500, Result_Database!V$2:V$500),
  _xlfn.IFNA(_xlpm.result, "")
)</f>
        <v/>
      </c>
      <c r="X406" t="str">
        <f>_xlfn.LET(
  _xlpm.result, _xlfn.XLOOKUP($B406, Result_Database!$A$2:$A$500, Result_Database!W$2:W$500),
  _xlfn.IFNA(_xlpm.result, "")
)</f>
        <v/>
      </c>
      <c r="Y406" t="str">
        <f>_xlfn.LET(
  _xlpm.result, _xlfn.XLOOKUP($B406, Result_Database!$A$2:$A$500, Result_Database!X$2:X$500),
  _xlfn.IFNA(_xlpm.result, "")
)</f>
        <v/>
      </c>
      <c r="Z406" t="str">
        <f>_xlfn.LET(
  _xlpm.result, _xlfn.XLOOKUP($B406, Result_Database!$A$2:$A$500, Result_Database!Y$2:Y$500),
  _xlfn.IFNA(_xlpm.result, "")
)</f>
        <v/>
      </c>
      <c r="AA406" t="str">
        <f>_xlfn.LET(
  _xlpm.result, _xlfn.XLOOKUP($B406, Result_Database!$A$2:$A$500, Result_Database!Z$2:Z$500),
  _xlfn.IFNA(_xlpm.result, "")
)</f>
        <v/>
      </c>
      <c r="AB406" t="str">
        <f>_xlfn.LET(
  _xlpm.result, _xlfn.XLOOKUP($B406, Result_Database!$A$2:$A$500, Result_Database!AA$2:AA$500),
  _xlfn.IFNA(_xlpm.result, "")
)</f>
        <v/>
      </c>
      <c r="AC406" t="str">
        <f>_xlfn.LET(
  _xlpm.result, _xlfn.XLOOKUP($B406, Result_Database!$A$2:$A$500, Result_Database!AB$2:AB$500),
  _xlfn.IFNA(_xlpm.result, "")
)</f>
        <v/>
      </c>
      <c r="AD406" t="str">
        <f>_xlfn.LET(
  _xlpm.result, _xlfn.XLOOKUP($B406, Result_Database!$A$2:$A$500, Result_Database!AC$2:AC$500),
  _xlfn.IFNA(_xlpm.result, "")
)</f>
        <v/>
      </c>
      <c r="AE406" t="str">
        <f>_xlfn.LET(
  _xlpm.result, _xlfn.XLOOKUP($B406, Result_Database!$A$2:$A$500, Result_Database!AD$2:AD$500),
  _xlfn.IFNA(_xlpm.result, "")
)</f>
        <v/>
      </c>
      <c r="AF406" t="str">
        <f>_xlfn.LET(
  _xlpm.result, _xlfn.XLOOKUP($B406, Result_Database!$A$2:$A$500, Result_Database!AE$2:AE$500),
  _xlfn.IFNA(_xlpm.result, "")
)</f>
        <v/>
      </c>
      <c r="AG406" t="str">
        <f>_xlfn.LET(
  _xlpm.result, _xlfn.XLOOKUP($B406, Result_Database!$A$2:$A$500, Result_Database!AF$2:AF$500),
  _xlfn.IFNA(_xlpm.result, "")
)</f>
        <v/>
      </c>
      <c r="AH406" t="str">
        <f>_xlfn.LET(
  _xlpm.result, _xlfn.XLOOKUP($B406, Result_Database!$A$2:$A$500, Result_Database!AG$2:AG$500),
  _xlfn.IFNA(_xlpm.result, "")
)</f>
        <v/>
      </c>
      <c r="AI406" t="str">
        <f>_xlfn.LET(
  _xlpm.result, _xlfn.XLOOKUP($B406, Result_Database!$A$2:$A$500, Result_Database!AH$2:AH$500),
  _xlfn.IFNA(_xlpm.result, "")
)</f>
        <v/>
      </c>
      <c r="AJ406" t="str">
        <f>_xlfn.LET(
  _xlpm.result, _xlfn.XLOOKUP($B406, Result_Database!$A$2:$A$500, Result_Database!AI$2:AI$500),
  _xlfn.IFNA(_xlpm.result, "")
)</f>
        <v/>
      </c>
      <c r="AK406" t="str">
        <f>_xlfn.LET(
  _xlpm.result, _xlfn.XLOOKUP($B406, Result_Database!$A$2:$A$500, Result_Database!AJ$2:AJ$500),
  _xlfn.IFNA(_xlpm.result, "")
)</f>
        <v/>
      </c>
      <c r="AL406" t="str">
        <f>_xlfn.LET(
  _xlpm.result, _xlfn.XLOOKUP($B406, Result_Database!$A$2:$A$500, Result_Database!AK$2:AK$500),
  _xlfn.IFNA(_xlpm.result, "")
)</f>
        <v/>
      </c>
      <c r="AM40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0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0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0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0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0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0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0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0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06" t="str">
        <f>IF(SUM(Table5[[#This Row],[A1]:[C6]])&lt;&gt;0,SUM(Table5[[#This Row],[A1]:[C6]]),"")</f>
        <v/>
      </c>
      <c r="AW406" t="str">
        <f>IF(SUM(Table5[[#This Row],[D7]:[F9]])=0,"",SUM(Table5[[#This Row],[D7]:[F9]]))</f>
        <v/>
      </c>
      <c r="AX40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0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0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0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0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0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06" t="str">
        <f>IF(COUNTIF(Table5[[#This Row],[English Language]:[Electrical/ Electronics]],"WITHHELD")=0,"",COUNTIF(Table5[[#This Row],[English Language]:[Electrical/ Electronics]],"WITHHELD"))</f>
        <v/>
      </c>
      <c r="BE406" t="str">
        <f>IF(SUM(Table5[[#This Row],[NO OF CREDITS]:[BELOW CREDITS]])=0,"",SUM(Table5[[#This Row],[NO OF CREDITS]:[BELOW CREDITS]]))</f>
        <v/>
      </c>
    </row>
    <row r="407" spans="1:57" x14ac:dyDescent="0.3">
      <c r="A407" t="str">
        <f>IF(B407&lt;&gt;"",COUNTA($B$6:B407),"")</f>
        <v/>
      </c>
      <c r="B407" t="str">
        <f>IF(Result_Database!A403="","",Result_Database!A403)</f>
        <v/>
      </c>
      <c r="C407" t="str">
        <f>_xlfn.LET(
_xlpm.result,_xlfn.XLOOKUP($B407,Result_Database!$A$2:$A$500,Result_Database!$B$2:$B$500),
_xlfn.IFNA(_xlpm.result,"")
)</f>
        <v/>
      </c>
      <c r="D407" t="str">
        <f>_xlfn.LET(
  _xlpm.result, _xlfn.XLOOKUP($B407, Result_Database!$A$2:$A$500, Result_Database!C$2:C$500),
  _xlfn.IFNA(_xlpm.result, "")
)</f>
        <v/>
      </c>
      <c r="E407" t="str">
        <f>_xlfn.LET(
  _xlpm.result, _xlfn.XLOOKUP($B407, Result_Database!$A$2:$A$500, Result_Database!D$2:D$500),
  _xlfn.IFNA(_xlpm.result, "")
)</f>
        <v/>
      </c>
      <c r="F407" t="str">
        <f>_xlfn.LET(
  _xlpm.result, _xlfn.XLOOKUP($B407, Result_Database!$A$2:$A$500, Result_Database!E$2:E$500),
  _xlfn.IFNA(_xlpm.result, "")
)</f>
        <v/>
      </c>
      <c r="G407" t="str">
        <f>_xlfn.LET(
  _xlpm.result, _xlfn.XLOOKUP($B407, Result_Database!$A$2:$A$500, Result_Database!F$2:F$500),
  _xlfn.IFNA(_xlpm.result, "")
)</f>
        <v/>
      </c>
      <c r="H407" t="str">
        <f>_xlfn.LET(
  _xlpm.result, _xlfn.XLOOKUP($B407, Result_Database!$A$2:$A$500, Result_Database!G$2:G$500),
  _xlfn.IFNA(_xlpm.result, "")
)</f>
        <v/>
      </c>
      <c r="I407" t="str">
        <f>_xlfn.LET(
  _xlpm.result, _xlfn.XLOOKUP($B407, Result_Database!$A$2:$A$500, Result_Database!H$2:H$500),
  _xlfn.IFNA(_xlpm.result, "")
)</f>
        <v/>
      </c>
      <c r="J407" t="str">
        <f>_xlfn.LET(
  _xlpm.result, _xlfn.XLOOKUP($B407, Result_Database!$A$2:$A$500, Result_Database!I$2:I$500),
  _xlfn.IFNA(_xlpm.result, "")
)</f>
        <v/>
      </c>
      <c r="K407" t="str">
        <f>_xlfn.LET(
  _xlpm.result, _xlfn.XLOOKUP($B407, Result_Database!$A$2:$A$500, Result_Database!J$2:J$500),
  _xlfn.IFNA(_xlpm.result, "")
)</f>
        <v/>
      </c>
      <c r="L407" t="str">
        <f>_xlfn.LET(
  _xlpm.result, _xlfn.XLOOKUP($B407, Result_Database!$A$2:$A$500, Result_Database!K$2:K$500),
  _xlfn.IFNA(_xlpm.result, "")
)</f>
        <v/>
      </c>
      <c r="M407" t="str">
        <f>_xlfn.LET(
  _xlpm.result, _xlfn.XLOOKUP($B407, Result_Database!$A$2:$A$500, Result_Database!L$2:L$500),
  _xlfn.IFNA(_xlpm.result, "")
)</f>
        <v/>
      </c>
      <c r="N407" t="str">
        <f>_xlfn.LET(
  _xlpm.result, _xlfn.XLOOKUP($B407, Result_Database!$A$2:$A$500, Result_Database!M$2:M$500),
  _xlfn.IFNA(_xlpm.result, "")
)</f>
        <v/>
      </c>
      <c r="O407" t="str">
        <f>_xlfn.LET(
  _xlpm.result, _xlfn.XLOOKUP($B407, Result_Database!$A$2:$A$500, Result_Database!N$2:N$500),
  _xlfn.IFNA(_xlpm.result, "")
)</f>
        <v/>
      </c>
      <c r="P407" t="str">
        <f>_xlfn.LET(
  _xlpm.result, _xlfn.XLOOKUP($B407, Result_Database!$A$2:$A$500, Result_Database!O$2:O$500),
  _xlfn.IFNA(_xlpm.result, "")
)</f>
        <v/>
      </c>
      <c r="Q407" t="str">
        <f>_xlfn.LET(
  _xlpm.result, _xlfn.XLOOKUP($B407, Result_Database!$A$2:$A$500, Result_Database!P$2:P$500),
  _xlfn.IFNA(_xlpm.result, "")
)</f>
        <v/>
      </c>
      <c r="R407" t="str">
        <f>_xlfn.LET(
  _xlpm.result, _xlfn.XLOOKUP($B407, Result_Database!$A$2:$A$500, Result_Database!Q$2:Q$500),
  _xlfn.IFNA(_xlpm.result, "")
)</f>
        <v/>
      </c>
      <c r="S407" t="str">
        <f>_xlfn.LET(
  _xlpm.result, _xlfn.XLOOKUP($B407, Result_Database!$A$2:$A$500, Result_Database!R$2:R$500),
  _xlfn.IFNA(_xlpm.result, "")
)</f>
        <v/>
      </c>
      <c r="T407" t="str">
        <f>_xlfn.LET(
  _xlpm.result, _xlfn.XLOOKUP($B407, Result_Database!$A$2:$A$500, Result_Database!S$2:S$500),
  _xlfn.IFNA(_xlpm.result, "")
)</f>
        <v/>
      </c>
      <c r="U407" t="str">
        <f>_xlfn.LET(
  _xlpm.result, _xlfn.XLOOKUP($B407, Result_Database!$A$2:$A$500, Result_Database!T$2:T$500),
  _xlfn.IFNA(_xlpm.result, "")
)</f>
        <v/>
      </c>
      <c r="V407" t="str">
        <f>_xlfn.LET(
  _xlpm.result, _xlfn.XLOOKUP($B407, Result_Database!$A$2:$A$500, Result_Database!U$2:U$500),
  _xlfn.IFNA(_xlpm.result, "")
)</f>
        <v/>
      </c>
      <c r="W407" t="str">
        <f>_xlfn.LET(
  _xlpm.result, _xlfn.XLOOKUP($B407, Result_Database!$A$2:$A$500, Result_Database!V$2:V$500),
  _xlfn.IFNA(_xlpm.result, "")
)</f>
        <v/>
      </c>
      <c r="X407" t="str">
        <f>_xlfn.LET(
  _xlpm.result, _xlfn.XLOOKUP($B407, Result_Database!$A$2:$A$500, Result_Database!W$2:W$500),
  _xlfn.IFNA(_xlpm.result, "")
)</f>
        <v/>
      </c>
      <c r="Y407" t="str">
        <f>_xlfn.LET(
  _xlpm.result, _xlfn.XLOOKUP($B407, Result_Database!$A$2:$A$500, Result_Database!X$2:X$500),
  _xlfn.IFNA(_xlpm.result, "")
)</f>
        <v/>
      </c>
      <c r="Z407" t="str">
        <f>_xlfn.LET(
  _xlpm.result, _xlfn.XLOOKUP($B407, Result_Database!$A$2:$A$500, Result_Database!Y$2:Y$500),
  _xlfn.IFNA(_xlpm.result, "")
)</f>
        <v/>
      </c>
      <c r="AA407" t="str">
        <f>_xlfn.LET(
  _xlpm.result, _xlfn.XLOOKUP($B407, Result_Database!$A$2:$A$500, Result_Database!Z$2:Z$500),
  _xlfn.IFNA(_xlpm.result, "")
)</f>
        <v/>
      </c>
      <c r="AB407" t="str">
        <f>_xlfn.LET(
  _xlpm.result, _xlfn.XLOOKUP($B407, Result_Database!$A$2:$A$500, Result_Database!AA$2:AA$500),
  _xlfn.IFNA(_xlpm.result, "")
)</f>
        <v/>
      </c>
      <c r="AC407" t="str">
        <f>_xlfn.LET(
  _xlpm.result, _xlfn.XLOOKUP($B407, Result_Database!$A$2:$A$500, Result_Database!AB$2:AB$500),
  _xlfn.IFNA(_xlpm.result, "")
)</f>
        <v/>
      </c>
      <c r="AD407" t="str">
        <f>_xlfn.LET(
  _xlpm.result, _xlfn.XLOOKUP($B407, Result_Database!$A$2:$A$500, Result_Database!AC$2:AC$500),
  _xlfn.IFNA(_xlpm.result, "")
)</f>
        <v/>
      </c>
      <c r="AE407" t="str">
        <f>_xlfn.LET(
  _xlpm.result, _xlfn.XLOOKUP($B407, Result_Database!$A$2:$A$500, Result_Database!AD$2:AD$500),
  _xlfn.IFNA(_xlpm.result, "")
)</f>
        <v/>
      </c>
      <c r="AF407" t="str">
        <f>_xlfn.LET(
  _xlpm.result, _xlfn.XLOOKUP($B407, Result_Database!$A$2:$A$500, Result_Database!AE$2:AE$500),
  _xlfn.IFNA(_xlpm.result, "")
)</f>
        <v/>
      </c>
      <c r="AG407" t="str">
        <f>_xlfn.LET(
  _xlpm.result, _xlfn.XLOOKUP($B407, Result_Database!$A$2:$A$500, Result_Database!AF$2:AF$500),
  _xlfn.IFNA(_xlpm.result, "")
)</f>
        <v/>
      </c>
      <c r="AH407" t="str">
        <f>_xlfn.LET(
  _xlpm.result, _xlfn.XLOOKUP($B407, Result_Database!$A$2:$A$500, Result_Database!AG$2:AG$500),
  _xlfn.IFNA(_xlpm.result, "")
)</f>
        <v/>
      </c>
      <c r="AI407" t="str">
        <f>_xlfn.LET(
  _xlpm.result, _xlfn.XLOOKUP($B407, Result_Database!$A$2:$A$500, Result_Database!AH$2:AH$500),
  _xlfn.IFNA(_xlpm.result, "")
)</f>
        <v/>
      </c>
      <c r="AJ407" t="str">
        <f>_xlfn.LET(
  _xlpm.result, _xlfn.XLOOKUP($B407, Result_Database!$A$2:$A$500, Result_Database!AI$2:AI$500),
  _xlfn.IFNA(_xlpm.result, "")
)</f>
        <v/>
      </c>
      <c r="AK407" t="str">
        <f>_xlfn.LET(
  _xlpm.result, _xlfn.XLOOKUP($B407, Result_Database!$A$2:$A$500, Result_Database!AJ$2:AJ$500),
  _xlfn.IFNA(_xlpm.result, "")
)</f>
        <v/>
      </c>
      <c r="AL407" t="str">
        <f>_xlfn.LET(
  _xlpm.result, _xlfn.XLOOKUP($B407, Result_Database!$A$2:$A$500, Result_Database!AK$2:AK$500),
  _xlfn.IFNA(_xlpm.result, "")
)</f>
        <v/>
      </c>
      <c r="AM40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0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0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0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0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0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0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0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0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07" t="str">
        <f>IF(SUM(Table5[[#This Row],[A1]:[C6]])&lt;&gt;0,SUM(Table5[[#This Row],[A1]:[C6]]),"")</f>
        <v/>
      </c>
      <c r="AW407" t="str">
        <f>IF(SUM(Table5[[#This Row],[D7]:[F9]])=0,"",SUM(Table5[[#This Row],[D7]:[F9]]))</f>
        <v/>
      </c>
      <c r="AX40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0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0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0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0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0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07" t="str">
        <f>IF(COUNTIF(Table5[[#This Row],[English Language]:[Electrical/ Electronics]],"WITHHELD")=0,"",COUNTIF(Table5[[#This Row],[English Language]:[Electrical/ Electronics]],"WITHHELD"))</f>
        <v/>
      </c>
      <c r="BE407" t="str">
        <f>IF(SUM(Table5[[#This Row],[NO OF CREDITS]:[BELOW CREDITS]])=0,"",SUM(Table5[[#This Row],[NO OF CREDITS]:[BELOW CREDITS]]))</f>
        <v/>
      </c>
    </row>
    <row r="408" spans="1:57" x14ac:dyDescent="0.3">
      <c r="A408" t="str">
        <f>IF(B408&lt;&gt;"",COUNTA($B$6:B408),"")</f>
        <v/>
      </c>
      <c r="B408" t="str">
        <f>IF(Result_Database!A404="","",Result_Database!A404)</f>
        <v/>
      </c>
      <c r="C408" t="str">
        <f>_xlfn.LET(
_xlpm.result,_xlfn.XLOOKUP($B408,Result_Database!$A$2:$A$500,Result_Database!$B$2:$B$500),
_xlfn.IFNA(_xlpm.result,"")
)</f>
        <v/>
      </c>
      <c r="D408" t="str">
        <f>_xlfn.LET(
  _xlpm.result, _xlfn.XLOOKUP($B408, Result_Database!$A$2:$A$500, Result_Database!C$2:C$500),
  _xlfn.IFNA(_xlpm.result, "")
)</f>
        <v/>
      </c>
      <c r="E408" t="str">
        <f>_xlfn.LET(
  _xlpm.result, _xlfn.XLOOKUP($B408, Result_Database!$A$2:$A$500, Result_Database!D$2:D$500),
  _xlfn.IFNA(_xlpm.result, "")
)</f>
        <v/>
      </c>
      <c r="F408" t="str">
        <f>_xlfn.LET(
  _xlpm.result, _xlfn.XLOOKUP($B408, Result_Database!$A$2:$A$500, Result_Database!E$2:E$500),
  _xlfn.IFNA(_xlpm.result, "")
)</f>
        <v/>
      </c>
      <c r="G408" t="str">
        <f>_xlfn.LET(
  _xlpm.result, _xlfn.XLOOKUP($B408, Result_Database!$A$2:$A$500, Result_Database!F$2:F$500),
  _xlfn.IFNA(_xlpm.result, "")
)</f>
        <v/>
      </c>
      <c r="H408" t="str">
        <f>_xlfn.LET(
  _xlpm.result, _xlfn.XLOOKUP($B408, Result_Database!$A$2:$A$500, Result_Database!G$2:G$500),
  _xlfn.IFNA(_xlpm.result, "")
)</f>
        <v/>
      </c>
      <c r="I408" t="str">
        <f>_xlfn.LET(
  _xlpm.result, _xlfn.XLOOKUP($B408, Result_Database!$A$2:$A$500, Result_Database!H$2:H$500),
  _xlfn.IFNA(_xlpm.result, "")
)</f>
        <v/>
      </c>
      <c r="J408" t="str">
        <f>_xlfn.LET(
  _xlpm.result, _xlfn.XLOOKUP($B408, Result_Database!$A$2:$A$500, Result_Database!I$2:I$500),
  _xlfn.IFNA(_xlpm.result, "")
)</f>
        <v/>
      </c>
      <c r="K408" t="str">
        <f>_xlfn.LET(
  _xlpm.result, _xlfn.XLOOKUP($B408, Result_Database!$A$2:$A$500, Result_Database!J$2:J$500),
  _xlfn.IFNA(_xlpm.result, "")
)</f>
        <v/>
      </c>
      <c r="L408" t="str">
        <f>_xlfn.LET(
  _xlpm.result, _xlfn.XLOOKUP($B408, Result_Database!$A$2:$A$500, Result_Database!K$2:K$500),
  _xlfn.IFNA(_xlpm.result, "")
)</f>
        <v/>
      </c>
      <c r="M408" t="str">
        <f>_xlfn.LET(
  _xlpm.result, _xlfn.XLOOKUP($B408, Result_Database!$A$2:$A$500, Result_Database!L$2:L$500),
  _xlfn.IFNA(_xlpm.result, "")
)</f>
        <v/>
      </c>
      <c r="N408" t="str">
        <f>_xlfn.LET(
  _xlpm.result, _xlfn.XLOOKUP($B408, Result_Database!$A$2:$A$500, Result_Database!M$2:M$500),
  _xlfn.IFNA(_xlpm.result, "")
)</f>
        <v/>
      </c>
      <c r="O408" t="str">
        <f>_xlfn.LET(
  _xlpm.result, _xlfn.XLOOKUP($B408, Result_Database!$A$2:$A$500, Result_Database!N$2:N$500),
  _xlfn.IFNA(_xlpm.result, "")
)</f>
        <v/>
      </c>
      <c r="P408" t="str">
        <f>_xlfn.LET(
  _xlpm.result, _xlfn.XLOOKUP($B408, Result_Database!$A$2:$A$500, Result_Database!O$2:O$500),
  _xlfn.IFNA(_xlpm.result, "")
)</f>
        <v/>
      </c>
      <c r="Q408" t="str">
        <f>_xlfn.LET(
  _xlpm.result, _xlfn.XLOOKUP($B408, Result_Database!$A$2:$A$500, Result_Database!P$2:P$500),
  _xlfn.IFNA(_xlpm.result, "")
)</f>
        <v/>
      </c>
      <c r="R408" t="str">
        <f>_xlfn.LET(
  _xlpm.result, _xlfn.XLOOKUP($B408, Result_Database!$A$2:$A$500, Result_Database!Q$2:Q$500),
  _xlfn.IFNA(_xlpm.result, "")
)</f>
        <v/>
      </c>
      <c r="S408" t="str">
        <f>_xlfn.LET(
  _xlpm.result, _xlfn.XLOOKUP($B408, Result_Database!$A$2:$A$500, Result_Database!R$2:R$500),
  _xlfn.IFNA(_xlpm.result, "")
)</f>
        <v/>
      </c>
      <c r="T408" t="str">
        <f>_xlfn.LET(
  _xlpm.result, _xlfn.XLOOKUP($B408, Result_Database!$A$2:$A$500, Result_Database!S$2:S$500),
  _xlfn.IFNA(_xlpm.result, "")
)</f>
        <v/>
      </c>
      <c r="U408" t="str">
        <f>_xlfn.LET(
  _xlpm.result, _xlfn.XLOOKUP($B408, Result_Database!$A$2:$A$500, Result_Database!T$2:T$500),
  _xlfn.IFNA(_xlpm.result, "")
)</f>
        <v/>
      </c>
      <c r="V408" t="str">
        <f>_xlfn.LET(
  _xlpm.result, _xlfn.XLOOKUP($B408, Result_Database!$A$2:$A$500, Result_Database!U$2:U$500),
  _xlfn.IFNA(_xlpm.result, "")
)</f>
        <v/>
      </c>
      <c r="W408" t="str">
        <f>_xlfn.LET(
  _xlpm.result, _xlfn.XLOOKUP($B408, Result_Database!$A$2:$A$500, Result_Database!V$2:V$500),
  _xlfn.IFNA(_xlpm.result, "")
)</f>
        <v/>
      </c>
      <c r="X408" t="str">
        <f>_xlfn.LET(
  _xlpm.result, _xlfn.XLOOKUP($B408, Result_Database!$A$2:$A$500, Result_Database!W$2:W$500),
  _xlfn.IFNA(_xlpm.result, "")
)</f>
        <v/>
      </c>
      <c r="Y408" t="str">
        <f>_xlfn.LET(
  _xlpm.result, _xlfn.XLOOKUP($B408, Result_Database!$A$2:$A$500, Result_Database!X$2:X$500),
  _xlfn.IFNA(_xlpm.result, "")
)</f>
        <v/>
      </c>
      <c r="Z408" t="str">
        <f>_xlfn.LET(
  _xlpm.result, _xlfn.XLOOKUP($B408, Result_Database!$A$2:$A$500, Result_Database!Y$2:Y$500),
  _xlfn.IFNA(_xlpm.result, "")
)</f>
        <v/>
      </c>
      <c r="AA408" t="str">
        <f>_xlfn.LET(
  _xlpm.result, _xlfn.XLOOKUP($B408, Result_Database!$A$2:$A$500, Result_Database!Z$2:Z$500),
  _xlfn.IFNA(_xlpm.result, "")
)</f>
        <v/>
      </c>
      <c r="AB408" t="str">
        <f>_xlfn.LET(
  _xlpm.result, _xlfn.XLOOKUP($B408, Result_Database!$A$2:$A$500, Result_Database!AA$2:AA$500),
  _xlfn.IFNA(_xlpm.result, "")
)</f>
        <v/>
      </c>
      <c r="AC408" t="str">
        <f>_xlfn.LET(
  _xlpm.result, _xlfn.XLOOKUP($B408, Result_Database!$A$2:$A$500, Result_Database!AB$2:AB$500),
  _xlfn.IFNA(_xlpm.result, "")
)</f>
        <v/>
      </c>
      <c r="AD408" t="str">
        <f>_xlfn.LET(
  _xlpm.result, _xlfn.XLOOKUP($B408, Result_Database!$A$2:$A$500, Result_Database!AC$2:AC$500),
  _xlfn.IFNA(_xlpm.result, "")
)</f>
        <v/>
      </c>
      <c r="AE408" t="str">
        <f>_xlfn.LET(
  _xlpm.result, _xlfn.XLOOKUP($B408, Result_Database!$A$2:$A$500, Result_Database!AD$2:AD$500),
  _xlfn.IFNA(_xlpm.result, "")
)</f>
        <v/>
      </c>
      <c r="AF408" t="str">
        <f>_xlfn.LET(
  _xlpm.result, _xlfn.XLOOKUP($B408, Result_Database!$A$2:$A$500, Result_Database!AE$2:AE$500),
  _xlfn.IFNA(_xlpm.result, "")
)</f>
        <v/>
      </c>
      <c r="AG408" t="str">
        <f>_xlfn.LET(
  _xlpm.result, _xlfn.XLOOKUP($B408, Result_Database!$A$2:$A$500, Result_Database!AF$2:AF$500),
  _xlfn.IFNA(_xlpm.result, "")
)</f>
        <v/>
      </c>
      <c r="AH408" t="str">
        <f>_xlfn.LET(
  _xlpm.result, _xlfn.XLOOKUP($B408, Result_Database!$A$2:$A$500, Result_Database!AG$2:AG$500),
  _xlfn.IFNA(_xlpm.result, "")
)</f>
        <v/>
      </c>
      <c r="AI408" t="str">
        <f>_xlfn.LET(
  _xlpm.result, _xlfn.XLOOKUP($B408, Result_Database!$A$2:$A$500, Result_Database!AH$2:AH$500),
  _xlfn.IFNA(_xlpm.result, "")
)</f>
        <v/>
      </c>
      <c r="AJ408" t="str">
        <f>_xlfn.LET(
  _xlpm.result, _xlfn.XLOOKUP($B408, Result_Database!$A$2:$A$500, Result_Database!AI$2:AI$500),
  _xlfn.IFNA(_xlpm.result, "")
)</f>
        <v/>
      </c>
      <c r="AK408" t="str">
        <f>_xlfn.LET(
  _xlpm.result, _xlfn.XLOOKUP($B408, Result_Database!$A$2:$A$500, Result_Database!AJ$2:AJ$500),
  _xlfn.IFNA(_xlpm.result, "")
)</f>
        <v/>
      </c>
      <c r="AL408" t="str">
        <f>_xlfn.LET(
  _xlpm.result, _xlfn.XLOOKUP($B408, Result_Database!$A$2:$A$500, Result_Database!AK$2:AK$500),
  _xlfn.IFNA(_xlpm.result, "")
)</f>
        <v/>
      </c>
      <c r="AM40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0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0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0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0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0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0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0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0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08" t="str">
        <f>IF(SUM(Table5[[#This Row],[A1]:[C6]])&lt;&gt;0,SUM(Table5[[#This Row],[A1]:[C6]]),"")</f>
        <v/>
      </c>
      <c r="AW408" t="str">
        <f>IF(SUM(Table5[[#This Row],[D7]:[F9]])=0,"",SUM(Table5[[#This Row],[D7]:[F9]]))</f>
        <v/>
      </c>
      <c r="AX40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0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0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0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0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0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08" t="str">
        <f>IF(COUNTIF(Table5[[#This Row],[English Language]:[Electrical/ Electronics]],"WITHHELD")=0,"",COUNTIF(Table5[[#This Row],[English Language]:[Electrical/ Electronics]],"WITHHELD"))</f>
        <v/>
      </c>
      <c r="BE408" t="str">
        <f>IF(SUM(Table5[[#This Row],[NO OF CREDITS]:[BELOW CREDITS]])=0,"",SUM(Table5[[#This Row],[NO OF CREDITS]:[BELOW CREDITS]]))</f>
        <v/>
      </c>
    </row>
    <row r="409" spans="1:57" x14ac:dyDescent="0.3">
      <c r="A409" t="str">
        <f>IF(B409&lt;&gt;"",COUNTA($B$6:B409),"")</f>
        <v/>
      </c>
      <c r="B409" t="str">
        <f>IF(Result_Database!A405="","",Result_Database!A405)</f>
        <v/>
      </c>
      <c r="C409" t="str">
        <f>_xlfn.LET(
_xlpm.result,_xlfn.XLOOKUP($B409,Result_Database!$A$2:$A$500,Result_Database!$B$2:$B$500),
_xlfn.IFNA(_xlpm.result,"")
)</f>
        <v/>
      </c>
      <c r="D409" t="str">
        <f>_xlfn.LET(
  _xlpm.result, _xlfn.XLOOKUP($B409, Result_Database!$A$2:$A$500, Result_Database!C$2:C$500),
  _xlfn.IFNA(_xlpm.result, "")
)</f>
        <v/>
      </c>
      <c r="E409" t="str">
        <f>_xlfn.LET(
  _xlpm.result, _xlfn.XLOOKUP($B409, Result_Database!$A$2:$A$500, Result_Database!D$2:D$500),
  _xlfn.IFNA(_xlpm.result, "")
)</f>
        <v/>
      </c>
      <c r="F409" t="str">
        <f>_xlfn.LET(
  _xlpm.result, _xlfn.XLOOKUP($B409, Result_Database!$A$2:$A$500, Result_Database!E$2:E$500),
  _xlfn.IFNA(_xlpm.result, "")
)</f>
        <v/>
      </c>
      <c r="G409" t="str">
        <f>_xlfn.LET(
  _xlpm.result, _xlfn.XLOOKUP($B409, Result_Database!$A$2:$A$500, Result_Database!F$2:F$500),
  _xlfn.IFNA(_xlpm.result, "")
)</f>
        <v/>
      </c>
      <c r="H409" t="str">
        <f>_xlfn.LET(
  _xlpm.result, _xlfn.XLOOKUP($B409, Result_Database!$A$2:$A$500, Result_Database!G$2:G$500),
  _xlfn.IFNA(_xlpm.result, "")
)</f>
        <v/>
      </c>
      <c r="I409" t="str">
        <f>_xlfn.LET(
  _xlpm.result, _xlfn.XLOOKUP($B409, Result_Database!$A$2:$A$500, Result_Database!H$2:H$500),
  _xlfn.IFNA(_xlpm.result, "")
)</f>
        <v/>
      </c>
      <c r="J409" t="str">
        <f>_xlfn.LET(
  _xlpm.result, _xlfn.XLOOKUP($B409, Result_Database!$A$2:$A$500, Result_Database!I$2:I$500),
  _xlfn.IFNA(_xlpm.result, "")
)</f>
        <v/>
      </c>
      <c r="K409" t="str">
        <f>_xlfn.LET(
  _xlpm.result, _xlfn.XLOOKUP($B409, Result_Database!$A$2:$A$500, Result_Database!J$2:J$500),
  _xlfn.IFNA(_xlpm.result, "")
)</f>
        <v/>
      </c>
      <c r="L409" t="str">
        <f>_xlfn.LET(
  _xlpm.result, _xlfn.XLOOKUP($B409, Result_Database!$A$2:$A$500, Result_Database!K$2:K$500),
  _xlfn.IFNA(_xlpm.result, "")
)</f>
        <v/>
      </c>
      <c r="M409" t="str">
        <f>_xlfn.LET(
  _xlpm.result, _xlfn.XLOOKUP($B409, Result_Database!$A$2:$A$500, Result_Database!L$2:L$500),
  _xlfn.IFNA(_xlpm.result, "")
)</f>
        <v/>
      </c>
      <c r="N409" t="str">
        <f>_xlfn.LET(
  _xlpm.result, _xlfn.XLOOKUP($B409, Result_Database!$A$2:$A$500, Result_Database!M$2:M$500),
  _xlfn.IFNA(_xlpm.result, "")
)</f>
        <v/>
      </c>
      <c r="O409" t="str">
        <f>_xlfn.LET(
  _xlpm.result, _xlfn.XLOOKUP($B409, Result_Database!$A$2:$A$500, Result_Database!N$2:N$500),
  _xlfn.IFNA(_xlpm.result, "")
)</f>
        <v/>
      </c>
      <c r="P409" t="str">
        <f>_xlfn.LET(
  _xlpm.result, _xlfn.XLOOKUP($B409, Result_Database!$A$2:$A$500, Result_Database!O$2:O$500),
  _xlfn.IFNA(_xlpm.result, "")
)</f>
        <v/>
      </c>
      <c r="Q409" t="str">
        <f>_xlfn.LET(
  _xlpm.result, _xlfn.XLOOKUP($B409, Result_Database!$A$2:$A$500, Result_Database!P$2:P$500),
  _xlfn.IFNA(_xlpm.result, "")
)</f>
        <v/>
      </c>
      <c r="R409" t="str">
        <f>_xlfn.LET(
  _xlpm.result, _xlfn.XLOOKUP($B409, Result_Database!$A$2:$A$500, Result_Database!Q$2:Q$500),
  _xlfn.IFNA(_xlpm.result, "")
)</f>
        <v/>
      </c>
      <c r="S409" t="str">
        <f>_xlfn.LET(
  _xlpm.result, _xlfn.XLOOKUP($B409, Result_Database!$A$2:$A$500, Result_Database!R$2:R$500),
  _xlfn.IFNA(_xlpm.result, "")
)</f>
        <v/>
      </c>
      <c r="T409" t="str">
        <f>_xlfn.LET(
  _xlpm.result, _xlfn.XLOOKUP($B409, Result_Database!$A$2:$A$500, Result_Database!S$2:S$500),
  _xlfn.IFNA(_xlpm.result, "")
)</f>
        <v/>
      </c>
      <c r="U409" t="str">
        <f>_xlfn.LET(
  _xlpm.result, _xlfn.XLOOKUP($B409, Result_Database!$A$2:$A$500, Result_Database!T$2:T$500),
  _xlfn.IFNA(_xlpm.result, "")
)</f>
        <v/>
      </c>
      <c r="V409" t="str">
        <f>_xlfn.LET(
  _xlpm.result, _xlfn.XLOOKUP($B409, Result_Database!$A$2:$A$500, Result_Database!U$2:U$500),
  _xlfn.IFNA(_xlpm.result, "")
)</f>
        <v/>
      </c>
      <c r="W409" t="str">
        <f>_xlfn.LET(
  _xlpm.result, _xlfn.XLOOKUP($B409, Result_Database!$A$2:$A$500, Result_Database!V$2:V$500),
  _xlfn.IFNA(_xlpm.result, "")
)</f>
        <v/>
      </c>
      <c r="X409" t="str">
        <f>_xlfn.LET(
  _xlpm.result, _xlfn.XLOOKUP($B409, Result_Database!$A$2:$A$500, Result_Database!W$2:W$500),
  _xlfn.IFNA(_xlpm.result, "")
)</f>
        <v/>
      </c>
      <c r="Y409" t="str">
        <f>_xlfn.LET(
  _xlpm.result, _xlfn.XLOOKUP($B409, Result_Database!$A$2:$A$500, Result_Database!X$2:X$500),
  _xlfn.IFNA(_xlpm.result, "")
)</f>
        <v/>
      </c>
      <c r="Z409" t="str">
        <f>_xlfn.LET(
  _xlpm.result, _xlfn.XLOOKUP($B409, Result_Database!$A$2:$A$500, Result_Database!Y$2:Y$500),
  _xlfn.IFNA(_xlpm.result, "")
)</f>
        <v/>
      </c>
      <c r="AA409" t="str">
        <f>_xlfn.LET(
  _xlpm.result, _xlfn.XLOOKUP($B409, Result_Database!$A$2:$A$500, Result_Database!Z$2:Z$500),
  _xlfn.IFNA(_xlpm.result, "")
)</f>
        <v/>
      </c>
      <c r="AB409" t="str">
        <f>_xlfn.LET(
  _xlpm.result, _xlfn.XLOOKUP($B409, Result_Database!$A$2:$A$500, Result_Database!AA$2:AA$500),
  _xlfn.IFNA(_xlpm.result, "")
)</f>
        <v/>
      </c>
      <c r="AC409" t="str">
        <f>_xlfn.LET(
  _xlpm.result, _xlfn.XLOOKUP($B409, Result_Database!$A$2:$A$500, Result_Database!AB$2:AB$500),
  _xlfn.IFNA(_xlpm.result, "")
)</f>
        <v/>
      </c>
      <c r="AD409" t="str">
        <f>_xlfn.LET(
  _xlpm.result, _xlfn.XLOOKUP($B409, Result_Database!$A$2:$A$500, Result_Database!AC$2:AC$500),
  _xlfn.IFNA(_xlpm.result, "")
)</f>
        <v/>
      </c>
      <c r="AE409" t="str">
        <f>_xlfn.LET(
  _xlpm.result, _xlfn.XLOOKUP($B409, Result_Database!$A$2:$A$500, Result_Database!AD$2:AD$500),
  _xlfn.IFNA(_xlpm.result, "")
)</f>
        <v/>
      </c>
      <c r="AF409" t="str">
        <f>_xlfn.LET(
  _xlpm.result, _xlfn.XLOOKUP($B409, Result_Database!$A$2:$A$500, Result_Database!AE$2:AE$500),
  _xlfn.IFNA(_xlpm.result, "")
)</f>
        <v/>
      </c>
      <c r="AG409" t="str">
        <f>_xlfn.LET(
  _xlpm.result, _xlfn.XLOOKUP($B409, Result_Database!$A$2:$A$500, Result_Database!AF$2:AF$500),
  _xlfn.IFNA(_xlpm.result, "")
)</f>
        <v/>
      </c>
      <c r="AH409" t="str">
        <f>_xlfn.LET(
  _xlpm.result, _xlfn.XLOOKUP($B409, Result_Database!$A$2:$A$500, Result_Database!AG$2:AG$500),
  _xlfn.IFNA(_xlpm.result, "")
)</f>
        <v/>
      </c>
      <c r="AI409" t="str">
        <f>_xlfn.LET(
  _xlpm.result, _xlfn.XLOOKUP($B409, Result_Database!$A$2:$A$500, Result_Database!AH$2:AH$500),
  _xlfn.IFNA(_xlpm.result, "")
)</f>
        <v/>
      </c>
      <c r="AJ409" t="str">
        <f>_xlfn.LET(
  _xlpm.result, _xlfn.XLOOKUP($B409, Result_Database!$A$2:$A$500, Result_Database!AI$2:AI$500),
  _xlfn.IFNA(_xlpm.result, "")
)</f>
        <v/>
      </c>
      <c r="AK409" t="str">
        <f>_xlfn.LET(
  _xlpm.result, _xlfn.XLOOKUP($B409, Result_Database!$A$2:$A$500, Result_Database!AJ$2:AJ$500),
  _xlfn.IFNA(_xlpm.result, "")
)</f>
        <v/>
      </c>
      <c r="AL409" t="str">
        <f>_xlfn.LET(
  _xlpm.result, _xlfn.XLOOKUP($B409, Result_Database!$A$2:$A$500, Result_Database!AK$2:AK$500),
  _xlfn.IFNA(_xlpm.result, "")
)</f>
        <v/>
      </c>
      <c r="AM40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0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0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0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0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0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0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0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0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09" t="str">
        <f>IF(SUM(Table5[[#This Row],[A1]:[C6]])&lt;&gt;0,SUM(Table5[[#This Row],[A1]:[C6]]),"")</f>
        <v/>
      </c>
      <c r="AW409" t="str">
        <f>IF(SUM(Table5[[#This Row],[D7]:[F9]])=0,"",SUM(Table5[[#This Row],[D7]:[F9]]))</f>
        <v/>
      </c>
      <c r="AX40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0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0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0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0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0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09" t="str">
        <f>IF(COUNTIF(Table5[[#This Row],[English Language]:[Electrical/ Electronics]],"WITHHELD")=0,"",COUNTIF(Table5[[#This Row],[English Language]:[Electrical/ Electronics]],"WITHHELD"))</f>
        <v/>
      </c>
      <c r="BE409" t="str">
        <f>IF(SUM(Table5[[#This Row],[NO OF CREDITS]:[BELOW CREDITS]])=0,"",SUM(Table5[[#This Row],[NO OF CREDITS]:[BELOW CREDITS]]))</f>
        <v/>
      </c>
    </row>
    <row r="410" spans="1:57" x14ac:dyDescent="0.3">
      <c r="A410" t="str">
        <f>IF(B410&lt;&gt;"",COUNTA($B$6:B410),"")</f>
        <v/>
      </c>
      <c r="B410" t="str">
        <f>IF(Result_Database!A406="","",Result_Database!A406)</f>
        <v/>
      </c>
      <c r="C410" t="str">
        <f>_xlfn.LET(
_xlpm.result,_xlfn.XLOOKUP($B410,Result_Database!$A$2:$A$500,Result_Database!$B$2:$B$500),
_xlfn.IFNA(_xlpm.result,"")
)</f>
        <v/>
      </c>
      <c r="D410" t="str">
        <f>_xlfn.LET(
  _xlpm.result, _xlfn.XLOOKUP($B410, Result_Database!$A$2:$A$500, Result_Database!C$2:C$500),
  _xlfn.IFNA(_xlpm.result, "")
)</f>
        <v/>
      </c>
      <c r="E410" t="str">
        <f>_xlfn.LET(
  _xlpm.result, _xlfn.XLOOKUP($B410, Result_Database!$A$2:$A$500, Result_Database!D$2:D$500),
  _xlfn.IFNA(_xlpm.result, "")
)</f>
        <v/>
      </c>
      <c r="F410" t="str">
        <f>_xlfn.LET(
  _xlpm.result, _xlfn.XLOOKUP($B410, Result_Database!$A$2:$A$500, Result_Database!E$2:E$500),
  _xlfn.IFNA(_xlpm.result, "")
)</f>
        <v/>
      </c>
      <c r="G410" t="str">
        <f>_xlfn.LET(
  _xlpm.result, _xlfn.XLOOKUP($B410, Result_Database!$A$2:$A$500, Result_Database!F$2:F$500),
  _xlfn.IFNA(_xlpm.result, "")
)</f>
        <v/>
      </c>
      <c r="H410" t="str">
        <f>_xlfn.LET(
  _xlpm.result, _xlfn.XLOOKUP($B410, Result_Database!$A$2:$A$500, Result_Database!G$2:G$500),
  _xlfn.IFNA(_xlpm.result, "")
)</f>
        <v/>
      </c>
      <c r="I410" t="str">
        <f>_xlfn.LET(
  _xlpm.result, _xlfn.XLOOKUP($B410, Result_Database!$A$2:$A$500, Result_Database!H$2:H$500),
  _xlfn.IFNA(_xlpm.result, "")
)</f>
        <v/>
      </c>
      <c r="J410" t="str">
        <f>_xlfn.LET(
  _xlpm.result, _xlfn.XLOOKUP($B410, Result_Database!$A$2:$A$500, Result_Database!I$2:I$500),
  _xlfn.IFNA(_xlpm.result, "")
)</f>
        <v/>
      </c>
      <c r="K410" t="str">
        <f>_xlfn.LET(
  _xlpm.result, _xlfn.XLOOKUP($B410, Result_Database!$A$2:$A$500, Result_Database!J$2:J$500),
  _xlfn.IFNA(_xlpm.result, "")
)</f>
        <v/>
      </c>
      <c r="L410" t="str">
        <f>_xlfn.LET(
  _xlpm.result, _xlfn.XLOOKUP($B410, Result_Database!$A$2:$A$500, Result_Database!K$2:K$500),
  _xlfn.IFNA(_xlpm.result, "")
)</f>
        <v/>
      </c>
      <c r="M410" t="str">
        <f>_xlfn.LET(
  _xlpm.result, _xlfn.XLOOKUP($B410, Result_Database!$A$2:$A$500, Result_Database!L$2:L$500),
  _xlfn.IFNA(_xlpm.result, "")
)</f>
        <v/>
      </c>
      <c r="N410" t="str">
        <f>_xlfn.LET(
  _xlpm.result, _xlfn.XLOOKUP($B410, Result_Database!$A$2:$A$500, Result_Database!M$2:M$500),
  _xlfn.IFNA(_xlpm.result, "")
)</f>
        <v/>
      </c>
      <c r="O410" t="str">
        <f>_xlfn.LET(
  _xlpm.result, _xlfn.XLOOKUP($B410, Result_Database!$A$2:$A$500, Result_Database!N$2:N$500),
  _xlfn.IFNA(_xlpm.result, "")
)</f>
        <v/>
      </c>
      <c r="P410" t="str">
        <f>_xlfn.LET(
  _xlpm.result, _xlfn.XLOOKUP($B410, Result_Database!$A$2:$A$500, Result_Database!O$2:O$500),
  _xlfn.IFNA(_xlpm.result, "")
)</f>
        <v/>
      </c>
      <c r="Q410" t="str">
        <f>_xlfn.LET(
  _xlpm.result, _xlfn.XLOOKUP($B410, Result_Database!$A$2:$A$500, Result_Database!P$2:P$500),
  _xlfn.IFNA(_xlpm.result, "")
)</f>
        <v/>
      </c>
      <c r="R410" t="str">
        <f>_xlfn.LET(
  _xlpm.result, _xlfn.XLOOKUP($B410, Result_Database!$A$2:$A$500, Result_Database!Q$2:Q$500),
  _xlfn.IFNA(_xlpm.result, "")
)</f>
        <v/>
      </c>
      <c r="S410" t="str">
        <f>_xlfn.LET(
  _xlpm.result, _xlfn.XLOOKUP($B410, Result_Database!$A$2:$A$500, Result_Database!R$2:R$500),
  _xlfn.IFNA(_xlpm.result, "")
)</f>
        <v/>
      </c>
      <c r="T410" t="str">
        <f>_xlfn.LET(
  _xlpm.result, _xlfn.XLOOKUP($B410, Result_Database!$A$2:$A$500, Result_Database!S$2:S$500),
  _xlfn.IFNA(_xlpm.result, "")
)</f>
        <v/>
      </c>
      <c r="U410" t="str">
        <f>_xlfn.LET(
  _xlpm.result, _xlfn.XLOOKUP($B410, Result_Database!$A$2:$A$500, Result_Database!T$2:T$500),
  _xlfn.IFNA(_xlpm.result, "")
)</f>
        <v/>
      </c>
      <c r="V410" t="str">
        <f>_xlfn.LET(
  _xlpm.result, _xlfn.XLOOKUP($B410, Result_Database!$A$2:$A$500, Result_Database!U$2:U$500),
  _xlfn.IFNA(_xlpm.result, "")
)</f>
        <v/>
      </c>
      <c r="W410" t="str">
        <f>_xlfn.LET(
  _xlpm.result, _xlfn.XLOOKUP($B410, Result_Database!$A$2:$A$500, Result_Database!V$2:V$500),
  _xlfn.IFNA(_xlpm.result, "")
)</f>
        <v/>
      </c>
      <c r="X410" t="str">
        <f>_xlfn.LET(
  _xlpm.result, _xlfn.XLOOKUP($B410, Result_Database!$A$2:$A$500, Result_Database!W$2:W$500),
  _xlfn.IFNA(_xlpm.result, "")
)</f>
        <v/>
      </c>
      <c r="Y410" t="str">
        <f>_xlfn.LET(
  _xlpm.result, _xlfn.XLOOKUP($B410, Result_Database!$A$2:$A$500, Result_Database!X$2:X$500),
  _xlfn.IFNA(_xlpm.result, "")
)</f>
        <v/>
      </c>
      <c r="Z410" t="str">
        <f>_xlfn.LET(
  _xlpm.result, _xlfn.XLOOKUP($B410, Result_Database!$A$2:$A$500, Result_Database!Y$2:Y$500),
  _xlfn.IFNA(_xlpm.result, "")
)</f>
        <v/>
      </c>
      <c r="AA410" t="str">
        <f>_xlfn.LET(
  _xlpm.result, _xlfn.XLOOKUP($B410, Result_Database!$A$2:$A$500, Result_Database!Z$2:Z$500),
  _xlfn.IFNA(_xlpm.result, "")
)</f>
        <v/>
      </c>
      <c r="AB410" t="str">
        <f>_xlfn.LET(
  _xlpm.result, _xlfn.XLOOKUP($B410, Result_Database!$A$2:$A$500, Result_Database!AA$2:AA$500),
  _xlfn.IFNA(_xlpm.result, "")
)</f>
        <v/>
      </c>
      <c r="AC410" t="str">
        <f>_xlfn.LET(
  _xlpm.result, _xlfn.XLOOKUP($B410, Result_Database!$A$2:$A$500, Result_Database!AB$2:AB$500),
  _xlfn.IFNA(_xlpm.result, "")
)</f>
        <v/>
      </c>
      <c r="AD410" t="str">
        <f>_xlfn.LET(
  _xlpm.result, _xlfn.XLOOKUP($B410, Result_Database!$A$2:$A$500, Result_Database!AC$2:AC$500),
  _xlfn.IFNA(_xlpm.result, "")
)</f>
        <v/>
      </c>
      <c r="AE410" t="str">
        <f>_xlfn.LET(
  _xlpm.result, _xlfn.XLOOKUP($B410, Result_Database!$A$2:$A$500, Result_Database!AD$2:AD$500),
  _xlfn.IFNA(_xlpm.result, "")
)</f>
        <v/>
      </c>
      <c r="AF410" t="str">
        <f>_xlfn.LET(
  _xlpm.result, _xlfn.XLOOKUP($B410, Result_Database!$A$2:$A$500, Result_Database!AE$2:AE$500),
  _xlfn.IFNA(_xlpm.result, "")
)</f>
        <v/>
      </c>
      <c r="AG410" t="str">
        <f>_xlfn.LET(
  _xlpm.result, _xlfn.XLOOKUP($B410, Result_Database!$A$2:$A$500, Result_Database!AF$2:AF$500),
  _xlfn.IFNA(_xlpm.result, "")
)</f>
        <v/>
      </c>
      <c r="AH410" t="str">
        <f>_xlfn.LET(
  _xlpm.result, _xlfn.XLOOKUP($B410, Result_Database!$A$2:$A$500, Result_Database!AG$2:AG$500),
  _xlfn.IFNA(_xlpm.result, "")
)</f>
        <v/>
      </c>
      <c r="AI410" t="str">
        <f>_xlfn.LET(
  _xlpm.result, _xlfn.XLOOKUP($B410, Result_Database!$A$2:$A$500, Result_Database!AH$2:AH$500),
  _xlfn.IFNA(_xlpm.result, "")
)</f>
        <v/>
      </c>
      <c r="AJ410" t="str">
        <f>_xlfn.LET(
  _xlpm.result, _xlfn.XLOOKUP($B410, Result_Database!$A$2:$A$500, Result_Database!AI$2:AI$500),
  _xlfn.IFNA(_xlpm.result, "")
)</f>
        <v/>
      </c>
      <c r="AK410" t="str">
        <f>_xlfn.LET(
  _xlpm.result, _xlfn.XLOOKUP($B410, Result_Database!$A$2:$A$500, Result_Database!AJ$2:AJ$500),
  _xlfn.IFNA(_xlpm.result, "")
)</f>
        <v/>
      </c>
      <c r="AL410" t="str">
        <f>_xlfn.LET(
  _xlpm.result, _xlfn.XLOOKUP($B410, Result_Database!$A$2:$A$500, Result_Database!AK$2:AK$500),
  _xlfn.IFNA(_xlpm.result, "")
)</f>
        <v/>
      </c>
      <c r="AM41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1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1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1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1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1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1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1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1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10" t="str">
        <f>IF(SUM(Table5[[#This Row],[A1]:[C6]])&lt;&gt;0,SUM(Table5[[#This Row],[A1]:[C6]]),"")</f>
        <v/>
      </c>
      <c r="AW410" t="str">
        <f>IF(SUM(Table5[[#This Row],[D7]:[F9]])=0,"",SUM(Table5[[#This Row],[D7]:[F9]]))</f>
        <v/>
      </c>
      <c r="AX41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1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1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1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1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1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10" t="str">
        <f>IF(COUNTIF(Table5[[#This Row],[English Language]:[Electrical/ Electronics]],"WITHHELD")=0,"",COUNTIF(Table5[[#This Row],[English Language]:[Electrical/ Electronics]],"WITHHELD"))</f>
        <v/>
      </c>
      <c r="BE410" t="str">
        <f>IF(SUM(Table5[[#This Row],[NO OF CREDITS]:[BELOW CREDITS]])=0,"",SUM(Table5[[#This Row],[NO OF CREDITS]:[BELOW CREDITS]]))</f>
        <v/>
      </c>
    </row>
    <row r="411" spans="1:57" x14ac:dyDescent="0.3">
      <c r="A411" t="str">
        <f>IF(B411&lt;&gt;"",COUNTA($B$6:B411),"")</f>
        <v/>
      </c>
      <c r="B411" t="str">
        <f>IF(Result_Database!A407="","",Result_Database!A407)</f>
        <v/>
      </c>
      <c r="C411" t="str">
        <f>_xlfn.LET(
_xlpm.result,_xlfn.XLOOKUP($B411,Result_Database!$A$2:$A$500,Result_Database!$B$2:$B$500),
_xlfn.IFNA(_xlpm.result,"")
)</f>
        <v/>
      </c>
      <c r="D411" t="str">
        <f>_xlfn.LET(
  _xlpm.result, _xlfn.XLOOKUP($B411, Result_Database!$A$2:$A$500, Result_Database!C$2:C$500),
  _xlfn.IFNA(_xlpm.result, "")
)</f>
        <v/>
      </c>
      <c r="E411" t="str">
        <f>_xlfn.LET(
  _xlpm.result, _xlfn.XLOOKUP($B411, Result_Database!$A$2:$A$500, Result_Database!D$2:D$500),
  _xlfn.IFNA(_xlpm.result, "")
)</f>
        <v/>
      </c>
      <c r="F411" t="str">
        <f>_xlfn.LET(
  _xlpm.result, _xlfn.XLOOKUP($B411, Result_Database!$A$2:$A$500, Result_Database!E$2:E$500),
  _xlfn.IFNA(_xlpm.result, "")
)</f>
        <v/>
      </c>
      <c r="G411" t="str">
        <f>_xlfn.LET(
  _xlpm.result, _xlfn.XLOOKUP($B411, Result_Database!$A$2:$A$500, Result_Database!F$2:F$500),
  _xlfn.IFNA(_xlpm.result, "")
)</f>
        <v/>
      </c>
      <c r="H411" t="str">
        <f>_xlfn.LET(
  _xlpm.result, _xlfn.XLOOKUP($B411, Result_Database!$A$2:$A$500, Result_Database!G$2:G$500),
  _xlfn.IFNA(_xlpm.result, "")
)</f>
        <v/>
      </c>
      <c r="I411" t="str">
        <f>_xlfn.LET(
  _xlpm.result, _xlfn.XLOOKUP($B411, Result_Database!$A$2:$A$500, Result_Database!H$2:H$500),
  _xlfn.IFNA(_xlpm.result, "")
)</f>
        <v/>
      </c>
      <c r="J411" t="str">
        <f>_xlfn.LET(
  _xlpm.result, _xlfn.XLOOKUP($B411, Result_Database!$A$2:$A$500, Result_Database!I$2:I$500),
  _xlfn.IFNA(_xlpm.result, "")
)</f>
        <v/>
      </c>
      <c r="K411" t="str">
        <f>_xlfn.LET(
  _xlpm.result, _xlfn.XLOOKUP($B411, Result_Database!$A$2:$A$500, Result_Database!J$2:J$500),
  _xlfn.IFNA(_xlpm.result, "")
)</f>
        <v/>
      </c>
      <c r="L411" t="str">
        <f>_xlfn.LET(
  _xlpm.result, _xlfn.XLOOKUP($B411, Result_Database!$A$2:$A$500, Result_Database!K$2:K$500),
  _xlfn.IFNA(_xlpm.result, "")
)</f>
        <v/>
      </c>
      <c r="M411" t="str">
        <f>_xlfn.LET(
  _xlpm.result, _xlfn.XLOOKUP($B411, Result_Database!$A$2:$A$500, Result_Database!L$2:L$500),
  _xlfn.IFNA(_xlpm.result, "")
)</f>
        <v/>
      </c>
      <c r="N411" t="str">
        <f>_xlfn.LET(
  _xlpm.result, _xlfn.XLOOKUP($B411, Result_Database!$A$2:$A$500, Result_Database!M$2:M$500),
  _xlfn.IFNA(_xlpm.result, "")
)</f>
        <v/>
      </c>
      <c r="O411" t="str">
        <f>_xlfn.LET(
  _xlpm.result, _xlfn.XLOOKUP($B411, Result_Database!$A$2:$A$500, Result_Database!N$2:N$500),
  _xlfn.IFNA(_xlpm.result, "")
)</f>
        <v/>
      </c>
      <c r="P411" t="str">
        <f>_xlfn.LET(
  _xlpm.result, _xlfn.XLOOKUP($B411, Result_Database!$A$2:$A$500, Result_Database!O$2:O$500),
  _xlfn.IFNA(_xlpm.result, "")
)</f>
        <v/>
      </c>
      <c r="Q411" t="str">
        <f>_xlfn.LET(
  _xlpm.result, _xlfn.XLOOKUP($B411, Result_Database!$A$2:$A$500, Result_Database!P$2:P$500),
  _xlfn.IFNA(_xlpm.result, "")
)</f>
        <v/>
      </c>
      <c r="R411" t="str">
        <f>_xlfn.LET(
  _xlpm.result, _xlfn.XLOOKUP($B411, Result_Database!$A$2:$A$500, Result_Database!Q$2:Q$500),
  _xlfn.IFNA(_xlpm.result, "")
)</f>
        <v/>
      </c>
      <c r="S411" t="str">
        <f>_xlfn.LET(
  _xlpm.result, _xlfn.XLOOKUP($B411, Result_Database!$A$2:$A$500, Result_Database!R$2:R$500),
  _xlfn.IFNA(_xlpm.result, "")
)</f>
        <v/>
      </c>
      <c r="T411" t="str">
        <f>_xlfn.LET(
  _xlpm.result, _xlfn.XLOOKUP($B411, Result_Database!$A$2:$A$500, Result_Database!S$2:S$500),
  _xlfn.IFNA(_xlpm.result, "")
)</f>
        <v/>
      </c>
      <c r="U411" t="str">
        <f>_xlfn.LET(
  _xlpm.result, _xlfn.XLOOKUP($B411, Result_Database!$A$2:$A$500, Result_Database!T$2:T$500),
  _xlfn.IFNA(_xlpm.result, "")
)</f>
        <v/>
      </c>
      <c r="V411" t="str">
        <f>_xlfn.LET(
  _xlpm.result, _xlfn.XLOOKUP($B411, Result_Database!$A$2:$A$500, Result_Database!U$2:U$500),
  _xlfn.IFNA(_xlpm.result, "")
)</f>
        <v/>
      </c>
      <c r="W411" t="str">
        <f>_xlfn.LET(
  _xlpm.result, _xlfn.XLOOKUP($B411, Result_Database!$A$2:$A$500, Result_Database!V$2:V$500),
  _xlfn.IFNA(_xlpm.result, "")
)</f>
        <v/>
      </c>
      <c r="X411" t="str">
        <f>_xlfn.LET(
  _xlpm.result, _xlfn.XLOOKUP($B411, Result_Database!$A$2:$A$500, Result_Database!W$2:W$500),
  _xlfn.IFNA(_xlpm.result, "")
)</f>
        <v/>
      </c>
      <c r="Y411" t="str">
        <f>_xlfn.LET(
  _xlpm.result, _xlfn.XLOOKUP($B411, Result_Database!$A$2:$A$500, Result_Database!X$2:X$500),
  _xlfn.IFNA(_xlpm.result, "")
)</f>
        <v/>
      </c>
      <c r="Z411" t="str">
        <f>_xlfn.LET(
  _xlpm.result, _xlfn.XLOOKUP($B411, Result_Database!$A$2:$A$500, Result_Database!Y$2:Y$500),
  _xlfn.IFNA(_xlpm.result, "")
)</f>
        <v/>
      </c>
      <c r="AA411" t="str">
        <f>_xlfn.LET(
  _xlpm.result, _xlfn.XLOOKUP($B411, Result_Database!$A$2:$A$500, Result_Database!Z$2:Z$500),
  _xlfn.IFNA(_xlpm.result, "")
)</f>
        <v/>
      </c>
      <c r="AB411" t="str">
        <f>_xlfn.LET(
  _xlpm.result, _xlfn.XLOOKUP($B411, Result_Database!$A$2:$A$500, Result_Database!AA$2:AA$500),
  _xlfn.IFNA(_xlpm.result, "")
)</f>
        <v/>
      </c>
      <c r="AC411" t="str">
        <f>_xlfn.LET(
  _xlpm.result, _xlfn.XLOOKUP($B411, Result_Database!$A$2:$A$500, Result_Database!AB$2:AB$500),
  _xlfn.IFNA(_xlpm.result, "")
)</f>
        <v/>
      </c>
      <c r="AD411" t="str">
        <f>_xlfn.LET(
  _xlpm.result, _xlfn.XLOOKUP($B411, Result_Database!$A$2:$A$500, Result_Database!AC$2:AC$500),
  _xlfn.IFNA(_xlpm.result, "")
)</f>
        <v/>
      </c>
      <c r="AE411" t="str">
        <f>_xlfn.LET(
  _xlpm.result, _xlfn.XLOOKUP($B411, Result_Database!$A$2:$A$500, Result_Database!AD$2:AD$500),
  _xlfn.IFNA(_xlpm.result, "")
)</f>
        <v/>
      </c>
      <c r="AF411" t="str">
        <f>_xlfn.LET(
  _xlpm.result, _xlfn.XLOOKUP($B411, Result_Database!$A$2:$A$500, Result_Database!AE$2:AE$500),
  _xlfn.IFNA(_xlpm.result, "")
)</f>
        <v/>
      </c>
      <c r="AG411" t="str">
        <f>_xlfn.LET(
  _xlpm.result, _xlfn.XLOOKUP($B411, Result_Database!$A$2:$A$500, Result_Database!AF$2:AF$500),
  _xlfn.IFNA(_xlpm.result, "")
)</f>
        <v/>
      </c>
      <c r="AH411" t="str">
        <f>_xlfn.LET(
  _xlpm.result, _xlfn.XLOOKUP($B411, Result_Database!$A$2:$A$500, Result_Database!AG$2:AG$500),
  _xlfn.IFNA(_xlpm.result, "")
)</f>
        <v/>
      </c>
      <c r="AI411" t="str">
        <f>_xlfn.LET(
  _xlpm.result, _xlfn.XLOOKUP($B411, Result_Database!$A$2:$A$500, Result_Database!AH$2:AH$500),
  _xlfn.IFNA(_xlpm.result, "")
)</f>
        <v/>
      </c>
      <c r="AJ411" t="str">
        <f>_xlfn.LET(
  _xlpm.result, _xlfn.XLOOKUP($B411, Result_Database!$A$2:$A$500, Result_Database!AI$2:AI$500),
  _xlfn.IFNA(_xlpm.result, "")
)</f>
        <v/>
      </c>
      <c r="AK411" t="str">
        <f>_xlfn.LET(
  _xlpm.result, _xlfn.XLOOKUP($B411, Result_Database!$A$2:$A$500, Result_Database!AJ$2:AJ$500),
  _xlfn.IFNA(_xlpm.result, "")
)</f>
        <v/>
      </c>
      <c r="AL411" t="str">
        <f>_xlfn.LET(
  _xlpm.result, _xlfn.XLOOKUP($B411, Result_Database!$A$2:$A$500, Result_Database!AK$2:AK$500),
  _xlfn.IFNA(_xlpm.result, "")
)</f>
        <v/>
      </c>
      <c r="AM41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1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1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1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1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1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1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1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1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11" t="str">
        <f>IF(SUM(Table5[[#This Row],[A1]:[C6]])&lt;&gt;0,SUM(Table5[[#This Row],[A1]:[C6]]),"")</f>
        <v/>
      </c>
      <c r="AW411" t="str">
        <f>IF(SUM(Table5[[#This Row],[D7]:[F9]])=0,"",SUM(Table5[[#This Row],[D7]:[F9]]))</f>
        <v/>
      </c>
      <c r="AX41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1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1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1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1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1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11" t="str">
        <f>IF(COUNTIF(Table5[[#This Row],[English Language]:[Electrical/ Electronics]],"WITHHELD")=0,"",COUNTIF(Table5[[#This Row],[English Language]:[Electrical/ Electronics]],"WITHHELD"))</f>
        <v/>
      </c>
      <c r="BE411" t="str">
        <f>IF(SUM(Table5[[#This Row],[NO OF CREDITS]:[BELOW CREDITS]])=0,"",SUM(Table5[[#This Row],[NO OF CREDITS]:[BELOW CREDITS]]))</f>
        <v/>
      </c>
    </row>
    <row r="412" spans="1:57" x14ac:dyDescent="0.3">
      <c r="A412" t="str">
        <f>IF(B412&lt;&gt;"",COUNTA($B$6:B412),"")</f>
        <v/>
      </c>
      <c r="B412" t="str">
        <f>IF(Result_Database!A408="","",Result_Database!A408)</f>
        <v/>
      </c>
      <c r="C412" t="str">
        <f>_xlfn.LET(
_xlpm.result,_xlfn.XLOOKUP($B412,Result_Database!$A$2:$A$500,Result_Database!$B$2:$B$500),
_xlfn.IFNA(_xlpm.result,"")
)</f>
        <v/>
      </c>
      <c r="D412" t="str">
        <f>_xlfn.LET(
  _xlpm.result, _xlfn.XLOOKUP($B412, Result_Database!$A$2:$A$500, Result_Database!C$2:C$500),
  _xlfn.IFNA(_xlpm.result, "")
)</f>
        <v/>
      </c>
      <c r="E412" t="str">
        <f>_xlfn.LET(
  _xlpm.result, _xlfn.XLOOKUP($B412, Result_Database!$A$2:$A$500, Result_Database!D$2:D$500),
  _xlfn.IFNA(_xlpm.result, "")
)</f>
        <v/>
      </c>
      <c r="F412" t="str">
        <f>_xlfn.LET(
  _xlpm.result, _xlfn.XLOOKUP($B412, Result_Database!$A$2:$A$500, Result_Database!E$2:E$500),
  _xlfn.IFNA(_xlpm.result, "")
)</f>
        <v/>
      </c>
      <c r="G412" t="str">
        <f>_xlfn.LET(
  _xlpm.result, _xlfn.XLOOKUP($B412, Result_Database!$A$2:$A$500, Result_Database!F$2:F$500),
  _xlfn.IFNA(_xlpm.result, "")
)</f>
        <v/>
      </c>
      <c r="H412" t="str">
        <f>_xlfn.LET(
  _xlpm.result, _xlfn.XLOOKUP($B412, Result_Database!$A$2:$A$500, Result_Database!G$2:G$500),
  _xlfn.IFNA(_xlpm.result, "")
)</f>
        <v/>
      </c>
      <c r="I412" t="str">
        <f>_xlfn.LET(
  _xlpm.result, _xlfn.XLOOKUP($B412, Result_Database!$A$2:$A$500, Result_Database!H$2:H$500),
  _xlfn.IFNA(_xlpm.result, "")
)</f>
        <v/>
      </c>
      <c r="J412" t="str">
        <f>_xlfn.LET(
  _xlpm.result, _xlfn.XLOOKUP($B412, Result_Database!$A$2:$A$500, Result_Database!I$2:I$500),
  _xlfn.IFNA(_xlpm.result, "")
)</f>
        <v/>
      </c>
      <c r="K412" t="str">
        <f>_xlfn.LET(
  _xlpm.result, _xlfn.XLOOKUP($B412, Result_Database!$A$2:$A$500, Result_Database!J$2:J$500),
  _xlfn.IFNA(_xlpm.result, "")
)</f>
        <v/>
      </c>
      <c r="L412" t="str">
        <f>_xlfn.LET(
  _xlpm.result, _xlfn.XLOOKUP($B412, Result_Database!$A$2:$A$500, Result_Database!K$2:K$500),
  _xlfn.IFNA(_xlpm.result, "")
)</f>
        <v/>
      </c>
      <c r="M412" t="str">
        <f>_xlfn.LET(
  _xlpm.result, _xlfn.XLOOKUP($B412, Result_Database!$A$2:$A$500, Result_Database!L$2:L$500),
  _xlfn.IFNA(_xlpm.result, "")
)</f>
        <v/>
      </c>
      <c r="N412" t="str">
        <f>_xlfn.LET(
  _xlpm.result, _xlfn.XLOOKUP($B412, Result_Database!$A$2:$A$500, Result_Database!M$2:M$500),
  _xlfn.IFNA(_xlpm.result, "")
)</f>
        <v/>
      </c>
      <c r="O412" t="str">
        <f>_xlfn.LET(
  _xlpm.result, _xlfn.XLOOKUP($B412, Result_Database!$A$2:$A$500, Result_Database!N$2:N$500),
  _xlfn.IFNA(_xlpm.result, "")
)</f>
        <v/>
      </c>
      <c r="P412" t="str">
        <f>_xlfn.LET(
  _xlpm.result, _xlfn.XLOOKUP($B412, Result_Database!$A$2:$A$500, Result_Database!O$2:O$500),
  _xlfn.IFNA(_xlpm.result, "")
)</f>
        <v/>
      </c>
      <c r="Q412" t="str">
        <f>_xlfn.LET(
  _xlpm.result, _xlfn.XLOOKUP($B412, Result_Database!$A$2:$A$500, Result_Database!P$2:P$500),
  _xlfn.IFNA(_xlpm.result, "")
)</f>
        <v/>
      </c>
      <c r="R412" t="str">
        <f>_xlfn.LET(
  _xlpm.result, _xlfn.XLOOKUP($B412, Result_Database!$A$2:$A$500, Result_Database!Q$2:Q$500),
  _xlfn.IFNA(_xlpm.result, "")
)</f>
        <v/>
      </c>
      <c r="S412" t="str">
        <f>_xlfn.LET(
  _xlpm.result, _xlfn.XLOOKUP($B412, Result_Database!$A$2:$A$500, Result_Database!R$2:R$500),
  _xlfn.IFNA(_xlpm.result, "")
)</f>
        <v/>
      </c>
      <c r="T412" t="str">
        <f>_xlfn.LET(
  _xlpm.result, _xlfn.XLOOKUP($B412, Result_Database!$A$2:$A$500, Result_Database!S$2:S$500),
  _xlfn.IFNA(_xlpm.result, "")
)</f>
        <v/>
      </c>
      <c r="U412" t="str">
        <f>_xlfn.LET(
  _xlpm.result, _xlfn.XLOOKUP($B412, Result_Database!$A$2:$A$500, Result_Database!T$2:T$500),
  _xlfn.IFNA(_xlpm.result, "")
)</f>
        <v/>
      </c>
      <c r="V412" t="str">
        <f>_xlfn.LET(
  _xlpm.result, _xlfn.XLOOKUP($B412, Result_Database!$A$2:$A$500, Result_Database!U$2:U$500),
  _xlfn.IFNA(_xlpm.result, "")
)</f>
        <v/>
      </c>
      <c r="W412" t="str">
        <f>_xlfn.LET(
  _xlpm.result, _xlfn.XLOOKUP($B412, Result_Database!$A$2:$A$500, Result_Database!V$2:V$500),
  _xlfn.IFNA(_xlpm.result, "")
)</f>
        <v/>
      </c>
      <c r="X412" t="str">
        <f>_xlfn.LET(
  _xlpm.result, _xlfn.XLOOKUP($B412, Result_Database!$A$2:$A$500, Result_Database!W$2:W$500),
  _xlfn.IFNA(_xlpm.result, "")
)</f>
        <v/>
      </c>
      <c r="Y412" t="str">
        <f>_xlfn.LET(
  _xlpm.result, _xlfn.XLOOKUP($B412, Result_Database!$A$2:$A$500, Result_Database!X$2:X$500),
  _xlfn.IFNA(_xlpm.result, "")
)</f>
        <v/>
      </c>
      <c r="Z412" t="str">
        <f>_xlfn.LET(
  _xlpm.result, _xlfn.XLOOKUP($B412, Result_Database!$A$2:$A$500, Result_Database!Y$2:Y$500),
  _xlfn.IFNA(_xlpm.result, "")
)</f>
        <v/>
      </c>
      <c r="AA412" t="str">
        <f>_xlfn.LET(
  _xlpm.result, _xlfn.XLOOKUP($B412, Result_Database!$A$2:$A$500, Result_Database!Z$2:Z$500),
  _xlfn.IFNA(_xlpm.result, "")
)</f>
        <v/>
      </c>
      <c r="AB412" t="str">
        <f>_xlfn.LET(
  _xlpm.result, _xlfn.XLOOKUP($B412, Result_Database!$A$2:$A$500, Result_Database!AA$2:AA$500),
  _xlfn.IFNA(_xlpm.result, "")
)</f>
        <v/>
      </c>
      <c r="AC412" t="str">
        <f>_xlfn.LET(
  _xlpm.result, _xlfn.XLOOKUP($B412, Result_Database!$A$2:$A$500, Result_Database!AB$2:AB$500),
  _xlfn.IFNA(_xlpm.result, "")
)</f>
        <v/>
      </c>
      <c r="AD412" t="str">
        <f>_xlfn.LET(
  _xlpm.result, _xlfn.XLOOKUP($B412, Result_Database!$A$2:$A$500, Result_Database!AC$2:AC$500),
  _xlfn.IFNA(_xlpm.result, "")
)</f>
        <v/>
      </c>
      <c r="AE412" t="str">
        <f>_xlfn.LET(
  _xlpm.result, _xlfn.XLOOKUP($B412, Result_Database!$A$2:$A$500, Result_Database!AD$2:AD$500),
  _xlfn.IFNA(_xlpm.result, "")
)</f>
        <v/>
      </c>
      <c r="AF412" t="str">
        <f>_xlfn.LET(
  _xlpm.result, _xlfn.XLOOKUP($B412, Result_Database!$A$2:$A$500, Result_Database!AE$2:AE$500),
  _xlfn.IFNA(_xlpm.result, "")
)</f>
        <v/>
      </c>
      <c r="AG412" t="str">
        <f>_xlfn.LET(
  _xlpm.result, _xlfn.XLOOKUP($B412, Result_Database!$A$2:$A$500, Result_Database!AF$2:AF$500),
  _xlfn.IFNA(_xlpm.result, "")
)</f>
        <v/>
      </c>
      <c r="AH412" t="str">
        <f>_xlfn.LET(
  _xlpm.result, _xlfn.XLOOKUP($B412, Result_Database!$A$2:$A$500, Result_Database!AG$2:AG$500),
  _xlfn.IFNA(_xlpm.result, "")
)</f>
        <v/>
      </c>
      <c r="AI412" t="str">
        <f>_xlfn.LET(
  _xlpm.result, _xlfn.XLOOKUP($B412, Result_Database!$A$2:$A$500, Result_Database!AH$2:AH$500),
  _xlfn.IFNA(_xlpm.result, "")
)</f>
        <v/>
      </c>
      <c r="AJ412" t="str">
        <f>_xlfn.LET(
  _xlpm.result, _xlfn.XLOOKUP($B412, Result_Database!$A$2:$A$500, Result_Database!AI$2:AI$500),
  _xlfn.IFNA(_xlpm.result, "")
)</f>
        <v/>
      </c>
      <c r="AK412" t="str">
        <f>_xlfn.LET(
  _xlpm.result, _xlfn.XLOOKUP($B412, Result_Database!$A$2:$A$500, Result_Database!AJ$2:AJ$500),
  _xlfn.IFNA(_xlpm.result, "")
)</f>
        <v/>
      </c>
      <c r="AL412" t="str">
        <f>_xlfn.LET(
  _xlpm.result, _xlfn.XLOOKUP($B412, Result_Database!$A$2:$A$500, Result_Database!AK$2:AK$500),
  _xlfn.IFNA(_xlpm.result, "")
)</f>
        <v/>
      </c>
      <c r="AM41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1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1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1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1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1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1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1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1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12" t="str">
        <f>IF(SUM(Table5[[#This Row],[A1]:[C6]])&lt;&gt;0,SUM(Table5[[#This Row],[A1]:[C6]]),"")</f>
        <v/>
      </c>
      <c r="AW412" t="str">
        <f>IF(SUM(Table5[[#This Row],[D7]:[F9]])=0,"",SUM(Table5[[#This Row],[D7]:[F9]]))</f>
        <v/>
      </c>
      <c r="AX41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1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1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1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1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1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12" t="str">
        <f>IF(COUNTIF(Table5[[#This Row],[English Language]:[Electrical/ Electronics]],"WITHHELD")=0,"",COUNTIF(Table5[[#This Row],[English Language]:[Electrical/ Electronics]],"WITHHELD"))</f>
        <v/>
      </c>
      <c r="BE412" t="str">
        <f>IF(SUM(Table5[[#This Row],[NO OF CREDITS]:[BELOW CREDITS]])=0,"",SUM(Table5[[#This Row],[NO OF CREDITS]:[BELOW CREDITS]]))</f>
        <v/>
      </c>
    </row>
    <row r="413" spans="1:57" x14ac:dyDescent="0.3">
      <c r="A413" t="str">
        <f>IF(B413&lt;&gt;"",COUNTA($B$6:B413),"")</f>
        <v/>
      </c>
      <c r="B413" t="str">
        <f>IF(Result_Database!A409="","",Result_Database!A409)</f>
        <v/>
      </c>
      <c r="C413" t="str">
        <f>_xlfn.LET(
_xlpm.result,_xlfn.XLOOKUP($B413,Result_Database!$A$2:$A$500,Result_Database!$B$2:$B$500),
_xlfn.IFNA(_xlpm.result,"")
)</f>
        <v/>
      </c>
      <c r="D413" t="str">
        <f>_xlfn.LET(
  _xlpm.result, _xlfn.XLOOKUP($B413, Result_Database!$A$2:$A$500, Result_Database!C$2:C$500),
  _xlfn.IFNA(_xlpm.result, "")
)</f>
        <v/>
      </c>
      <c r="E413" t="str">
        <f>_xlfn.LET(
  _xlpm.result, _xlfn.XLOOKUP($B413, Result_Database!$A$2:$A$500, Result_Database!D$2:D$500),
  _xlfn.IFNA(_xlpm.result, "")
)</f>
        <v/>
      </c>
      <c r="F413" t="str">
        <f>_xlfn.LET(
  _xlpm.result, _xlfn.XLOOKUP($B413, Result_Database!$A$2:$A$500, Result_Database!E$2:E$500),
  _xlfn.IFNA(_xlpm.result, "")
)</f>
        <v/>
      </c>
      <c r="G413" t="str">
        <f>_xlfn.LET(
  _xlpm.result, _xlfn.XLOOKUP($B413, Result_Database!$A$2:$A$500, Result_Database!F$2:F$500),
  _xlfn.IFNA(_xlpm.result, "")
)</f>
        <v/>
      </c>
      <c r="H413" t="str">
        <f>_xlfn.LET(
  _xlpm.result, _xlfn.XLOOKUP($B413, Result_Database!$A$2:$A$500, Result_Database!G$2:G$500),
  _xlfn.IFNA(_xlpm.result, "")
)</f>
        <v/>
      </c>
      <c r="I413" t="str">
        <f>_xlfn.LET(
  _xlpm.result, _xlfn.XLOOKUP($B413, Result_Database!$A$2:$A$500, Result_Database!H$2:H$500),
  _xlfn.IFNA(_xlpm.result, "")
)</f>
        <v/>
      </c>
      <c r="J413" t="str">
        <f>_xlfn.LET(
  _xlpm.result, _xlfn.XLOOKUP($B413, Result_Database!$A$2:$A$500, Result_Database!I$2:I$500),
  _xlfn.IFNA(_xlpm.result, "")
)</f>
        <v/>
      </c>
      <c r="K413" t="str">
        <f>_xlfn.LET(
  _xlpm.result, _xlfn.XLOOKUP($B413, Result_Database!$A$2:$A$500, Result_Database!J$2:J$500),
  _xlfn.IFNA(_xlpm.result, "")
)</f>
        <v/>
      </c>
      <c r="L413" t="str">
        <f>_xlfn.LET(
  _xlpm.result, _xlfn.XLOOKUP($B413, Result_Database!$A$2:$A$500, Result_Database!K$2:K$500),
  _xlfn.IFNA(_xlpm.result, "")
)</f>
        <v/>
      </c>
      <c r="M413" t="str">
        <f>_xlfn.LET(
  _xlpm.result, _xlfn.XLOOKUP($B413, Result_Database!$A$2:$A$500, Result_Database!L$2:L$500),
  _xlfn.IFNA(_xlpm.result, "")
)</f>
        <v/>
      </c>
      <c r="N413" t="str">
        <f>_xlfn.LET(
  _xlpm.result, _xlfn.XLOOKUP($B413, Result_Database!$A$2:$A$500, Result_Database!M$2:M$500),
  _xlfn.IFNA(_xlpm.result, "")
)</f>
        <v/>
      </c>
      <c r="O413" t="str">
        <f>_xlfn.LET(
  _xlpm.result, _xlfn.XLOOKUP($B413, Result_Database!$A$2:$A$500, Result_Database!N$2:N$500),
  _xlfn.IFNA(_xlpm.result, "")
)</f>
        <v/>
      </c>
      <c r="P413" t="str">
        <f>_xlfn.LET(
  _xlpm.result, _xlfn.XLOOKUP($B413, Result_Database!$A$2:$A$500, Result_Database!O$2:O$500),
  _xlfn.IFNA(_xlpm.result, "")
)</f>
        <v/>
      </c>
      <c r="Q413" t="str">
        <f>_xlfn.LET(
  _xlpm.result, _xlfn.XLOOKUP($B413, Result_Database!$A$2:$A$500, Result_Database!P$2:P$500),
  _xlfn.IFNA(_xlpm.result, "")
)</f>
        <v/>
      </c>
      <c r="R413" t="str">
        <f>_xlfn.LET(
  _xlpm.result, _xlfn.XLOOKUP($B413, Result_Database!$A$2:$A$500, Result_Database!Q$2:Q$500),
  _xlfn.IFNA(_xlpm.result, "")
)</f>
        <v/>
      </c>
      <c r="S413" t="str">
        <f>_xlfn.LET(
  _xlpm.result, _xlfn.XLOOKUP($B413, Result_Database!$A$2:$A$500, Result_Database!R$2:R$500),
  _xlfn.IFNA(_xlpm.result, "")
)</f>
        <v/>
      </c>
      <c r="T413" t="str">
        <f>_xlfn.LET(
  _xlpm.result, _xlfn.XLOOKUP($B413, Result_Database!$A$2:$A$500, Result_Database!S$2:S$500),
  _xlfn.IFNA(_xlpm.result, "")
)</f>
        <v/>
      </c>
      <c r="U413" t="str">
        <f>_xlfn.LET(
  _xlpm.result, _xlfn.XLOOKUP($B413, Result_Database!$A$2:$A$500, Result_Database!T$2:T$500),
  _xlfn.IFNA(_xlpm.result, "")
)</f>
        <v/>
      </c>
      <c r="V413" t="str">
        <f>_xlfn.LET(
  _xlpm.result, _xlfn.XLOOKUP($B413, Result_Database!$A$2:$A$500, Result_Database!U$2:U$500),
  _xlfn.IFNA(_xlpm.result, "")
)</f>
        <v/>
      </c>
      <c r="W413" t="str">
        <f>_xlfn.LET(
  _xlpm.result, _xlfn.XLOOKUP($B413, Result_Database!$A$2:$A$500, Result_Database!V$2:V$500),
  _xlfn.IFNA(_xlpm.result, "")
)</f>
        <v/>
      </c>
      <c r="X413" t="str">
        <f>_xlfn.LET(
  _xlpm.result, _xlfn.XLOOKUP($B413, Result_Database!$A$2:$A$500, Result_Database!W$2:W$500),
  _xlfn.IFNA(_xlpm.result, "")
)</f>
        <v/>
      </c>
      <c r="Y413" t="str">
        <f>_xlfn.LET(
  _xlpm.result, _xlfn.XLOOKUP($B413, Result_Database!$A$2:$A$500, Result_Database!X$2:X$500),
  _xlfn.IFNA(_xlpm.result, "")
)</f>
        <v/>
      </c>
      <c r="Z413" t="str">
        <f>_xlfn.LET(
  _xlpm.result, _xlfn.XLOOKUP($B413, Result_Database!$A$2:$A$500, Result_Database!Y$2:Y$500),
  _xlfn.IFNA(_xlpm.result, "")
)</f>
        <v/>
      </c>
      <c r="AA413" t="str">
        <f>_xlfn.LET(
  _xlpm.result, _xlfn.XLOOKUP($B413, Result_Database!$A$2:$A$500, Result_Database!Z$2:Z$500),
  _xlfn.IFNA(_xlpm.result, "")
)</f>
        <v/>
      </c>
      <c r="AB413" t="str">
        <f>_xlfn.LET(
  _xlpm.result, _xlfn.XLOOKUP($B413, Result_Database!$A$2:$A$500, Result_Database!AA$2:AA$500),
  _xlfn.IFNA(_xlpm.result, "")
)</f>
        <v/>
      </c>
      <c r="AC413" t="str">
        <f>_xlfn.LET(
  _xlpm.result, _xlfn.XLOOKUP($B413, Result_Database!$A$2:$A$500, Result_Database!AB$2:AB$500),
  _xlfn.IFNA(_xlpm.result, "")
)</f>
        <v/>
      </c>
      <c r="AD413" t="str">
        <f>_xlfn.LET(
  _xlpm.result, _xlfn.XLOOKUP($B413, Result_Database!$A$2:$A$500, Result_Database!AC$2:AC$500),
  _xlfn.IFNA(_xlpm.result, "")
)</f>
        <v/>
      </c>
      <c r="AE413" t="str">
        <f>_xlfn.LET(
  _xlpm.result, _xlfn.XLOOKUP($B413, Result_Database!$A$2:$A$500, Result_Database!AD$2:AD$500),
  _xlfn.IFNA(_xlpm.result, "")
)</f>
        <v/>
      </c>
      <c r="AF413" t="str">
        <f>_xlfn.LET(
  _xlpm.result, _xlfn.XLOOKUP($B413, Result_Database!$A$2:$A$500, Result_Database!AE$2:AE$500),
  _xlfn.IFNA(_xlpm.result, "")
)</f>
        <v/>
      </c>
      <c r="AG413" t="str">
        <f>_xlfn.LET(
  _xlpm.result, _xlfn.XLOOKUP($B413, Result_Database!$A$2:$A$500, Result_Database!AF$2:AF$500),
  _xlfn.IFNA(_xlpm.result, "")
)</f>
        <v/>
      </c>
      <c r="AH413" t="str">
        <f>_xlfn.LET(
  _xlpm.result, _xlfn.XLOOKUP($B413, Result_Database!$A$2:$A$500, Result_Database!AG$2:AG$500),
  _xlfn.IFNA(_xlpm.result, "")
)</f>
        <v/>
      </c>
      <c r="AI413" t="str">
        <f>_xlfn.LET(
  _xlpm.result, _xlfn.XLOOKUP($B413, Result_Database!$A$2:$A$500, Result_Database!AH$2:AH$500),
  _xlfn.IFNA(_xlpm.result, "")
)</f>
        <v/>
      </c>
      <c r="AJ413" t="str">
        <f>_xlfn.LET(
  _xlpm.result, _xlfn.XLOOKUP($B413, Result_Database!$A$2:$A$500, Result_Database!AI$2:AI$500),
  _xlfn.IFNA(_xlpm.result, "")
)</f>
        <v/>
      </c>
      <c r="AK413" t="str">
        <f>_xlfn.LET(
  _xlpm.result, _xlfn.XLOOKUP($B413, Result_Database!$A$2:$A$500, Result_Database!AJ$2:AJ$500),
  _xlfn.IFNA(_xlpm.result, "")
)</f>
        <v/>
      </c>
      <c r="AL413" t="str">
        <f>_xlfn.LET(
  _xlpm.result, _xlfn.XLOOKUP($B413, Result_Database!$A$2:$A$500, Result_Database!AK$2:AK$500),
  _xlfn.IFNA(_xlpm.result, "")
)</f>
        <v/>
      </c>
      <c r="AM41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1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1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1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1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1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1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1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1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13" t="str">
        <f>IF(SUM(Table5[[#This Row],[A1]:[C6]])&lt;&gt;0,SUM(Table5[[#This Row],[A1]:[C6]]),"")</f>
        <v/>
      </c>
      <c r="AW413" t="str">
        <f>IF(SUM(Table5[[#This Row],[D7]:[F9]])=0,"",SUM(Table5[[#This Row],[D7]:[F9]]))</f>
        <v/>
      </c>
      <c r="AX41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1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1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1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1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1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13" t="str">
        <f>IF(COUNTIF(Table5[[#This Row],[English Language]:[Electrical/ Electronics]],"WITHHELD")=0,"",COUNTIF(Table5[[#This Row],[English Language]:[Electrical/ Electronics]],"WITHHELD"))</f>
        <v/>
      </c>
      <c r="BE413" t="str">
        <f>IF(SUM(Table5[[#This Row],[NO OF CREDITS]:[BELOW CREDITS]])=0,"",SUM(Table5[[#This Row],[NO OF CREDITS]:[BELOW CREDITS]]))</f>
        <v/>
      </c>
    </row>
    <row r="414" spans="1:57" x14ac:dyDescent="0.3">
      <c r="A414" t="str">
        <f>IF(B414&lt;&gt;"",COUNTA($B$6:B414),"")</f>
        <v/>
      </c>
      <c r="B414" t="str">
        <f>IF(Result_Database!A410="","",Result_Database!A410)</f>
        <v/>
      </c>
      <c r="C414" t="str">
        <f>_xlfn.LET(
_xlpm.result,_xlfn.XLOOKUP($B414,Result_Database!$A$2:$A$500,Result_Database!$B$2:$B$500),
_xlfn.IFNA(_xlpm.result,"")
)</f>
        <v/>
      </c>
      <c r="D414" t="str">
        <f>_xlfn.LET(
  _xlpm.result, _xlfn.XLOOKUP($B414, Result_Database!$A$2:$A$500, Result_Database!C$2:C$500),
  _xlfn.IFNA(_xlpm.result, "")
)</f>
        <v/>
      </c>
      <c r="E414" t="str">
        <f>_xlfn.LET(
  _xlpm.result, _xlfn.XLOOKUP($B414, Result_Database!$A$2:$A$500, Result_Database!D$2:D$500),
  _xlfn.IFNA(_xlpm.result, "")
)</f>
        <v/>
      </c>
      <c r="F414" t="str">
        <f>_xlfn.LET(
  _xlpm.result, _xlfn.XLOOKUP($B414, Result_Database!$A$2:$A$500, Result_Database!E$2:E$500),
  _xlfn.IFNA(_xlpm.result, "")
)</f>
        <v/>
      </c>
      <c r="G414" t="str">
        <f>_xlfn.LET(
  _xlpm.result, _xlfn.XLOOKUP($B414, Result_Database!$A$2:$A$500, Result_Database!F$2:F$500),
  _xlfn.IFNA(_xlpm.result, "")
)</f>
        <v/>
      </c>
      <c r="H414" t="str">
        <f>_xlfn.LET(
  _xlpm.result, _xlfn.XLOOKUP($B414, Result_Database!$A$2:$A$500, Result_Database!G$2:G$500),
  _xlfn.IFNA(_xlpm.result, "")
)</f>
        <v/>
      </c>
      <c r="I414" t="str">
        <f>_xlfn.LET(
  _xlpm.result, _xlfn.XLOOKUP($B414, Result_Database!$A$2:$A$500, Result_Database!H$2:H$500),
  _xlfn.IFNA(_xlpm.result, "")
)</f>
        <v/>
      </c>
      <c r="J414" t="str">
        <f>_xlfn.LET(
  _xlpm.result, _xlfn.XLOOKUP($B414, Result_Database!$A$2:$A$500, Result_Database!I$2:I$500),
  _xlfn.IFNA(_xlpm.result, "")
)</f>
        <v/>
      </c>
      <c r="K414" t="str">
        <f>_xlfn.LET(
  _xlpm.result, _xlfn.XLOOKUP($B414, Result_Database!$A$2:$A$500, Result_Database!J$2:J$500),
  _xlfn.IFNA(_xlpm.result, "")
)</f>
        <v/>
      </c>
      <c r="L414" t="str">
        <f>_xlfn.LET(
  _xlpm.result, _xlfn.XLOOKUP($B414, Result_Database!$A$2:$A$500, Result_Database!K$2:K$500),
  _xlfn.IFNA(_xlpm.result, "")
)</f>
        <v/>
      </c>
      <c r="M414" t="str">
        <f>_xlfn.LET(
  _xlpm.result, _xlfn.XLOOKUP($B414, Result_Database!$A$2:$A$500, Result_Database!L$2:L$500),
  _xlfn.IFNA(_xlpm.result, "")
)</f>
        <v/>
      </c>
      <c r="N414" t="str">
        <f>_xlfn.LET(
  _xlpm.result, _xlfn.XLOOKUP($B414, Result_Database!$A$2:$A$500, Result_Database!M$2:M$500),
  _xlfn.IFNA(_xlpm.result, "")
)</f>
        <v/>
      </c>
      <c r="O414" t="str">
        <f>_xlfn.LET(
  _xlpm.result, _xlfn.XLOOKUP($B414, Result_Database!$A$2:$A$500, Result_Database!N$2:N$500),
  _xlfn.IFNA(_xlpm.result, "")
)</f>
        <v/>
      </c>
      <c r="P414" t="str">
        <f>_xlfn.LET(
  _xlpm.result, _xlfn.XLOOKUP($B414, Result_Database!$A$2:$A$500, Result_Database!O$2:O$500),
  _xlfn.IFNA(_xlpm.result, "")
)</f>
        <v/>
      </c>
      <c r="Q414" t="str">
        <f>_xlfn.LET(
  _xlpm.result, _xlfn.XLOOKUP($B414, Result_Database!$A$2:$A$500, Result_Database!P$2:P$500),
  _xlfn.IFNA(_xlpm.result, "")
)</f>
        <v/>
      </c>
      <c r="R414" t="str">
        <f>_xlfn.LET(
  _xlpm.result, _xlfn.XLOOKUP($B414, Result_Database!$A$2:$A$500, Result_Database!Q$2:Q$500),
  _xlfn.IFNA(_xlpm.result, "")
)</f>
        <v/>
      </c>
      <c r="S414" t="str">
        <f>_xlfn.LET(
  _xlpm.result, _xlfn.XLOOKUP($B414, Result_Database!$A$2:$A$500, Result_Database!R$2:R$500),
  _xlfn.IFNA(_xlpm.result, "")
)</f>
        <v/>
      </c>
      <c r="T414" t="str">
        <f>_xlfn.LET(
  _xlpm.result, _xlfn.XLOOKUP($B414, Result_Database!$A$2:$A$500, Result_Database!S$2:S$500),
  _xlfn.IFNA(_xlpm.result, "")
)</f>
        <v/>
      </c>
      <c r="U414" t="str">
        <f>_xlfn.LET(
  _xlpm.result, _xlfn.XLOOKUP($B414, Result_Database!$A$2:$A$500, Result_Database!T$2:T$500),
  _xlfn.IFNA(_xlpm.result, "")
)</f>
        <v/>
      </c>
      <c r="V414" t="str">
        <f>_xlfn.LET(
  _xlpm.result, _xlfn.XLOOKUP($B414, Result_Database!$A$2:$A$500, Result_Database!U$2:U$500),
  _xlfn.IFNA(_xlpm.result, "")
)</f>
        <v/>
      </c>
      <c r="W414" t="str">
        <f>_xlfn.LET(
  _xlpm.result, _xlfn.XLOOKUP($B414, Result_Database!$A$2:$A$500, Result_Database!V$2:V$500),
  _xlfn.IFNA(_xlpm.result, "")
)</f>
        <v/>
      </c>
      <c r="X414" t="str">
        <f>_xlfn.LET(
  _xlpm.result, _xlfn.XLOOKUP($B414, Result_Database!$A$2:$A$500, Result_Database!W$2:W$500),
  _xlfn.IFNA(_xlpm.result, "")
)</f>
        <v/>
      </c>
      <c r="Y414" t="str">
        <f>_xlfn.LET(
  _xlpm.result, _xlfn.XLOOKUP($B414, Result_Database!$A$2:$A$500, Result_Database!X$2:X$500),
  _xlfn.IFNA(_xlpm.result, "")
)</f>
        <v/>
      </c>
      <c r="Z414" t="str">
        <f>_xlfn.LET(
  _xlpm.result, _xlfn.XLOOKUP($B414, Result_Database!$A$2:$A$500, Result_Database!Y$2:Y$500),
  _xlfn.IFNA(_xlpm.result, "")
)</f>
        <v/>
      </c>
      <c r="AA414" t="str">
        <f>_xlfn.LET(
  _xlpm.result, _xlfn.XLOOKUP($B414, Result_Database!$A$2:$A$500, Result_Database!Z$2:Z$500),
  _xlfn.IFNA(_xlpm.result, "")
)</f>
        <v/>
      </c>
      <c r="AB414" t="str">
        <f>_xlfn.LET(
  _xlpm.result, _xlfn.XLOOKUP($B414, Result_Database!$A$2:$A$500, Result_Database!AA$2:AA$500),
  _xlfn.IFNA(_xlpm.result, "")
)</f>
        <v/>
      </c>
      <c r="AC414" t="str">
        <f>_xlfn.LET(
  _xlpm.result, _xlfn.XLOOKUP($B414, Result_Database!$A$2:$A$500, Result_Database!AB$2:AB$500),
  _xlfn.IFNA(_xlpm.result, "")
)</f>
        <v/>
      </c>
      <c r="AD414" t="str">
        <f>_xlfn.LET(
  _xlpm.result, _xlfn.XLOOKUP($B414, Result_Database!$A$2:$A$500, Result_Database!AC$2:AC$500),
  _xlfn.IFNA(_xlpm.result, "")
)</f>
        <v/>
      </c>
      <c r="AE414" t="str">
        <f>_xlfn.LET(
  _xlpm.result, _xlfn.XLOOKUP($B414, Result_Database!$A$2:$A$500, Result_Database!AD$2:AD$500),
  _xlfn.IFNA(_xlpm.result, "")
)</f>
        <v/>
      </c>
      <c r="AF414" t="str">
        <f>_xlfn.LET(
  _xlpm.result, _xlfn.XLOOKUP($B414, Result_Database!$A$2:$A$500, Result_Database!AE$2:AE$500),
  _xlfn.IFNA(_xlpm.result, "")
)</f>
        <v/>
      </c>
      <c r="AG414" t="str">
        <f>_xlfn.LET(
  _xlpm.result, _xlfn.XLOOKUP($B414, Result_Database!$A$2:$A$500, Result_Database!AF$2:AF$500),
  _xlfn.IFNA(_xlpm.result, "")
)</f>
        <v/>
      </c>
      <c r="AH414" t="str">
        <f>_xlfn.LET(
  _xlpm.result, _xlfn.XLOOKUP($B414, Result_Database!$A$2:$A$500, Result_Database!AG$2:AG$500),
  _xlfn.IFNA(_xlpm.result, "")
)</f>
        <v/>
      </c>
      <c r="AI414" t="str">
        <f>_xlfn.LET(
  _xlpm.result, _xlfn.XLOOKUP($B414, Result_Database!$A$2:$A$500, Result_Database!AH$2:AH$500),
  _xlfn.IFNA(_xlpm.result, "")
)</f>
        <v/>
      </c>
      <c r="AJ414" t="str">
        <f>_xlfn.LET(
  _xlpm.result, _xlfn.XLOOKUP($B414, Result_Database!$A$2:$A$500, Result_Database!AI$2:AI$500),
  _xlfn.IFNA(_xlpm.result, "")
)</f>
        <v/>
      </c>
      <c r="AK414" t="str">
        <f>_xlfn.LET(
  _xlpm.result, _xlfn.XLOOKUP($B414, Result_Database!$A$2:$A$500, Result_Database!AJ$2:AJ$500),
  _xlfn.IFNA(_xlpm.result, "")
)</f>
        <v/>
      </c>
      <c r="AL414" t="str">
        <f>_xlfn.LET(
  _xlpm.result, _xlfn.XLOOKUP($B414, Result_Database!$A$2:$A$500, Result_Database!AK$2:AK$500),
  _xlfn.IFNA(_xlpm.result, "")
)</f>
        <v/>
      </c>
      <c r="AM41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1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1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1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1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1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1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1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1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14" t="str">
        <f>IF(SUM(Table5[[#This Row],[A1]:[C6]])&lt;&gt;0,SUM(Table5[[#This Row],[A1]:[C6]]),"")</f>
        <v/>
      </c>
      <c r="AW414" t="str">
        <f>IF(SUM(Table5[[#This Row],[D7]:[F9]])=0,"",SUM(Table5[[#This Row],[D7]:[F9]]))</f>
        <v/>
      </c>
      <c r="AX41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1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1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1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1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1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14" t="str">
        <f>IF(COUNTIF(Table5[[#This Row],[English Language]:[Electrical/ Electronics]],"WITHHELD")=0,"",COUNTIF(Table5[[#This Row],[English Language]:[Electrical/ Electronics]],"WITHHELD"))</f>
        <v/>
      </c>
      <c r="BE414" t="str">
        <f>IF(SUM(Table5[[#This Row],[NO OF CREDITS]:[BELOW CREDITS]])=0,"",SUM(Table5[[#This Row],[NO OF CREDITS]:[BELOW CREDITS]]))</f>
        <v/>
      </c>
    </row>
    <row r="415" spans="1:57" x14ac:dyDescent="0.3">
      <c r="A415" t="str">
        <f>IF(B415&lt;&gt;"",COUNTA($B$6:B415),"")</f>
        <v/>
      </c>
      <c r="B415" t="str">
        <f>IF(Result_Database!A411="","",Result_Database!A411)</f>
        <v/>
      </c>
      <c r="C415" t="str">
        <f>_xlfn.LET(
_xlpm.result,_xlfn.XLOOKUP($B415,Result_Database!$A$2:$A$500,Result_Database!$B$2:$B$500),
_xlfn.IFNA(_xlpm.result,"")
)</f>
        <v/>
      </c>
      <c r="D415" t="str">
        <f>_xlfn.LET(
  _xlpm.result, _xlfn.XLOOKUP($B415, Result_Database!$A$2:$A$500, Result_Database!C$2:C$500),
  _xlfn.IFNA(_xlpm.result, "")
)</f>
        <v/>
      </c>
      <c r="E415" t="str">
        <f>_xlfn.LET(
  _xlpm.result, _xlfn.XLOOKUP($B415, Result_Database!$A$2:$A$500, Result_Database!D$2:D$500),
  _xlfn.IFNA(_xlpm.result, "")
)</f>
        <v/>
      </c>
      <c r="F415" t="str">
        <f>_xlfn.LET(
  _xlpm.result, _xlfn.XLOOKUP($B415, Result_Database!$A$2:$A$500, Result_Database!E$2:E$500),
  _xlfn.IFNA(_xlpm.result, "")
)</f>
        <v/>
      </c>
      <c r="G415" t="str">
        <f>_xlfn.LET(
  _xlpm.result, _xlfn.XLOOKUP($B415, Result_Database!$A$2:$A$500, Result_Database!F$2:F$500),
  _xlfn.IFNA(_xlpm.result, "")
)</f>
        <v/>
      </c>
      <c r="H415" t="str">
        <f>_xlfn.LET(
  _xlpm.result, _xlfn.XLOOKUP($B415, Result_Database!$A$2:$A$500, Result_Database!G$2:G$500),
  _xlfn.IFNA(_xlpm.result, "")
)</f>
        <v/>
      </c>
      <c r="I415" t="str">
        <f>_xlfn.LET(
  _xlpm.result, _xlfn.XLOOKUP($B415, Result_Database!$A$2:$A$500, Result_Database!H$2:H$500),
  _xlfn.IFNA(_xlpm.result, "")
)</f>
        <v/>
      </c>
      <c r="J415" t="str">
        <f>_xlfn.LET(
  _xlpm.result, _xlfn.XLOOKUP($B415, Result_Database!$A$2:$A$500, Result_Database!I$2:I$500),
  _xlfn.IFNA(_xlpm.result, "")
)</f>
        <v/>
      </c>
      <c r="K415" t="str">
        <f>_xlfn.LET(
  _xlpm.result, _xlfn.XLOOKUP($B415, Result_Database!$A$2:$A$500, Result_Database!J$2:J$500),
  _xlfn.IFNA(_xlpm.result, "")
)</f>
        <v/>
      </c>
      <c r="L415" t="str">
        <f>_xlfn.LET(
  _xlpm.result, _xlfn.XLOOKUP($B415, Result_Database!$A$2:$A$500, Result_Database!K$2:K$500),
  _xlfn.IFNA(_xlpm.result, "")
)</f>
        <v/>
      </c>
      <c r="M415" t="str">
        <f>_xlfn.LET(
  _xlpm.result, _xlfn.XLOOKUP($B415, Result_Database!$A$2:$A$500, Result_Database!L$2:L$500),
  _xlfn.IFNA(_xlpm.result, "")
)</f>
        <v/>
      </c>
      <c r="N415" t="str">
        <f>_xlfn.LET(
  _xlpm.result, _xlfn.XLOOKUP($B415, Result_Database!$A$2:$A$500, Result_Database!M$2:M$500),
  _xlfn.IFNA(_xlpm.result, "")
)</f>
        <v/>
      </c>
      <c r="O415" t="str">
        <f>_xlfn.LET(
  _xlpm.result, _xlfn.XLOOKUP($B415, Result_Database!$A$2:$A$500, Result_Database!N$2:N$500),
  _xlfn.IFNA(_xlpm.result, "")
)</f>
        <v/>
      </c>
      <c r="P415" t="str">
        <f>_xlfn.LET(
  _xlpm.result, _xlfn.XLOOKUP($B415, Result_Database!$A$2:$A$500, Result_Database!O$2:O$500),
  _xlfn.IFNA(_xlpm.result, "")
)</f>
        <v/>
      </c>
      <c r="Q415" t="str">
        <f>_xlfn.LET(
  _xlpm.result, _xlfn.XLOOKUP($B415, Result_Database!$A$2:$A$500, Result_Database!P$2:P$500),
  _xlfn.IFNA(_xlpm.result, "")
)</f>
        <v/>
      </c>
      <c r="R415" t="str">
        <f>_xlfn.LET(
  _xlpm.result, _xlfn.XLOOKUP($B415, Result_Database!$A$2:$A$500, Result_Database!Q$2:Q$500),
  _xlfn.IFNA(_xlpm.result, "")
)</f>
        <v/>
      </c>
      <c r="S415" t="str">
        <f>_xlfn.LET(
  _xlpm.result, _xlfn.XLOOKUP($B415, Result_Database!$A$2:$A$500, Result_Database!R$2:R$500),
  _xlfn.IFNA(_xlpm.result, "")
)</f>
        <v/>
      </c>
      <c r="T415" t="str">
        <f>_xlfn.LET(
  _xlpm.result, _xlfn.XLOOKUP($B415, Result_Database!$A$2:$A$500, Result_Database!S$2:S$500),
  _xlfn.IFNA(_xlpm.result, "")
)</f>
        <v/>
      </c>
      <c r="U415" t="str">
        <f>_xlfn.LET(
  _xlpm.result, _xlfn.XLOOKUP($B415, Result_Database!$A$2:$A$500, Result_Database!T$2:T$500),
  _xlfn.IFNA(_xlpm.result, "")
)</f>
        <v/>
      </c>
      <c r="V415" t="str">
        <f>_xlfn.LET(
  _xlpm.result, _xlfn.XLOOKUP($B415, Result_Database!$A$2:$A$500, Result_Database!U$2:U$500),
  _xlfn.IFNA(_xlpm.result, "")
)</f>
        <v/>
      </c>
      <c r="W415" t="str">
        <f>_xlfn.LET(
  _xlpm.result, _xlfn.XLOOKUP($B415, Result_Database!$A$2:$A$500, Result_Database!V$2:V$500),
  _xlfn.IFNA(_xlpm.result, "")
)</f>
        <v/>
      </c>
      <c r="X415" t="str">
        <f>_xlfn.LET(
  _xlpm.result, _xlfn.XLOOKUP($B415, Result_Database!$A$2:$A$500, Result_Database!W$2:W$500),
  _xlfn.IFNA(_xlpm.result, "")
)</f>
        <v/>
      </c>
      <c r="Y415" t="str">
        <f>_xlfn.LET(
  _xlpm.result, _xlfn.XLOOKUP($B415, Result_Database!$A$2:$A$500, Result_Database!X$2:X$500),
  _xlfn.IFNA(_xlpm.result, "")
)</f>
        <v/>
      </c>
      <c r="Z415" t="str">
        <f>_xlfn.LET(
  _xlpm.result, _xlfn.XLOOKUP($B415, Result_Database!$A$2:$A$500, Result_Database!Y$2:Y$500),
  _xlfn.IFNA(_xlpm.result, "")
)</f>
        <v/>
      </c>
      <c r="AA415" t="str">
        <f>_xlfn.LET(
  _xlpm.result, _xlfn.XLOOKUP($B415, Result_Database!$A$2:$A$500, Result_Database!Z$2:Z$500),
  _xlfn.IFNA(_xlpm.result, "")
)</f>
        <v/>
      </c>
      <c r="AB415" t="str">
        <f>_xlfn.LET(
  _xlpm.result, _xlfn.XLOOKUP($B415, Result_Database!$A$2:$A$500, Result_Database!AA$2:AA$500),
  _xlfn.IFNA(_xlpm.result, "")
)</f>
        <v/>
      </c>
      <c r="AC415" t="str">
        <f>_xlfn.LET(
  _xlpm.result, _xlfn.XLOOKUP($B415, Result_Database!$A$2:$A$500, Result_Database!AB$2:AB$500),
  _xlfn.IFNA(_xlpm.result, "")
)</f>
        <v/>
      </c>
      <c r="AD415" t="str">
        <f>_xlfn.LET(
  _xlpm.result, _xlfn.XLOOKUP($B415, Result_Database!$A$2:$A$500, Result_Database!AC$2:AC$500),
  _xlfn.IFNA(_xlpm.result, "")
)</f>
        <v/>
      </c>
      <c r="AE415" t="str">
        <f>_xlfn.LET(
  _xlpm.result, _xlfn.XLOOKUP($B415, Result_Database!$A$2:$A$500, Result_Database!AD$2:AD$500),
  _xlfn.IFNA(_xlpm.result, "")
)</f>
        <v/>
      </c>
      <c r="AF415" t="str">
        <f>_xlfn.LET(
  _xlpm.result, _xlfn.XLOOKUP($B415, Result_Database!$A$2:$A$500, Result_Database!AE$2:AE$500),
  _xlfn.IFNA(_xlpm.result, "")
)</f>
        <v/>
      </c>
      <c r="AG415" t="str">
        <f>_xlfn.LET(
  _xlpm.result, _xlfn.XLOOKUP($B415, Result_Database!$A$2:$A$500, Result_Database!AF$2:AF$500),
  _xlfn.IFNA(_xlpm.result, "")
)</f>
        <v/>
      </c>
      <c r="AH415" t="str">
        <f>_xlfn.LET(
  _xlpm.result, _xlfn.XLOOKUP($B415, Result_Database!$A$2:$A$500, Result_Database!AG$2:AG$500),
  _xlfn.IFNA(_xlpm.result, "")
)</f>
        <v/>
      </c>
      <c r="AI415" t="str">
        <f>_xlfn.LET(
  _xlpm.result, _xlfn.XLOOKUP($B415, Result_Database!$A$2:$A$500, Result_Database!AH$2:AH$500),
  _xlfn.IFNA(_xlpm.result, "")
)</f>
        <v/>
      </c>
      <c r="AJ415" t="str">
        <f>_xlfn.LET(
  _xlpm.result, _xlfn.XLOOKUP($B415, Result_Database!$A$2:$A$500, Result_Database!AI$2:AI$500),
  _xlfn.IFNA(_xlpm.result, "")
)</f>
        <v/>
      </c>
      <c r="AK415" t="str">
        <f>_xlfn.LET(
  _xlpm.result, _xlfn.XLOOKUP($B415, Result_Database!$A$2:$A$500, Result_Database!AJ$2:AJ$500),
  _xlfn.IFNA(_xlpm.result, "")
)</f>
        <v/>
      </c>
      <c r="AL415" t="str">
        <f>_xlfn.LET(
  _xlpm.result, _xlfn.XLOOKUP($B415, Result_Database!$A$2:$A$500, Result_Database!AK$2:AK$500),
  _xlfn.IFNA(_xlpm.result, "")
)</f>
        <v/>
      </c>
      <c r="AM41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1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1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1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1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1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1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1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1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15" t="str">
        <f>IF(SUM(Table5[[#This Row],[A1]:[C6]])&lt;&gt;0,SUM(Table5[[#This Row],[A1]:[C6]]),"")</f>
        <v/>
      </c>
      <c r="AW415" t="str">
        <f>IF(SUM(Table5[[#This Row],[D7]:[F9]])=0,"",SUM(Table5[[#This Row],[D7]:[F9]]))</f>
        <v/>
      </c>
      <c r="AX41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1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1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1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1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1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15" t="str">
        <f>IF(COUNTIF(Table5[[#This Row],[English Language]:[Electrical/ Electronics]],"WITHHELD")=0,"",COUNTIF(Table5[[#This Row],[English Language]:[Electrical/ Electronics]],"WITHHELD"))</f>
        <v/>
      </c>
      <c r="BE415" t="str">
        <f>IF(SUM(Table5[[#This Row],[NO OF CREDITS]:[BELOW CREDITS]])=0,"",SUM(Table5[[#This Row],[NO OF CREDITS]:[BELOW CREDITS]]))</f>
        <v/>
      </c>
    </row>
    <row r="416" spans="1:57" x14ac:dyDescent="0.3">
      <c r="A416" t="str">
        <f>IF(B416&lt;&gt;"",COUNTA($B$6:B416),"")</f>
        <v/>
      </c>
      <c r="B416" t="str">
        <f>IF(Result_Database!A412="","",Result_Database!A412)</f>
        <v/>
      </c>
      <c r="C416" t="str">
        <f>_xlfn.LET(
_xlpm.result,_xlfn.XLOOKUP($B416,Result_Database!$A$2:$A$500,Result_Database!$B$2:$B$500),
_xlfn.IFNA(_xlpm.result,"")
)</f>
        <v/>
      </c>
      <c r="D416" t="str">
        <f>_xlfn.LET(
  _xlpm.result, _xlfn.XLOOKUP($B416, Result_Database!$A$2:$A$500, Result_Database!C$2:C$500),
  _xlfn.IFNA(_xlpm.result, "")
)</f>
        <v/>
      </c>
      <c r="E416" t="str">
        <f>_xlfn.LET(
  _xlpm.result, _xlfn.XLOOKUP($B416, Result_Database!$A$2:$A$500, Result_Database!D$2:D$500),
  _xlfn.IFNA(_xlpm.result, "")
)</f>
        <v/>
      </c>
      <c r="F416" t="str">
        <f>_xlfn.LET(
  _xlpm.result, _xlfn.XLOOKUP($B416, Result_Database!$A$2:$A$500, Result_Database!E$2:E$500),
  _xlfn.IFNA(_xlpm.result, "")
)</f>
        <v/>
      </c>
      <c r="G416" t="str">
        <f>_xlfn.LET(
  _xlpm.result, _xlfn.XLOOKUP($B416, Result_Database!$A$2:$A$500, Result_Database!F$2:F$500),
  _xlfn.IFNA(_xlpm.result, "")
)</f>
        <v/>
      </c>
      <c r="H416" t="str">
        <f>_xlfn.LET(
  _xlpm.result, _xlfn.XLOOKUP($B416, Result_Database!$A$2:$A$500, Result_Database!G$2:G$500),
  _xlfn.IFNA(_xlpm.result, "")
)</f>
        <v/>
      </c>
      <c r="I416" t="str">
        <f>_xlfn.LET(
  _xlpm.result, _xlfn.XLOOKUP($B416, Result_Database!$A$2:$A$500, Result_Database!H$2:H$500),
  _xlfn.IFNA(_xlpm.result, "")
)</f>
        <v/>
      </c>
      <c r="J416" t="str">
        <f>_xlfn.LET(
  _xlpm.result, _xlfn.XLOOKUP($B416, Result_Database!$A$2:$A$500, Result_Database!I$2:I$500),
  _xlfn.IFNA(_xlpm.result, "")
)</f>
        <v/>
      </c>
      <c r="K416" t="str">
        <f>_xlfn.LET(
  _xlpm.result, _xlfn.XLOOKUP($B416, Result_Database!$A$2:$A$500, Result_Database!J$2:J$500),
  _xlfn.IFNA(_xlpm.result, "")
)</f>
        <v/>
      </c>
      <c r="L416" t="str">
        <f>_xlfn.LET(
  _xlpm.result, _xlfn.XLOOKUP($B416, Result_Database!$A$2:$A$500, Result_Database!K$2:K$500),
  _xlfn.IFNA(_xlpm.result, "")
)</f>
        <v/>
      </c>
      <c r="M416" t="str">
        <f>_xlfn.LET(
  _xlpm.result, _xlfn.XLOOKUP($B416, Result_Database!$A$2:$A$500, Result_Database!L$2:L$500),
  _xlfn.IFNA(_xlpm.result, "")
)</f>
        <v/>
      </c>
      <c r="N416" t="str">
        <f>_xlfn.LET(
  _xlpm.result, _xlfn.XLOOKUP($B416, Result_Database!$A$2:$A$500, Result_Database!M$2:M$500),
  _xlfn.IFNA(_xlpm.result, "")
)</f>
        <v/>
      </c>
      <c r="O416" t="str">
        <f>_xlfn.LET(
  _xlpm.result, _xlfn.XLOOKUP($B416, Result_Database!$A$2:$A$500, Result_Database!N$2:N$500),
  _xlfn.IFNA(_xlpm.result, "")
)</f>
        <v/>
      </c>
      <c r="P416" t="str">
        <f>_xlfn.LET(
  _xlpm.result, _xlfn.XLOOKUP($B416, Result_Database!$A$2:$A$500, Result_Database!O$2:O$500),
  _xlfn.IFNA(_xlpm.result, "")
)</f>
        <v/>
      </c>
      <c r="Q416" t="str">
        <f>_xlfn.LET(
  _xlpm.result, _xlfn.XLOOKUP($B416, Result_Database!$A$2:$A$500, Result_Database!P$2:P$500),
  _xlfn.IFNA(_xlpm.result, "")
)</f>
        <v/>
      </c>
      <c r="R416" t="str">
        <f>_xlfn.LET(
  _xlpm.result, _xlfn.XLOOKUP($B416, Result_Database!$A$2:$A$500, Result_Database!Q$2:Q$500),
  _xlfn.IFNA(_xlpm.result, "")
)</f>
        <v/>
      </c>
      <c r="S416" t="str">
        <f>_xlfn.LET(
  _xlpm.result, _xlfn.XLOOKUP($B416, Result_Database!$A$2:$A$500, Result_Database!R$2:R$500),
  _xlfn.IFNA(_xlpm.result, "")
)</f>
        <v/>
      </c>
      <c r="T416" t="str">
        <f>_xlfn.LET(
  _xlpm.result, _xlfn.XLOOKUP($B416, Result_Database!$A$2:$A$500, Result_Database!S$2:S$500),
  _xlfn.IFNA(_xlpm.result, "")
)</f>
        <v/>
      </c>
      <c r="U416" t="str">
        <f>_xlfn.LET(
  _xlpm.result, _xlfn.XLOOKUP($B416, Result_Database!$A$2:$A$500, Result_Database!T$2:T$500),
  _xlfn.IFNA(_xlpm.result, "")
)</f>
        <v/>
      </c>
      <c r="V416" t="str">
        <f>_xlfn.LET(
  _xlpm.result, _xlfn.XLOOKUP($B416, Result_Database!$A$2:$A$500, Result_Database!U$2:U$500),
  _xlfn.IFNA(_xlpm.result, "")
)</f>
        <v/>
      </c>
      <c r="W416" t="str">
        <f>_xlfn.LET(
  _xlpm.result, _xlfn.XLOOKUP($B416, Result_Database!$A$2:$A$500, Result_Database!V$2:V$500),
  _xlfn.IFNA(_xlpm.result, "")
)</f>
        <v/>
      </c>
      <c r="X416" t="str">
        <f>_xlfn.LET(
  _xlpm.result, _xlfn.XLOOKUP($B416, Result_Database!$A$2:$A$500, Result_Database!W$2:W$500),
  _xlfn.IFNA(_xlpm.result, "")
)</f>
        <v/>
      </c>
      <c r="Y416" t="str">
        <f>_xlfn.LET(
  _xlpm.result, _xlfn.XLOOKUP($B416, Result_Database!$A$2:$A$500, Result_Database!X$2:X$500),
  _xlfn.IFNA(_xlpm.result, "")
)</f>
        <v/>
      </c>
      <c r="Z416" t="str">
        <f>_xlfn.LET(
  _xlpm.result, _xlfn.XLOOKUP($B416, Result_Database!$A$2:$A$500, Result_Database!Y$2:Y$500),
  _xlfn.IFNA(_xlpm.result, "")
)</f>
        <v/>
      </c>
      <c r="AA416" t="str">
        <f>_xlfn.LET(
  _xlpm.result, _xlfn.XLOOKUP($B416, Result_Database!$A$2:$A$500, Result_Database!Z$2:Z$500),
  _xlfn.IFNA(_xlpm.result, "")
)</f>
        <v/>
      </c>
      <c r="AB416" t="str">
        <f>_xlfn.LET(
  _xlpm.result, _xlfn.XLOOKUP($B416, Result_Database!$A$2:$A$500, Result_Database!AA$2:AA$500),
  _xlfn.IFNA(_xlpm.result, "")
)</f>
        <v/>
      </c>
      <c r="AC416" t="str">
        <f>_xlfn.LET(
  _xlpm.result, _xlfn.XLOOKUP($B416, Result_Database!$A$2:$A$500, Result_Database!AB$2:AB$500),
  _xlfn.IFNA(_xlpm.result, "")
)</f>
        <v/>
      </c>
      <c r="AD416" t="str">
        <f>_xlfn.LET(
  _xlpm.result, _xlfn.XLOOKUP($B416, Result_Database!$A$2:$A$500, Result_Database!AC$2:AC$500),
  _xlfn.IFNA(_xlpm.result, "")
)</f>
        <v/>
      </c>
      <c r="AE416" t="str">
        <f>_xlfn.LET(
  _xlpm.result, _xlfn.XLOOKUP($B416, Result_Database!$A$2:$A$500, Result_Database!AD$2:AD$500),
  _xlfn.IFNA(_xlpm.result, "")
)</f>
        <v/>
      </c>
      <c r="AF416" t="str">
        <f>_xlfn.LET(
  _xlpm.result, _xlfn.XLOOKUP($B416, Result_Database!$A$2:$A$500, Result_Database!AE$2:AE$500),
  _xlfn.IFNA(_xlpm.result, "")
)</f>
        <v/>
      </c>
      <c r="AG416" t="str">
        <f>_xlfn.LET(
  _xlpm.result, _xlfn.XLOOKUP($B416, Result_Database!$A$2:$A$500, Result_Database!AF$2:AF$500),
  _xlfn.IFNA(_xlpm.result, "")
)</f>
        <v/>
      </c>
      <c r="AH416" t="str">
        <f>_xlfn.LET(
  _xlpm.result, _xlfn.XLOOKUP($B416, Result_Database!$A$2:$A$500, Result_Database!AG$2:AG$500),
  _xlfn.IFNA(_xlpm.result, "")
)</f>
        <v/>
      </c>
      <c r="AI416" t="str">
        <f>_xlfn.LET(
  _xlpm.result, _xlfn.XLOOKUP($B416, Result_Database!$A$2:$A$500, Result_Database!AH$2:AH$500),
  _xlfn.IFNA(_xlpm.result, "")
)</f>
        <v/>
      </c>
      <c r="AJ416" t="str">
        <f>_xlfn.LET(
  _xlpm.result, _xlfn.XLOOKUP($B416, Result_Database!$A$2:$A$500, Result_Database!AI$2:AI$500),
  _xlfn.IFNA(_xlpm.result, "")
)</f>
        <v/>
      </c>
      <c r="AK416" t="str">
        <f>_xlfn.LET(
  _xlpm.result, _xlfn.XLOOKUP($B416, Result_Database!$A$2:$A$500, Result_Database!AJ$2:AJ$500),
  _xlfn.IFNA(_xlpm.result, "")
)</f>
        <v/>
      </c>
      <c r="AL416" t="str">
        <f>_xlfn.LET(
  _xlpm.result, _xlfn.XLOOKUP($B416, Result_Database!$A$2:$A$500, Result_Database!AK$2:AK$500),
  _xlfn.IFNA(_xlpm.result, "")
)</f>
        <v/>
      </c>
      <c r="AM41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1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1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1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1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1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1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1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1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16" t="str">
        <f>IF(SUM(Table5[[#This Row],[A1]:[C6]])&lt;&gt;0,SUM(Table5[[#This Row],[A1]:[C6]]),"")</f>
        <v/>
      </c>
      <c r="AW416" t="str">
        <f>IF(SUM(Table5[[#This Row],[D7]:[F9]])=0,"",SUM(Table5[[#This Row],[D7]:[F9]]))</f>
        <v/>
      </c>
      <c r="AX41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1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1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1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1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1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16" t="str">
        <f>IF(COUNTIF(Table5[[#This Row],[English Language]:[Electrical/ Electronics]],"WITHHELD")=0,"",COUNTIF(Table5[[#This Row],[English Language]:[Electrical/ Electronics]],"WITHHELD"))</f>
        <v/>
      </c>
      <c r="BE416" t="str">
        <f>IF(SUM(Table5[[#This Row],[NO OF CREDITS]:[BELOW CREDITS]])=0,"",SUM(Table5[[#This Row],[NO OF CREDITS]:[BELOW CREDITS]]))</f>
        <v/>
      </c>
    </row>
    <row r="417" spans="1:57" x14ac:dyDescent="0.3">
      <c r="A417" t="str">
        <f>IF(B417&lt;&gt;"",COUNTA($B$6:B417),"")</f>
        <v/>
      </c>
      <c r="B417" t="str">
        <f>IF(Result_Database!A413="","",Result_Database!A413)</f>
        <v/>
      </c>
      <c r="C417" t="str">
        <f>_xlfn.LET(
_xlpm.result,_xlfn.XLOOKUP($B417,Result_Database!$A$2:$A$500,Result_Database!$B$2:$B$500),
_xlfn.IFNA(_xlpm.result,"")
)</f>
        <v/>
      </c>
      <c r="D417" t="str">
        <f>_xlfn.LET(
  _xlpm.result, _xlfn.XLOOKUP($B417, Result_Database!$A$2:$A$500, Result_Database!C$2:C$500),
  _xlfn.IFNA(_xlpm.result, "")
)</f>
        <v/>
      </c>
      <c r="E417" t="str">
        <f>_xlfn.LET(
  _xlpm.result, _xlfn.XLOOKUP($B417, Result_Database!$A$2:$A$500, Result_Database!D$2:D$500),
  _xlfn.IFNA(_xlpm.result, "")
)</f>
        <v/>
      </c>
      <c r="F417" t="str">
        <f>_xlfn.LET(
  _xlpm.result, _xlfn.XLOOKUP($B417, Result_Database!$A$2:$A$500, Result_Database!E$2:E$500),
  _xlfn.IFNA(_xlpm.result, "")
)</f>
        <v/>
      </c>
      <c r="G417" t="str">
        <f>_xlfn.LET(
  _xlpm.result, _xlfn.XLOOKUP($B417, Result_Database!$A$2:$A$500, Result_Database!F$2:F$500),
  _xlfn.IFNA(_xlpm.result, "")
)</f>
        <v/>
      </c>
      <c r="H417" t="str">
        <f>_xlfn.LET(
  _xlpm.result, _xlfn.XLOOKUP($B417, Result_Database!$A$2:$A$500, Result_Database!G$2:G$500),
  _xlfn.IFNA(_xlpm.result, "")
)</f>
        <v/>
      </c>
      <c r="I417" t="str">
        <f>_xlfn.LET(
  _xlpm.result, _xlfn.XLOOKUP($B417, Result_Database!$A$2:$A$500, Result_Database!H$2:H$500),
  _xlfn.IFNA(_xlpm.result, "")
)</f>
        <v/>
      </c>
      <c r="J417" t="str">
        <f>_xlfn.LET(
  _xlpm.result, _xlfn.XLOOKUP($B417, Result_Database!$A$2:$A$500, Result_Database!I$2:I$500),
  _xlfn.IFNA(_xlpm.result, "")
)</f>
        <v/>
      </c>
      <c r="K417" t="str">
        <f>_xlfn.LET(
  _xlpm.result, _xlfn.XLOOKUP($B417, Result_Database!$A$2:$A$500, Result_Database!J$2:J$500),
  _xlfn.IFNA(_xlpm.result, "")
)</f>
        <v/>
      </c>
      <c r="L417" t="str">
        <f>_xlfn.LET(
  _xlpm.result, _xlfn.XLOOKUP($B417, Result_Database!$A$2:$A$500, Result_Database!K$2:K$500),
  _xlfn.IFNA(_xlpm.result, "")
)</f>
        <v/>
      </c>
      <c r="M417" t="str">
        <f>_xlfn.LET(
  _xlpm.result, _xlfn.XLOOKUP($B417, Result_Database!$A$2:$A$500, Result_Database!L$2:L$500),
  _xlfn.IFNA(_xlpm.result, "")
)</f>
        <v/>
      </c>
      <c r="N417" t="str">
        <f>_xlfn.LET(
  _xlpm.result, _xlfn.XLOOKUP($B417, Result_Database!$A$2:$A$500, Result_Database!M$2:M$500),
  _xlfn.IFNA(_xlpm.result, "")
)</f>
        <v/>
      </c>
      <c r="O417" t="str">
        <f>_xlfn.LET(
  _xlpm.result, _xlfn.XLOOKUP($B417, Result_Database!$A$2:$A$500, Result_Database!N$2:N$500),
  _xlfn.IFNA(_xlpm.result, "")
)</f>
        <v/>
      </c>
      <c r="P417" t="str">
        <f>_xlfn.LET(
  _xlpm.result, _xlfn.XLOOKUP($B417, Result_Database!$A$2:$A$500, Result_Database!O$2:O$500),
  _xlfn.IFNA(_xlpm.result, "")
)</f>
        <v/>
      </c>
      <c r="Q417" t="str">
        <f>_xlfn.LET(
  _xlpm.result, _xlfn.XLOOKUP($B417, Result_Database!$A$2:$A$500, Result_Database!P$2:P$500),
  _xlfn.IFNA(_xlpm.result, "")
)</f>
        <v/>
      </c>
      <c r="R417" t="str">
        <f>_xlfn.LET(
  _xlpm.result, _xlfn.XLOOKUP($B417, Result_Database!$A$2:$A$500, Result_Database!Q$2:Q$500),
  _xlfn.IFNA(_xlpm.result, "")
)</f>
        <v/>
      </c>
      <c r="S417" t="str">
        <f>_xlfn.LET(
  _xlpm.result, _xlfn.XLOOKUP($B417, Result_Database!$A$2:$A$500, Result_Database!R$2:R$500),
  _xlfn.IFNA(_xlpm.result, "")
)</f>
        <v/>
      </c>
      <c r="T417" t="str">
        <f>_xlfn.LET(
  _xlpm.result, _xlfn.XLOOKUP($B417, Result_Database!$A$2:$A$500, Result_Database!S$2:S$500),
  _xlfn.IFNA(_xlpm.result, "")
)</f>
        <v/>
      </c>
      <c r="U417" t="str">
        <f>_xlfn.LET(
  _xlpm.result, _xlfn.XLOOKUP($B417, Result_Database!$A$2:$A$500, Result_Database!T$2:T$500),
  _xlfn.IFNA(_xlpm.result, "")
)</f>
        <v/>
      </c>
      <c r="V417" t="str">
        <f>_xlfn.LET(
  _xlpm.result, _xlfn.XLOOKUP($B417, Result_Database!$A$2:$A$500, Result_Database!U$2:U$500),
  _xlfn.IFNA(_xlpm.result, "")
)</f>
        <v/>
      </c>
      <c r="W417" t="str">
        <f>_xlfn.LET(
  _xlpm.result, _xlfn.XLOOKUP($B417, Result_Database!$A$2:$A$500, Result_Database!V$2:V$500),
  _xlfn.IFNA(_xlpm.result, "")
)</f>
        <v/>
      </c>
      <c r="X417" t="str">
        <f>_xlfn.LET(
  _xlpm.result, _xlfn.XLOOKUP($B417, Result_Database!$A$2:$A$500, Result_Database!W$2:W$500),
  _xlfn.IFNA(_xlpm.result, "")
)</f>
        <v/>
      </c>
      <c r="Y417" t="str">
        <f>_xlfn.LET(
  _xlpm.result, _xlfn.XLOOKUP($B417, Result_Database!$A$2:$A$500, Result_Database!X$2:X$500),
  _xlfn.IFNA(_xlpm.result, "")
)</f>
        <v/>
      </c>
      <c r="Z417" t="str">
        <f>_xlfn.LET(
  _xlpm.result, _xlfn.XLOOKUP($B417, Result_Database!$A$2:$A$500, Result_Database!Y$2:Y$500),
  _xlfn.IFNA(_xlpm.result, "")
)</f>
        <v/>
      </c>
      <c r="AA417" t="str">
        <f>_xlfn.LET(
  _xlpm.result, _xlfn.XLOOKUP($B417, Result_Database!$A$2:$A$500, Result_Database!Z$2:Z$500),
  _xlfn.IFNA(_xlpm.result, "")
)</f>
        <v/>
      </c>
      <c r="AB417" t="str">
        <f>_xlfn.LET(
  _xlpm.result, _xlfn.XLOOKUP($B417, Result_Database!$A$2:$A$500, Result_Database!AA$2:AA$500),
  _xlfn.IFNA(_xlpm.result, "")
)</f>
        <v/>
      </c>
      <c r="AC417" t="str">
        <f>_xlfn.LET(
  _xlpm.result, _xlfn.XLOOKUP($B417, Result_Database!$A$2:$A$500, Result_Database!AB$2:AB$500),
  _xlfn.IFNA(_xlpm.result, "")
)</f>
        <v/>
      </c>
      <c r="AD417" t="str">
        <f>_xlfn.LET(
  _xlpm.result, _xlfn.XLOOKUP($B417, Result_Database!$A$2:$A$500, Result_Database!AC$2:AC$500),
  _xlfn.IFNA(_xlpm.result, "")
)</f>
        <v/>
      </c>
      <c r="AE417" t="str">
        <f>_xlfn.LET(
  _xlpm.result, _xlfn.XLOOKUP($B417, Result_Database!$A$2:$A$500, Result_Database!AD$2:AD$500),
  _xlfn.IFNA(_xlpm.result, "")
)</f>
        <v/>
      </c>
      <c r="AF417" t="str">
        <f>_xlfn.LET(
  _xlpm.result, _xlfn.XLOOKUP($B417, Result_Database!$A$2:$A$500, Result_Database!AE$2:AE$500),
  _xlfn.IFNA(_xlpm.result, "")
)</f>
        <v/>
      </c>
      <c r="AG417" t="str">
        <f>_xlfn.LET(
  _xlpm.result, _xlfn.XLOOKUP($B417, Result_Database!$A$2:$A$500, Result_Database!AF$2:AF$500),
  _xlfn.IFNA(_xlpm.result, "")
)</f>
        <v/>
      </c>
      <c r="AH417" t="str">
        <f>_xlfn.LET(
  _xlpm.result, _xlfn.XLOOKUP($B417, Result_Database!$A$2:$A$500, Result_Database!AG$2:AG$500),
  _xlfn.IFNA(_xlpm.result, "")
)</f>
        <v/>
      </c>
      <c r="AI417" t="str">
        <f>_xlfn.LET(
  _xlpm.result, _xlfn.XLOOKUP($B417, Result_Database!$A$2:$A$500, Result_Database!AH$2:AH$500),
  _xlfn.IFNA(_xlpm.result, "")
)</f>
        <v/>
      </c>
      <c r="AJ417" t="str">
        <f>_xlfn.LET(
  _xlpm.result, _xlfn.XLOOKUP($B417, Result_Database!$A$2:$A$500, Result_Database!AI$2:AI$500),
  _xlfn.IFNA(_xlpm.result, "")
)</f>
        <v/>
      </c>
      <c r="AK417" t="str">
        <f>_xlfn.LET(
  _xlpm.result, _xlfn.XLOOKUP($B417, Result_Database!$A$2:$A$500, Result_Database!AJ$2:AJ$500),
  _xlfn.IFNA(_xlpm.result, "")
)</f>
        <v/>
      </c>
      <c r="AL417" t="str">
        <f>_xlfn.LET(
  _xlpm.result, _xlfn.XLOOKUP($B417, Result_Database!$A$2:$A$500, Result_Database!AK$2:AK$500),
  _xlfn.IFNA(_xlpm.result, "")
)</f>
        <v/>
      </c>
      <c r="AM41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1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1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1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1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1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1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1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1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17" t="str">
        <f>IF(SUM(Table5[[#This Row],[A1]:[C6]])&lt;&gt;0,SUM(Table5[[#This Row],[A1]:[C6]]),"")</f>
        <v/>
      </c>
      <c r="AW417" t="str">
        <f>IF(SUM(Table5[[#This Row],[D7]:[F9]])=0,"",SUM(Table5[[#This Row],[D7]:[F9]]))</f>
        <v/>
      </c>
      <c r="AX41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1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1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1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1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1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17" t="str">
        <f>IF(COUNTIF(Table5[[#This Row],[English Language]:[Electrical/ Electronics]],"WITHHELD")=0,"",COUNTIF(Table5[[#This Row],[English Language]:[Electrical/ Electronics]],"WITHHELD"))</f>
        <v/>
      </c>
      <c r="BE417" t="str">
        <f>IF(SUM(Table5[[#This Row],[NO OF CREDITS]:[BELOW CREDITS]])=0,"",SUM(Table5[[#This Row],[NO OF CREDITS]:[BELOW CREDITS]]))</f>
        <v/>
      </c>
    </row>
    <row r="418" spans="1:57" x14ac:dyDescent="0.3">
      <c r="A418" t="str">
        <f>IF(B418&lt;&gt;"",COUNTA($B$6:B418),"")</f>
        <v/>
      </c>
      <c r="B418" t="str">
        <f>IF(Result_Database!A414="","",Result_Database!A414)</f>
        <v/>
      </c>
      <c r="C418" t="str">
        <f>_xlfn.LET(
_xlpm.result,_xlfn.XLOOKUP($B418,Result_Database!$A$2:$A$500,Result_Database!$B$2:$B$500),
_xlfn.IFNA(_xlpm.result,"")
)</f>
        <v/>
      </c>
      <c r="D418" t="str">
        <f>_xlfn.LET(
  _xlpm.result, _xlfn.XLOOKUP($B418, Result_Database!$A$2:$A$500, Result_Database!C$2:C$500),
  _xlfn.IFNA(_xlpm.result, "")
)</f>
        <v/>
      </c>
      <c r="E418" t="str">
        <f>_xlfn.LET(
  _xlpm.result, _xlfn.XLOOKUP($B418, Result_Database!$A$2:$A$500, Result_Database!D$2:D$500),
  _xlfn.IFNA(_xlpm.result, "")
)</f>
        <v/>
      </c>
      <c r="F418" t="str">
        <f>_xlfn.LET(
  _xlpm.result, _xlfn.XLOOKUP($B418, Result_Database!$A$2:$A$500, Result_Database!E$2:E$500),
  _xlfn.IFNA(_xlpm.result, "")
)</f>
        <v/>
      </c>
      <c r="G418" t="str">
        <f>_xlfn.LET(
  _xlpm.result, _xlfn.XLOOKUP($B418, Result_Database!$A$2:$A$500, Result_Database!F$2:F$500),
  _xlfn.IFNA(_xlpm.result, "")
)</f>
        <v/>
      </c>
      <c r="H418" t="str">
        <f>_xlfn.LET(
  _xlpm.result, _xlfn.XLOOKUP($B418, Result_Database!$A$2:$A$500, Result_Database!G$2:G$500),
  _xlfn.IFNA(_xlpm.result, "")
)</f>
        <v/>
      </c>
      <c r="I418" t="str">
        <f>_xlfn.LET(
  _xlpm.result, _xlfn.XLOOKUP($B418, Result_Database!$A$2:$A$500, Result_Database!H$2:H$500),
  _xlfn.IFNA(_xlpm.result, "")
)</f>
        <v/>
      </c>
      <c r="J418" t="str">
        <f>_xlfn.LET(
  _xlpm.result, _xlfn.XLOOKUP($B418, Result_Database!$A$2:$A$500, Result_Database!I$2:I$500),
  _xlfn.IFNA(_xlpm.result, "")
)</f>
        <v/>
      </c>
      <c r="K418" t="str">
        <f>_xlfn.LET(
  _xlpm.result, _xlfn.XLOOKUP($B418, Result_Database!$A$2:$A$500, Result_Database!J$2:J$500),
  _xlfn.IFNA(_xlpm.result, "")
)</f>
        <v/>
      </c>
      <c r="L418" t="str">
        <f>_xlfn.LET(
  _xlpm.result, _xlfn.XLOOKUP($B418, Result_Database!$A$2:$A$500, Result_Database!K$2:K$500),
  _xlfn.IFNA(_xlpm.result, "")
)</f>
        <v/>
      </c>
      <c r="M418" t="str">
        <f>_xlfn.LET(
  _xlpm.result, _xlfn.XLOOKUP($B418, Result_Database!$A$2:$A$500, Result_Database!L$2:L$500),
  _xlfn.IFNA(_xlpm.result, "")
)</f>
        <v/>
      </c>
      <c r="N418" t="str">
        <f>_xlfn.LET(
  _xlpm.result, _xlfn.XLOOKUP($B418, Result_Database!$A$2:$A$500, Result_Database!M$2:M$500),
  _xlfn.IFNA(_xlpm.result, "")
)</f>
        <v/>
      </c>
      <c r="O418" t="str">
        <f>_xlfn.LET(
  _xlpm.result, _xlfn.XLOOKUP($B418, Result_Database!$A$2:$A$500, Result_Database!N$2:N$500),
  _xlfn.IFNA(_xlpm.result, "")
)</f>
        <v/>
      </c>
      <c r="P418" t="str">
        <f>_xlfn.LET(
  _xlpm.result, _xlfn.XLOOKUP($B418, Result_Database!$A$2:$A$500, Result_Database!O$2:O$500),
  _xlfn.IFNA(_xlpm.result, "")
)</f>
        <v/>
      </c>
      <c r="Q418" t="str">
        <f>_xlfn.LET(
  _xlpm.result, _xlfn.XLOOKUP($B418, Result_Database!$A$2:$A$500, Result_Database!P$2:P$500),
  _xlfn.IFNA(_xlpm.result, "")
)</f>
        <v/>
      </c>
      <c r="R418" t="str">
        <f>_xlfn.LET(
  _xlpm.result, _xlfn.XLOOKUP($B418, Result_Database!$A$2:$A$500, Result_Database!Q$2:Q$500),
  _xlfn.IFNA(_xlpm.result, "")
)</f>
        <v/>
      </c>
      <c r="S418" t="str">
        <f>_xlfn.LET(
  _xlpm.result, _xlfn.XLOOKUP($B418, Result_Database!$A$2:$A$500, Result_Database!R$2:R$500),
  _xlfn.IFNA(_xlpm.result, "")
)</f>
        <v/>
      </c>
      <c r="T418" t="str">
        <f>_xlfn.LET(
  _xlpm.result, _xlfn.XLOOKUP($B418, Result_Database!$A$2:$A$500, Result_Database!S$2:S$500),
  _xlfn.IFNA(_xlpm.result, "")
)</f>
        <v/>
      </c>
      <c r="U418" t="str">
        <f>_xlfn.LET(
  _xlpm.result, _xlfn.XLOOKUP($B418, Result_Database!$A$2:$A$500, Result_Database!T$2:T$500),
  _xlfn.IFNA(_xlpm.result, "")
)</f>
        <v/>
      </c>
      <c r="V418" t="str">
        <f>_xlfn.LET(
  _xlpm.result, _xlfn.XLOOKUP($B418, Result_Database!$A$2:$A$500, Result_Database!U$2:U$500),
  _xlfn.IFNA(_xlpm.result, "")
)</f>
        <v/>
      </c>
      <c r="W418" t="str">
        <f>_xlfn.LET(
  _xlpm.result, _xlfn.XLOOKUP($B418, Result_Database!$A$2:$A$500, Result_Database!V$2:V$500),
  _xlfn.IFNA(_xlpm.result, "")
)</f>
        <v/>
      </c>
      <c r="X418" t="str">
        <f>_xlfn.LET(
  _xlpm.result, _xlfn.XLOOKUP($B418, Result_Database!$A$2:$A$500, Result_Database!W$2:W$500),
  _xlfn.IFNA(_xlpm.result, "")
)</f>
        <v/>
      </c>
      <c r="Y418" t="str">
        <f>_xlfn.LET(
  _xlpm.result, _xlfn.XLOOKUP($B418, Result_Database!$A$2:$A$500, Result_Database!X$2:X$500),
  _xlfn.IFNA(_xlpm.result, "")
)</f>
        <v/>
      </c>
      <c r="Z418" t="str">
        <f>_xlfn.LET(
  _xlpm.result, _xlfn.XLOOKUP($B418, Result_Database!$A$2:$A$500, Result_Database!Y$2:Y$500),
  _xlfn.IFNA(_xlpm.result, "")
)</f>
        <v/>
      </c>
      <c r="AA418" t="str">
        <f>_xlfn.LET(
  _xlpm.result, _xlfn.XLOOKUP($B418, Result_Database!$A$2:$A$500, Result_Database!Z$2:Z$500),
  _xlfn.IFNA(_xlpm.result, "")
)</f>
        <v/>
      </c>
      <c r="AB418" t="str">
        <f>_xlfn.LET(
  _xlpm.result, _xlfn.XLOOKUP($B418, Result_Database!$A$2:$A$500, Result_Database!AA$2:AA$500),
  _xlfn.IFNA(_xlpm.result, "")
)</f>
        <v/>
      </c>
      <c r="AC418" t="str">
        <f>_xlfn.LET(
  _xlpm.result, _xlfn.XLOOKUP($B418, Result_Database!$A$2:$A$500, Result_Database!AB$2:AB$500),
  _xlfn.IFNA(_xlpm.result, "")
)</f>
        <v/>
      </c>
      <c r="AD418" t="str">
        <f>_xlfn.LET(
  _xlpm.result, _xlfn.XLOOKUP($B418, Result_Database!$A$2:$A$500, Result_Database!AC$2:AC$500),
  _xlfn.IFNA(_xlpm.result, "")
)</f>
        <v/>
      </c>
      <c r="AE418" t="str">
        <f>_xlfn.LET(
  _xlpm.result, _xlfn.XLOOKUP($B418, Result_Database!$A$2:$A$500, Result_Database!AD$2:AD$500),
  _xlfn.IFNA(_xlpm.result, "")
)</f>
        <v/>
      </c>
      <c r="AF418" t="str">
        <f>_xlfn.LET(
  _xlpm.result, _xlfn.XLOOKUP($B418, Result_Database!$A$2:$A$500, Result_Database!AE$2:AE$500),
  _xlfn.IFNA(_xlpm.result, "")
)</f>
        <v/>
      </c>
      <c r="AG418" t="str">
        <f>_xlfn.LET(
  _xlpm.result, _xlfn.XLOOKUP($B418, Result_Database!$A$2:$A$500, Result_Database!AF$2:AF$500),
  _xlfn.IFNA(_xlpm.result, "")
)</f>
        <v/>
      </c>
      <c r="AH418" t="str">
        <f>_xlfn.LET(
  _xlpm.result, _xlfn.XLOOKUP($B418, Result_Database!$A$2:$A$500, Result_Database!AG$2:AG$500),
  _xlfn.IFNA(_xlpm.result, "")
)</f>
        <v/>
      </c>
      <c r="AI418" t="str">
        <f>_xlfn.LET(
  _xlpm.result, _xlfn.XLOOKUP($B418, Result_Database!$A$2:$A$500, Result_Database!AH$2:AH$500),
  _xlfn.IFNA(_xlpm.result, "")
)</f>
        <v/>
      </c>
      <c r="AJ418" t="str">
        <f>_xlfn.LET(
  _xlpm.result, _xlfn.XLOOKUP($B418, Result_Database!$A$2:$A$500, Result_Database!AI$2:AI$500),
  _xlfn.IFNA(_xlpm.result, "")
)</f>
        <v/>
      </c>
      <c r="AK418" t="str">
        <f>_xlfn.LET(
  _xlpm.result, _xlfn.XLOOKUP($B418, Result_Database!$A$2:$A$500, Result_Database!AJ$2:AJ$500),
  _xlfn.IFNA(_xlpm.result, "")
)</f>
        <v/>
      </c>
      <c r="AL418" t="str">
        <f>_xlfn.LET(
  _xlpm.result, _xlfn.XLOOKUP($B418, Result_Database!$A$2:$A$500, Result_Database!AK$2:AK$500),
  _xlfn.IFNA(_xlpm.result, "")
)</f>
        <v/>
      </c>
      <c r="AM41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1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1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1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1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1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1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1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1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18" t="str">
        <f>IF(SUM(Table5[[#This Row],[A1]:[C6]])&lt;&gt;0,SUM(Table5[[#This Row],[A1]:[C6]]),"")</f>
        <v/>
      </c>
      <c r="AW418" t="str">
        <f>IF(SUM(Table5[[#This Row],[D7]:[F9]])=0,"",SUM(Table5[[#This Row],[D7]:[F9]]))</f>
        <v/>
      </c>
      <c r="AX41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1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1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1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1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1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18" t="str">
        <f>IF(COUNTIF(Table5[[#This Row],[English Language]:[Electrical/ Electronics]],"WITHHELD")=0,"",COUNTIF(Table5[[#This Row],[English Language]:[Electrical/ Electronics]],"WITHHELD"))</f>
        <v/>
      </c>
      <c r="BE418" t="str">
        <f>IF(SUM(Table5[[#This Row],[NO OF CREDITS]:[BELOW CREDITS]])=0,"",SUM(Table5[[#This Row],[NO OF CREDITS]:[BELOW CREDITS]]))</f>
        <v/>
      </c>
    </row>
    <row r="419" spans="1:57" x14ac:dyDescent="0.3">
      <c r="A419" t="str">
        <f>IF(B419&lt;&gt;"",COUNTA($B$6:B419),"")</f>
        <v/>
      </c>
      <c r="B419" t="str">
        <f>IF(Result_Database!A415="","",Result_Database!A415)</f>
        <v/>
      </c>
      <c r="C419" t="str">
        <f>_xlfn.LET(
_xlpm.result,_xlfn.XLOOKUP($B419,Result_Database!$A$2:$A$500,Result_Database!$B$2:$B$500),
_xlfn.IFNA(_xlpm.result,"")
)</f>
        <v/>
      </c>
      <c r="D419" t="str">
        <f>_xlfn.LET(
  _xlpm.result, _xlfn.XLOOKUP($B419, Result_Database!$A$2:$A$500, Result_Database!C$2:C$500),
  _xlfn.IFNA(_xlpm.result, "")
)</f>
        <v/>
      </c>
      <c r="E419" t="str">
        <f>_xlfn.LET(
  _xlpm.result, _xlfn.XLOOKUP($B419, Result_Database!$A$2:$A$500, Result_Database!D$2:D$500),
  _xlfn.IFNA(_xlpm.result, "")
)</f>
        <v/>
      </c>
      <c r="F419" t="str">
        <f>_xlfn.LET(
  _xlpm.result, _xlfn.XLOOKUP($B419, Result_Database!$A$2:$A$500, Result_Database!E$2:E$500),
  _xlfn.IFNA(_xlpm.result, "")
)</f>
        <v/>
      </c>
      <c r="G419" t="str">
        <f>_xlfn.LET(
  _xlpm.result, _xlfn.XLOOKUP($B419, Result_Database!$A$2:$A$500, Result_Database!F$2:F$500),
  _xlfn.IFNA(_xlpm.result, "")
)</f>
        <v/>
      </c>
      <c r="H419" t="str">
        <f>_xlfn.LET(
  _xlpm.result, _xlfn.XLOOKUP($B419, Result_Database!$A$2:$A$500, Result_Database!G$2:G$500),
  _xlfn.IFNA(_xlpm.result, "")
)</f>
        <v/>
      </c>
      <c r="I419" t="str">
        <f>_xlfn.LET(
  _xlpm.result, _xlfn.XLOOKUP($B419, Result_Database!$A$2:$A$500, Result_Database!H$2:H$500),
  _xlfn.IFNA(_xlpm.result, "")
)</f>
        <v/>
      </c>
      <c r="J419" t="str">
        <f>_xlfn.LET(
  _xlpm.result, _xlfn.XLOOKUP($B419, Result_Database!$A$2:$A$500, Result_Database!I$2:I$500),
  _xlfn.IFNA(_xlpm.result, "")
)</f>
        <v/>
      </c>
      <c r="K419" t="str">
        <f>_xlfn.LET(
  _xlpm.result, _xlfn.XLOOKUP($B419, Result_Database!$A$2:$A$500, Result_Database!J$2:J$500),
  _xlfn.IFNA(_xlpm.result, "")
)</f>
        <v/>
      </c>
      <c r="L419" t="str">
        <f>_xlfn.LET(
  _xlpm.result, _xlfn.XLOOKUP($B419, Result_Database!$A$2:$A$500, Result_Database!K$2:K$500),
  _xlfn.IFNA(_xlpm.result, "")
)</f>
        <v/>
      </c>
      <c r="M419" t="str">
        <f>_xlfn.LET(
  _xlpm.result, _xlfn.XLOOKUP($B419, Result_Database!$A$2:$A$500, Result_Database!L$2:L$500),
  _xlfn.IFNA(_xlpm.result, "")
)</f>
        <v/>
      </c>
      <c r="N419" t="str">
        <f>_xlfn.LET(
  _xlpm.result, _xlfn.XLOOKUP($B419, Result_Database!$A$2:$A$500, Result_Database!M$2:M$500),
  _xlfn.IFNA(_xlpm.result, "")
)</f>
        <v/>
      </c>
      <c r="O419" t="str">
        <f>_xlfn.LET(
  _xlpm.result, _xlfn.XLOOKUP($B419, Result_Database!$A$2:$A$500, Result_Database!N$2:N$500),
  _xlfn.IFNA(_xlpm.result, "")
)</f>
        <v/>
      </c>
      <c r="P419" t="str">
        <f>_xlfn.LET(
  _xlpm.result, _xlfn.XLOOKUP($B419, Result_Database!$A$2:$A$500, Result_Database!O$2:O$500),
  _xlfn.IFNA(_xlpm.result, "")
)</f>
        <v/>
      </c>
      <c r="Q419" t="str">
        <f>_xlfn.LET(
  _xlpm.result, _xlfn.XLOOKUP($B419, Result_Database!$A$2:$A$500, Result_Database!P$2:P$500),
  _xlfn.IFNA(_xlpm.result, "")
)</f>
        <v/>
      </c>
      <c r="R419" t="str">
        <f>_xlfn.LET(
  _xlpm.result, _xlfn.XLOOKUP($B419, Result_Database!$A$2:$A$500, Result_Database!Q$2:Q$500),
  _xlfn.IFNA(_xlpm.result, "")
)</f>
        <v/>
      </c>
      <c r="S419" t="str">
        <f>_xlfn.LET(
  _xlpm.result, _xlfn.XLOOKUP($B419, Result_Database!$A$2:$A$500, Result_Database!R$2:R$500),
  _xlfn.IFNA(_xlpm.result, "")
)</f>
        <v/>
      </c>
      <c r="T419" t="str">
        <f>_xlfn.LET(
  _xlpm.result, _xlfn.XLOOKUP($B419, Result_Database!$A$2:$A$500, Result_Database!S$2:S$500),
  _xlfn.IFNA(_xlpm.result, "")
)</f>
        <v/>
      </c>
      <c r="U419" t="str">
        <f>_xlfn.LET(
  _xlpm.result, _xlfn.XLOOKUP($B419, Result_Database!$A$2:$A$500, Result_Database!T$2:T$500),
  _xlfn.IFNA(_xlpm.result, "")
)</f>
        <v/>
      </c>
      <c r="V419" t="str">
        <f>_xlfn.LET(
  _xlpm.result, _xlfn.XLOOKUP($B419, Result_Database!$A$2:$A$500, Result_Database!U$2:U$500),
  _xlfn.IFNA(_xlpm.result, "")
)</f>
        <v/>
      </c>
      <c r="W419" t="str">
        <f>_xlfn.LET(
  _xlpm.result, _xlfn.XLOOKUP($B419, Result_Database!$A$2:$A$500, Result_Database!V$2:V$500),
  _xlfn.IFNA(_xlpm.result, "")
)</f>
        <v/>
      </c>
      <c r="X419" t="str">
        <f>_xlfn.LET(
  _xlpm.result, _xlfn.XLOOKUP($B419, Result_Database!$A$2:$A$500, Result_Database!W$2:W$500),
  _xlfn.IFNA(_xlpm.result, "")
)</f>
        <v/>
      </c>
      <c r="Y419" t="str">
        <f>_xlfn.LET(
  _xlpm.result, _xlfn.XLOOKUP($B419, Result_Database!$A$2:$A$500, Result_Database!X$2:X$500),
  _xlfn.IFNA(_xlpm.result, "")
)</f>
        <v/>
      </c>
      <c r="Z419" t="str">
        <f>_xlfn.LET(
  _xlpm.result, _xlfn.XLOOKUP($B419, Result_Database!$A$2:$A$500, Result_Database!Y$2:Y$500),
  _xlfn.IFNA(_xlpm.result, "")
)</f>
        <v/>
      </c>
      <c r="AA419" t="str">
        <f>_xlfn.LET(
  _xlpm.result, _xlfn.XLOOKUP($B419, Result_Database!$A$2:$A$500, Result_Database!Z$2:Z$500),
  _xlfn.IFNA(_xlpm.result, "")
)</f>
        <v/>
      </c>
      <c r="AB419" t="str">
        <f>_xlfn.LET(
  _xlpm.result, _xlfn.XLOOKUP($B419, Result_Database!$A$2:$A$500, Result_Database!AA$2:AA$500),
  _xlfn.IFNA(_xlpm.result, "")
)</f>
        <v/>
      </c>
      <c r="AC419" t="str">
        <f>_xlfn.LET(
  _xlpm.result, _xlfn.XLOOKUP($B419, Result_Database!$A$2:$A$500, Result_Database!AB$2:AB$500),
  _xlfn.IFNA(_xlpm.result, "")
)</f>
        <v/>
      </c>
      <c r="AD419" t="str">
        <f>_xlfn.LET(
  _xlpm.result, _xlfn.XLOOKUP($B419, Result_Database!$A$2:$A$500, Result_Database!AC$2:AC$500),
  _xlfn.IFNA(_xlpm.result, "")
)</f>
        <v/>
      </c>
      <c r="AE419" t="str">
        <f>_xlfn.LET(
  _xlpm.result, _xlfn.XLOOKUP($B419, Result_Database!$A$2:$A$500, Result_Database!AD$2:AD$500),
  _xlfn.IFNA(_xlpm.result, "")
)</f>
        <v/>
      </c>
      <c r="AF419" t="str">
        <f>_xlfn.LET(
  _xlpm.result, _xlfn.XLOOKUP($B419, Result_Database!$A$2:$A$500, Result_Database!AE$2:AE$500),
  _xlfn.IFNA(_xlpm.result, "")
)</f>
        <v/>
      </c>
      <c r="AG419" t="str">
        <f>_xlfn.LET(
  _xlpm.result, _xlfn.XLOOKUP($B419, Result_Database!$A$2:$A$500, Result_Database!AF$2:AF$500),
  _xlfn.IFNA(_xlpm.result, "")
)</f>
        <v/>
      </c>
      <c r="AH419" t="str">
        <f>_xlfn.LET(
  _xlpm.result, _xlfn.XLOOKUP($B419, Result_Database!$A$2:$A$500, Result_Database!AG$2:AG$500),
  _xlfn.IFNA(_xlpm.result, "")
)</f>
        <v/>
      </c>
      <c r="AI419" t="str">
        <f>_xlfn.LET(
  _xlpm.result, _xlfn.XLOOKUP($B419, Result_Database!$A$2:$A$500, Result_Database!AH$2:AH$500),
  _xlfn.IFNA(_xlpm.result, "")
)</f>
        <v/>
      </c>
      <c r="AJ419" t="str">
        <f>_xlfn.LET(
  _xlpm.result, _xlfn.XLOOKUP($B419, Result_Database!$A$2:$A$500, Result_Database!AI$2:AI$500),
  _xlfn.IFNA(_xlpm.result, "")
)</f>
        <v/>
      </c>
      <c r="AK419" t="str">
        <f>_xlfn.LET(
  _xlpm.result, _xlfn.XLOOKUP($B419, Result_Database!$A$2:$A$500, Result_Database!AJ$2:AJ$500),
  _xlfn.IFNA(_xlpm.result, "")
)</f>
        <v/>
      </c>
      <c r="AL419" t="str">
        <f>_xlfn.LET(
  _xlpm.result, _xlfn.XLOOKUP($B419, Result_Database!$A$2:$A$500, Result_Database!AK$2:AK$500),
  _xlfn.IFNA(_xlpm.result, "")
)</f>
        <v/>
      </c>
      <c r="AM41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1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1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1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1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1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1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1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1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19" t="str">
        <f>IF(SUM(Table5[[#This Row],[A1]:[C6]])&lt;&gt;0,SUM(Table5[[#This Row],[A1]:[C6]]),"")</f>
        <v/>
      </c>
      <c r="AW419" t="str">
        <f>IF(SUM(Table5[[#This Row],[D7]:[F9]])=0,"",SUM(Table5[[#This Row],[D7]:[F9]]))</f>
        <v/>
      </c>
      <c r="AX41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1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1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1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1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1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19" t="str">
        <f>IF(COUNTIF(Table5[[#This Row],[English Language]:[Electrical/ Electronics]],"WITHHELD")=0,"",COUNTIF(Table5[[#This Row],[English Language]:[Electrical/ Electronics]],"WITHHELD"))</f>
        <v/>
      </c>
      <c r="BE419" t="str">
        <f>IF(SUM(Table5[[#This Row],[NO OF CREDITS]:[BELOW CREDITS]])=0,"",SUM(Table5[[#This Row],[NO OF CREDITS]:[BELOW CREDITS]]))</f>
        <v/>
      </c>
    </row>
    <row r="420" spans="1:57" x14ac:dyDescent="0.3">
      <c r="A420" t="str">
        <f>IF(B420&lt;&gt;"",COUNTA($B$6:B420),"")</f>
        <v/>
      </c>
      <c r="B420" t="str">
        <f>IF(Result_Database!A416="","",Result_Database!A416)</f>
        <v/>
      </c>
      <c r="C420" t="str">
        <f>_xlfn.LET(
_xlpm.result,_xlfn.XLOOKUP($B420,Result_Database!$A$2:$A$500,Result_Database!$B$2:$B$500),
_xlfn.IFNA(_xlpm.result,"")
)</f>
        <v/>
      </c>
      <c r="D420" t="str">
        <f>_xlfn.LET(
  _xlpm.result, _xlfn.XLOOKUP($B420, Result_Database!$A$2:$A$500, Result_Database!C$2:C$500),
  _xlfn.IFNA(_xlpm.result, "")
)</f>
        <v/>
      </c>
      <c r="E420" t="str">
        <f>_xlfn.LET(
  _xlpm.result, _xlfn.XLOOKUP($B420, Result_Database!$A$2:$A$500, Result_Database!D$2:D$500),
  _xlfn.IFNA(_xlpm.result, "")
)</f>
        <v/>
      </c>
      <c r="F420" t="str">
        <f>_xlfn.LET(
  _xlpm.result, _xlfn.XLOOKUP($B420, Result_Database!$A$2:$A$500, Result_Database!E$2:E$500),
  _xlfn.IFNA(_xlpm.result, "")
)</f>
        <v/>
      </c>
      <c r="G420" t="str">
        <f>_xlfn.LET(
  _xlpm.result, _xlfn.XLOOKUP($B420, Result_Database!$A$2:$A$500, Result_Database!F$2:F$500),
  _xlfn.IFNA(_xlpm.result, "")
)</f>
        <v/>
      </c>
      <c r="H420" t="str">
        <f>_xlfn.LET(
  _xlpm.result, _xlfn.XLOOKUP($B420, Result_Database!$A$2:$A$500, Result_Database!G$2:G$500),
  _xlfn.IFNA(_xlpm.result, "")
)</f>
        <v/>
      </c>
      <c r="I420" t="str">
        <f>_xlfn.LET(
  _xlpm.result, _xlfn.XLOOKUP($B420, Result_Database!$A$2:$A$500, Result_Database!H$2:H$500),
  _xlfn.IFNA(_xlpm.result, "")
)</f>
        <v/>
      </c>
      <c r="J420" t="str">
        <f>_xlfn.LET(
  _xlpm.result, _xlfn.XLOOKUP($B420, Result_Database!$A$2:$A$500, Result_Database!I$2:I$500),
  _xlfn.IFNA(_xlpm.result, "")
)</f>
        <v/>
      </c>
      <c r="K420" t="str">
        <f>_xlfn.LET(
  _xlpm.result, _xlfn.XLOOKUP($B420, Result_Database!$A$2:$A$500, Result_Database!J$2:J$500),
  _xlfn.IFNA(_xlpm.result, "")
)</f>
        <v/>
      </c>
      <c r="L420" t="str">
        <f>_xlfn.LET(
  _xlpm.result, _xlfn.XLOOKUP($B420, Result_Database!$A$2:$A$500, Result_Database!K$2:K$500),
  _xlfn.IFNA(_xlpm.result, "")
)</f>
        <v/>
      </c>
      <c r="M420" t="str">
        <f>_xlfn.LET(
  _xlpm.result, _xlfn.XLOOKUP($B420, Result_Database!$A$2:$A$500, Result_Database!L$2:L$500),
  _xlfn.IFNA(_xlpm.result, "")
)</f>
        <v/>
      </c>
      <c r="N420" t="str">
        <f>_xlfn.LET(
  _xlpm.result, _xlfn.XLOOKUP($B420, Result_Database!$A$2:$A$500, Result_Database!M$2:M$500),
  _xlfn.IFNA(_xlpm.result, "")
)</f>
        <v/>
      </c>
      <c r="O420" t="str">
        <f>_xlfn.LET(
  _xlpm.result, _xlfn.XLOOKUP($B420, Result_Database!$A$2:$A$500, Result_Database!N$2:N$500),
  _xlfn.IFNA(_xlpm.result, "")
)</f>
        <v/>
      </c>
      <c r="P420" t="str">
        <f>_xlfn.LET(
  _xlpm.result, _xlfn.XLOOKUP($B420, Result_Database!$A$2:$A$500, Result_Database!O$2:O$500),
  _xlfn.IFNA(_xlpm.result, "")
)</f>
        <v/>
      </c>
      <c r="Q420" t="str">
        <f>_xlfn.LET(
  _xlpm.result, _xlfn.XLOOKUP($B420, Result_Database!$A$2:$A$500, Result_Database!P$2:P$500),
  _xlfn.IFNA(_xlpm.result, "")
)</f>
        <v/>
      </c>
      <c r="R420" t="str">
        <f>_xlfn.LET(
  _xlpm.result, _xlfn.XLOOKUP($B420, Result_Database!$A$2:$A$500, Result_Database!Q$2:Q$500),
  _xlfn.IFNA(_xlpm.result, "")
)</f>
        <v/>
      </c>
      <c r="S420" t="str">
        <f>_xlfn.LET(
  _xlpm.result, _xlfn.XLOOKUP($B420, Result_Database!$A$2:$A$500, Result_Database!R$2:R$500),
  _xlfn.IFNA(_xlpm.result, "")
)</f>
        <v/>
      </c>
      <c r="T420" t="str">
        <f>_xlfn.LET(
  _xlpm.result, _xlfn.XLOOKUP($B420, Result_Database!$A$2:$A$500, Result_Database!S$2:S$500),
  _xlfn.IFNA(_xlpm.result, "")
)</f>
        <v/>
      </c>
      <c r="U420" t="str">
        <f>_xlfn.LET(
  _xlpm.result, _xlfn.XLOOKUP($B420, Result_Database!$A$2:$A$500, Result_Database!T$2:T$500),
  _xlfn.IFNA(_xlpm.result, "")
)</f>
        <v/>
      </c>
      <c r="V420" t="str">
        <f>_xlfn.LET(
  _xlpm.result, _xlfn.XLOOKUP($B420, Result_Database!$A$2:$A$500, Result_Database!U$2:U$500),
  _xlfn.IFNA(_xlpm.result, "")
)</f>
        <v/>
      </c>
      <c r="W420" t="str">
        <f>_xlfn.LET(
  _xlpm.result, _xlfn.XLOOKUP($B420, Result_Database!$A$2:$A$500, Result_Database!V$2:V$500),
  _xlfn.IFNA(_xlpm.result, "")
)</f>
        <v/>
      </c>
      <c r="X420" t="str">
        <f>_xlfn.LET(
  _xlpm.result, _xlfn.XLOOKUP($B420, Result_Database!$A$2:$A$500, Result_Database!W$2:W$500),
  _xlfn.IFNA(_xlpm.result, "")
)</f>
        <v/>
      </c>
      <c r="Y420" t="str">
        <f>_xlfn.LET(
  _xlpm.result, _xlfn.XLOOKUP($B420, Result_Database!$A$2:$A$500, Result_Database!X$2:X$500),
  _xlfn.IFNA(_xlpm.result, "")
)</f>
        <v/>
      </c>
      <c r="Z420" t="str">
        <f>_xlfn.LET(
  _xlpm.result, _xlfn.XLOOKUP($B420, Result_Database!$A$2:$A$500, Result_Database!Y$2:Y$500),
  _xlfn.IFNA(_xlpm.result, "")
)</f>
        <v/>
      </c>
      <c r="AA420" t="str">
        <f>_xlfn.LET(
  _xlpm.result, _xlfn.XLOOKUP($B420, Result_Database!$A$2:$A$500, Result_Database!Z$2:Z$500),
  _xlfn.IFNA(_xlpm.result, "")
)</f>
        <v/>
      </c>
      <c r="AB420" t="str">
        <f>_xlfn.LET(
  _xlpm.result, _xlfn.XLOOKUP($B420, Result_Database!$A$2:$A$500, Result_Database!AA$2:AA$500),
  _xlfn.IFNA(_xlpm.result, "")
)</f>
        <v/>
      </c>
      <c r="AC420" t="str">
        <f>_xlfn.LET(
  _xlpm.result, _xlfn.XLOOKUP($B420, Result_Database!$A$2:$A$500, Result_Database!AB$2:AB$500),
  _xlfn.IFNA(_xlpm.result, "")
)</f>
        <v/>
      </c>
      <c r="AD420" t="str">
        <f>_xlfn.LET(
  _xlpm.result, _xlfn.XLOOKUP($B420, Result_Database!$A$2:$A$500, Result_Database!AC$2:AC$500),
  _xlfn.IFNA(_xlpm.result, "")
)</f>
        <v/>
      </c>
      <c r="AE420" t="str">
        <f>_xlfn.LET(
  _xlpm.result, _xlfn.XLOOKUP($B420, Result_Database!$A$2:$A$500, Result_Database!AD$2:AD$500),
  _xlfn.IFNA(_xlpm.result, "")
)</f>
        <v/>
      </c>
      <c r="AF420" t="str">
        <f>_xlfn.LET(
  _xlpm.result, _xlfn.XLOOKUP($B420, Result_Database!$A$2:$A$500, Result_Database!AE$2:AE$500),
  _xlfn.IFNA(_xlpm.result, "")
)</f>
        <v/>
      </c>
      <c r="AG420" t="str">
        <f>_xlfn.LET(
  _xlpm.result, _xlfn.XLOOKUP($B420, Result_Database!$A$2:$A$500, Result_Database!AF$2:AF$500),
  _xlfn.IFNA(_xlpm.result, "")
)</f>
        <v/>
      </c>
      <c r="AH420" t="str">
        <f>_xlfn.LET(
  _xlpm.result, _xlfn.XLOOKUP($B420, Result_Database!$A$2:$A$500, Result_Database!AG$2:AG$500),
  _xlfn.IFNA(_xlpm.result, "")
)</f>
        <v/>
      </c>
      <c r="AI420" t="str">
        <f>_xlfn.LET(
  _xlpm.result, _xlfn.XLOOKUP($B420, Result_Database!$A$2:$A$500, Result_Database!AH$2:AH$500),
  _xlfn.IFNA(_xlpm.result, "")
)</f>
        <v/>
      </c>
      <c r="AJ420" t="str">
        <f>_xlfn.LET(
  _xlpm.result, _xlfn.XLOOKUP($B420, Result_Database!$A$2:$A$500, Result_Database!AI$2:AI$500),
  _xlfn.IFNA(_xlpm.result, "")
)</f>
        <v/>
      </c>
      <c r="AK420" t="str">
        <f>_xlfn.LET(
  _xlpm.result, _xlfn.XLOOKUP($B420, Result_Database!$A$2:$A$500, Result_Database!AJ$2:AJ$500),
  _xlfn.IFNA(_xlpm.result, "")
)</f>
        <v/>
      </c>
      <c r="AL420" t="str">
        <f>_xlfn.LET(
  _xlpm.result, _xlfn.XLOOKUP($B420, Result_Database!$A$2:$A$500, Result_Database!AK$2:AK$500),
  _xlfn.IFNA(_xlpm.result, "")
)</f>
        <v/>
      </c>
      <c r="AM42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2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2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2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2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2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2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2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2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20" t="str">
        <f>IF(SUM(Table5[[#This Row],[A1]:[C6]])&lt;&gt;0,SUM(Table5[[#This Row],[A1]:[C6]]),"")</f>
        <v/>
      </c>
      <c r="AW420" t="str">
        <f>IF(SUM(Table5[[#This Row],[D7]:[F9]])=0,"",SUM(Table5[[#This Row],[D7]:[F9]]))</f>
        <v/>
      </c>
      <c r="AX42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2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2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2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2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2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20" t="str">
        <f>IF(COUNTIF(Table5[[#This Row],[English Language]:[Electrical/ Electronics]],"WITHHELD")=0,"",COUNTIF(Table5[[#This Row],[English Language]:[Electrical/ Electronics]],"WITHHELD"))</f>
        <v/>
      </c>
      <c r="BE420" t="str">
        <f>IF(SUM(Table5[[#This Row],[NO OF CREDITS]:[BELOW CREDITS]])=0,"",SUM(Table5[[#This Row],[NO OF CREDITS]:[BELOW CREDITS]]))</f>
        <v/>
      </c>
    </row>
    <row r="421" spans="1:57" x14ac:dyDescent="0.3">
      <c r="A421" t="str">
        <f>IF(B421&lt;&gt;"",COUNTA($B$6:B421),"")</f>
        <v/>
      </c>
      <c r="B421" t="str">
        <f>IF(Result_Database!A417="","",Result_Database!A417)</f>
        <v/>
      </c>
      <c r="C421" t="str">
        <f>_xlfn.LET(
_xlpm.result,_xlfn.XLOOKUP($B421,Result_Database!$A$2:$A$500,Result_Database!$B$2:$B$500),
_xlfn.IFNA(_xlpm.result,"")
)</f>
        <v/>
      </c>
      <c r="D421" t="str">
        <f>_xlfn.LET(
  _xlpm.result, _xlfn.XLOOKUP($B421, Result_Database!$A$2:$A$500, Result_Database!C$2:C$500),
  _xlfn.IFNA(_xlpm.result, "")
)</f>
        <v/>
      </c>
      <c r="E421" t="str">
        <f>_xlfn.LET(
  _xlpm.result, _xlfn.XLOOKUP($B421, Result_Database!$A$2:$A$500, Result_Database!D$2:D$500),
  _xlfn.IFNA(_xlpm.result, "")
)</f>
        <v/>
      </c>
      <c r="F421" t="str">
        <f>_xlfn.LET(
  _xlpm.result, _xlfn.XLOOKUP($B421, Result_Database!$A$2:$A$500, Result_Database!E$2:E$500),
  _xlfn.IFNA(_xlpm.result, "")
)</f>
        <v/>
      </c>
      <c r="G421" t="str">
        <f>_xlfn.LET(
  _xlpm.result, _xlfn.XLOOKUP($B421, Result_Database!$A$2:$A$500, Result_Database!F$2:F$500),
  _xlfn.IFNA(_xlpm.result, "")
)</f>
        <v/>
      </c>
      <c r="H421" t="str">
        <f>_xlfn.LET(
  _xlpm.result, _xlfn.XLOOKUP($B421, Result_Database!$A$2:$A$500, Result_Database!G$2:G$500),
  _xlfn.IFNA(_xlpm.result, "")
)</f>
        <v/>
      </c>
      <c r="I421" t="str">
        <f>_xlfn.LET(
  _xlpm.result, _xlfn.XLOOKUP($B421, Result_Database!$A$2:$A$500, Result_Database!H$2:H$500),
  _xlfn.IFNA(_xlpm.result, "")
)</f>
        <v/>
      </c>
      <c r="J421" t="str">
        <f>_xlfn.LET(
  _xlpm.result, _xlfn.XLOOKUP($B421, Result_Database!$A$2:$A$500, Result_Database!I$2:I$500),
  _xlfn.IFNA(_xlpm.result, "")
)</f>
        <v/>
      </c>
      <c r="K421" t="str">
        <f>_xlfn.LET(
  _xlpm.result, _xlfn.XLOOKUP($B421, Result_Database!$A$2:$A$500, Result_Database!J$2:J$500),
  _xlfn.IFNA(_xlpm.result, "")
)</f>
        <v/>
      </c>
      <c r="L421" t="str">
        <f>_xlfn.LET(
  _xlpm.result, _xlfn.XLOOKUP($B421, Result_Database!$A$2:$A$500, Result_Database!K$2:K$500),
  _xlfn.IFNA(_xlpm.result, "")
)</f>
        <v/>
      </c>
      <c r="M421" t="str">
        <f>_xlfn.LET(
  _xlpm.result, _xlfn.XLOOKUP($B421, Result_Database!$A$2:$A$500, Result_Database!L$2:L$500),
  _xlfn.IFNA(_xlpm.result, "")
)</f>
        <v/>
      </c>
      <c r="N421" t="str">
        <f>_xlfn.LET(
  _xlpm.result, _xlfn.XLOOKUP($B421, Result_Database!$A$2:$A$500, Result_Database!M$2:M$500),
  _xlfn.IFNA(_xlpm.result, "")
)</f>
        <v/>
      </c>
      <c r="O421" t="str">
        <f>_xlfn.LET(
  _xlpm.result, _xlfn.XLOOKUP($B421, Result_Database!$A$2:$A$500, Result_Database!N$2:N$500),
  _xlfn.IFNA(_xlpm.result, "")
)</f>
        <v/>
      </c>
      <c r="P421" t="str">
        <f>_xlfn.LET(
  _xlpm.result, _xlfn.XLOOKUP($B421, Result_Database!$A$2:$A$500, Result_Database!O$2:O$500),
  _xlfn.IFNA(_xlpm.result, "")
)</f>
        <v/>
      </c>
      <c r="Q421" t="str">
        <f>_xlfn.LET(
  _xlpm.result, _xlfn.XLOOKUP($B421, Result_Database!$A$2:$A$500, Result_Database!P$2:P$500),
  _xlfn.IFNA(_xlpm.result, "")
)</f>
        <v/>
      </c>
      <c r="R421" t="str">
        <f>_xlfn.LET(
  _xlpm.result, _xlfn.XLOOKUP($B421, Result_Database!$A$2:$A$500, Result_Database!Q$2:Q$500),
  _xlfn.IFNA(_xlpm.result, "")
)</f>
        <v/>
      </c>
      <c r="S421" t="str">
        <f>_xlfn.LET(
  _xlpm.result, _xlfn.XLOOKUP($B421, Result_Database!$A$2:$A$500, Result_Database!R$2:R$500),
  _xlfn.IFNA(_xlpm.result, "")
)</f>
        <v/>
      </c>
      <c r="T421" t="str">
        <f>_xlfn.LET(
  _xlpm.result, _xlfn.XLOOKUP($B421, Result_Database!$A$2:$A$500, Result_Database!S$2:S$500),
  _xlfn.IFNA(_xlpm.result, "")
)</f>
        <v/>
      </c>
      <c r="U421" t="str">
        <f>_xlfn.LET(
  _xlpm.result, _xlfn.XLOOKUP($B421, Result_Database!$A$2:$A$500, Result_Database!T$2:T$500),
  _xlfn.IFNA(_xlpm.result, "")
)</f>
        <v/>
      </c>
      <c r="V421" t="str">
        <f>_xlfn.LET(
  _xlpm.result, _xlfn.XLOOKUP($B421, Result_Database!$A$2:$A$500, Result_Database!U$2:U$500),
  _xlfn.IFNA(_xlpm.result, "")
)</f>
        <v/>
      </c>
      <c r="W421" t="str">
        <f>_xlfn.LET(
  _xlpm.result, _xlfn.XLOOKUP($B421, Result_Database!$A$2:$A$500, Result_Database!V$2:V$500),
  _xlfn.IFNA(_xlpm.result, "")
)</f>
        <v/>
      </c>
      <c r="X421" t="str">
        <f>_xlfn.LET(
  _xlpm.result, _xlfn.XLOOKUP($B421, Result_Database!$A$2:$A$500, Result_Database!W$2:W$500),
  _xlfn.IFNA(_xlpm.result, "")
)</f>
        <v/>
      </c>
      <c r="Y421" t="str">
        <f>_xlfn.LET(
  _xlpm.result, _xlfn.XLOOKUP($B421, Result_Database!$A$2:$A$500, Result_Database!X$2:X$500),
  _xlfn.IFNA(_xlpm.result, "")
)</f>
        <v/>
      </c>
      <c r="Z421" t="str">
        <f>_xlfn.LET(
  _xlpm.result, _xlfn.XLOOKUP($B421, Result_Database!$A$2:$A$500, Result_Database!Y$2:Y$500),
  _xlfn.IFNA(_xlpm.result, "")
)</f>
        <v/>
      </c>
      <c r="AA421" t="str">
        <f>_xlfn.LET(
  _xlpm.result, _xlfn.XLOOKUP($B421, Result_Database!$A$2:$A$500, Result_Database!Z$2:Z$500),
  _xlfn.IFNA(_xlpm.result, "")
)</f>
        <v/>
      </c>
      <c r="AB421" t="str">
        <f>_xlfn.LET(
  _xlpm.result, _xlfn.XLOOKUP($B421, Result_Database!$A$2:$A$500, Result_Database!AA$2:AA$500),
  _xlfn.IFNA(_xlpm.result, "")
)</f>
        <v/>
      </c>
      <c r="AC421" t="str">
        <f>_xlfn.LET(
  _xlpm.result, _xlfn.XLOOKUP($B421, Result_Database!$A$2:$A$500, Result_Database!AB$2:AB$500),
  _xlfn.IFNA(_xlpm.result, "")
)</f>
        <v/>
      </c>
      <c r="AD421" t="str">
        <f>_xlfn.LET(
  _xlpm.result, _xlfn.XLOOKUP($B421, Result_Database!$A$2:$A$500, Result_Database!AC$2:AC$500),
  _xlfn.IFNA(_xlpm.result, "")
)</f>
        <v/>
      </c>
      <c r="AE421" t="str">
        <f>_xlfn.LET(
  _xlpm.result, _xlfn.XLOOKUP($B421, Result_Database!$A$2:$A$500, Result_Database!AD$2:AD$500),
  _xlfn.IFNA(_xlpm.result, "")
)</f>
        <v/>
      </c>
      <c r="AF421" t="str">
        <f>_xlfn.LET(
  _xlpm.result, _xlfn.XLOOKUP($B421, Result_Database!$A$2:$A$500, Result_Database!AE$2:AE$500),
  _xlfn.IFNA(_xlpm.result, "")
)</f>
        <v/>
      </c>
      <c r="AG421" t="str">
        <f>_xlfn.LET(
  _xlpm.result, _xlfn.XLOOKUP($B421, Result_Database!$A$2:$A$500, Result_Database!AF$2:AF$500),
  _xlfn.IFNA(_xlpm.result, "")
)</f>
        <v/>
      </c>
      <c r="AH421" t="str">
        <f>_xlfn.LET(
  _xlpm.result, _xlfn.XLOOKUP($B421, Result_Database!$A$2:$A$500, Result_Database!AG$2:AG$500),
  _xlfn.IFNA(_xlpm.result, "")
)</f>
        <v/>
      </c>
      <c r="AI421" t="str">
        <f>_xlfn.LET(
  _xlpm.result, _xlfn.XLOOKUP($B421, Result_Database!$A$2:$A$500, Result_Database!AH$2:AH$500),
  _xlfn.IFNA(_xlpm.result, "")
)</f>
        <v/>
      </c>
      <c r="AJ421" t="str">
        <f>_xlfn.LET(
  _xlpm.result, _xlfn.XLOOKUP($B421, Result_Database!$A$2:$A$500, Result_Database!AI$2:AI$500),
  _xlfn.IFNA(_xlpm.result, "")
)</f>
        <v/>
      </c>
      <c r="AK421" t="str">
        <f>_xlfn.LET(
  _xlpm.result, _xlfn.XLOOKUP($B421, Result_Database!$A$2:$A$500, Result_Database!AJ$2:AJ$500),
  _xlfn.IFNA(_xlpm.result, "")
)</f>
        <v/>
      </c>
      <c r="AL421" t="str">
        <f>_xlfn.LET(
  _xlpm.result, _xlfn.XLOOKUP($B421, Result_Database!$A$2:$A$500, Result_Database!AK$2:AK$500),
  _xlfn.IFNA(_xlpm.result, "")
)</f>
        <v/>
      </c>
      <c r="AM42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2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2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2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2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2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2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2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2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21" t="str">
        <f>IF(SUM(Table5[[#This Row],[A1]:[C6]])&lt;&gt;0,SUM(Table5[[#This Row],[A1]:[C6]]),"")</f>
        <v/>
      </c>
      <c r="AW421" t="str">
        <f>IF(SUM(Table5[[#This Row],[D7]:[F9]])=0,"",SUM(Table5[[#This Row],[D7]:[F9]]))</f>
        <v/>
      </c>
      <c r="AX42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2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2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2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2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2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21" t="str">
        <f>IF(COUNTIF(Table5[[#This Row],[English Language]:[Electrical/ Electronics]],"WITHHELD")=0,"",COUNTIF(Table5[[#This Row],[English Language]:[Electrical/ Electronics]],"WITHHELD"))</f>
        <v/>
      </c>
      <c r="BE421" t="str">
        <f>IF(SUM(Table5[[#This Row],[NO OF CREDITS]:[BELOW CREDITS]])=0,"",SUM(Table5[[#This Row],[NO OF CREDITS]:[BELOW CREDITS]]))</f>
        <v/>
      </c>
    </row>
    <row r="422" spans="1:57" x14ac:dyDescent="0.3">
      <c r="A422" t="str">
        <f>IF(B422&lt;&gt;"",COUNTA($B$6:B422),"")</f>
        <v/>
      </c>
      <c r="B422" t="str">
        <f>IF(Result_Database!A418="","",Result_Database!A418)</f>
        <v/>
      </c>
      <c r="C422" t="str">
        <f>_xlfn.LET(
_xlpm.result,_xlfn.XLOOKUP($B422,Result_Database!$A$2:$A$500,Result_Database!$B$2:$B$500),
_xlfn.IFNA(_xlpm.result,"")
)</f>
        <v/>
      </c>
      <c r="D422" t="str">
        <f>_xlfn.LET(
  _xlpm.result, _xlfn.XLOOKUP($B422, Result_Database!$A$2:$A$500, Result_Database!C$2:C$500),
  _xlfn.IFNA(_xlpm.result, "")
)</f>
        <v/>
      </c>
      <c r="E422" t="str">
        <f>_xlfn.LET(
  _xlpm.result, _xlfn.XLOOKUP($B422, Result_Database!$A$2:$A$500, Result_Database!D$2:D$500),
  _xlfn.IFNA(_xlpm.result, "")
)</f>
        <v/>
      </c>
      <c r="F422" t="str">
        <f>_xlfn.LET(
  _xlpm.result, _xlfn.XLOOKUP($B422, Result_Database!$A$2:$A$500, Result_Database!E$2:E$500),
  _xlfn.IFNA(_xlpm.result, "")
)</f>
        <v/>
      </c>
      <c r="G422" t="str">
        <f>_xlfn.LET(
  _xlpm.result, _xlfn.XLOOKUP($B422, Result_Database!$A$2:$A$500, Result_Database!F$2:F$500),
  _xlfn.IFNA(_xlpm.result, "")
)</f>
        <v/>
      </c>
      <c r="H422" t="str">
        <f>_xlfn.LET(
  _xlpm.result, _xlfn.XLOOKUP($B422, Result_Database!$A$2:$A$500, Result_Database!G$2:G$500),
  _xlfn.IFNA(_xlpm.result, "")
)</f>
        <v/>
      </c>
      <c r="I422" t="str">
        <f>_xlfn.LET(
  _xlpm.result, _xlfn.XLOOKUP($B422, Result_Database!$A$2:$A$500, Result_Database!H$2:H$500),
  _xlfn.IFNA(_xlpm.result, "")
)</f>
        <v/>
      </c>
      <c r="J422" t="str">
        <f>_xlfn.LET(
  _xlpm.result, _xlfn.XLOOKUP($B422, Result_Database!$A$2:$A$500, Result_Database!I$2:I$500),
  _xlfn.IFNA(_xlpm.result, "")
)</f>
        <v/>
      </c>
      <c r="K422" t="str">
        <f>_xlfn.LET(
  _xlpm.result, _xlfn.XLOOKUP($B422, Result_Database!$A$2:$A$500, Result_Database!J$2:J$500),
  _xlfn.IFNA(_xlpm.result, "")
)</f>
        <v/>
      </c>
      <c r="L422" t="str">
        <f>_xlfn.LET(
  _xlpm.result, _xlfn.XLOOKUP($B422, Result_Database!$A$2:$A$500, Result_Database!K$2:K$500),
  _xlfn.IFNA(_xlpm.result, "")
)</f>
        <v/>
      </c>
      <c r="M422" t="str">
        <f>_xlfn.LET(
  _xlpm.result, _xlfn.XLOOKUP($B422, Result_Database!$A$2:$A$500, Result_Database!L$2:L$500),
  _xlfn.IFNA(_xlpm.result, "")
)</f>
        <v/>
      </c>
      <c r="N422" t="str">
        <f>_xlfn.LET(
  _xlpm.result, _xlfn.XLOOKUP($B422, Result_Database!$A$2:$A$500, Result_Database!M$2:M$500),
  _xlfn.IFNA(_xlpm.result, "")
)</f>
        <v/>
      </c>
      <c r="O422" t="str">
        <f>_xlfn.LET(
  _xlpm.result, _xlfn.XLOOKUP($B422, Result_Database!$A$2:$A$500, Result_Database!N$2:N$500),
  _xlfn.IFNA(_xlpm.result, "")
)</f>
        <v/>
      </c>
      <c r="P422" t="str">
        <f>_xlfn.LET(
  _xlpm.result, _xlfn.XLOOKUP($B422, Result_Database!$A$2:$A$500, Result_Database!O$2:O$500),
  _xlfn.IFNA(_xlpm.result, "")
)</f>
        <v/>
      </c>
      <c r="Q422" t="str">
        <f>_xlfn.LET(
  _xlpm.result, _xlfn.XLOOKUP($B422, Result_Database!$A$2:$A$500, Result_Database!P$2:P$500),
  _xlfn.IFNA(_xlpm.result, "")
)</f>
        <v/>
      </c>
      <c r="R422" t="str">
        <f>_xlfn.LET(
  _xlpm.result, _xlfn.XLOOKUP($B422, Result_Database!$A$2:$A$500, Result_Database!Q$2:Q$500),
  _xlfn.IFNA(_xlpm.result, "")
)</f>
        <v/>
      </c>
      <c r="S422" t="str">
        <f>_xlfn.LET(
  _xlpm.result, _xlfn.XLOOKUP($B422, Result_Database!$A$2:$A$500, Result_Database!R$2:R$500),
  _xlfn.IFNA(_xlpm.result, "")
)</f>
        <v/>
      </c>
      <c r="T422" t="str">
        <f>_xlfn.LET(
  _xlpm.result, _xlfn.XLOOKUP($B422, Result_Database!$A$2:$A$500, Result_Database!S$2:S$500),
  _xlfn.IFNA(_xlpm.result, "")
)</f>
        <v/>
      </c>
      <c r="U422" t="str">
        <f>_xlfn.LET(
  _xlpm.result, _xlfn.XLOOKUP($B422, Result_Database!$A$2:$A$500, Result_Database!T$2:T$500),
  _xlfn.IFNA(_xlpm.result, "")
)</f>
        <v/>
      </c>
      <c r="V422" t="str">
        <f>_xlfn.LET(
  _xlpm.result, _xlfn.XLOOKUP($B422, Result_Database!$A$2:$A$500, Result_Database!U$2:U$500),
  _xlfn.IFNA(_xlpm.result, "")
)</f>
        <v/>
      </c>
      <c r="W422" t="str">
        <f>_xlfn.LET(
  _xlpm.result, _xlfn.XLOOKUP($B422, Result_Database!$A$2:$A$500, Result_Database!V$2:V$500),
  _xlfn.IFNA(_xlpm.result, "")
)</f>
        <v/>
      </c>
      <c r="X422" t="str">
        <f>_xlfn.LET(
  _xlpm.result, _xlfn.XLOOKUP($B422, Result_Database!$A$2:$A$500, Result_Database!W$2:W$500),
  _xlfn.IFNA(_xlpm.result, "")
)</f>
        <v/>
      </c>
      <c r="Y422" t="str">
        <f>_xlfn.LET(
  _xlpm.result, _xlfn.XLOOKUP($B422, Result_Database!$A$2:$A$500, Result_Database!X$2:X$500),
  _xlfn.IFNA(_xlpm.result, "")
)</f>
        <v/>
      </c>
      <c r="Z422" t="str">
        <f>_xlfn.LET(
  _xlpm.result, _xlfn.XLOOKUP($B422, Result_Database!$A$2:$A$500, Result_Database!Y$2:Y$500),
  _xlfn.IFNA(_xlpm.result, "")
)</f>
        <v/>
      </c>
      <c r="AA422" t="str">
        <f>_xlfn.LET(
  _xlpm.result, _xlfn.XLOOKUP($B422, Result_Database!$A$2:$A$500, Result_Database!Z$2:Z$500),
  _xlfn.IFNA(_xlpm.result, "")
)</f>
        <v/>
      </c>
      <c r="AB422" t="str">
        <f>_xlfn.LET(
  _xlpm.result, _xlfn.XLOOKUP($B422, Result_Database!$A$2:$A$500, Result_Database!AA$2:AA$500),
  _xlfn.IFNA(_xlpm.result, "")
)</f>
        <v/>
      </c>
      <c r="AC422" t="str">
        <f>_xlfn.LET(
  _xlpm.result, _xlfn.XLOOKUP($B422, Result_Database!$A$2:$A$500, Result_Database!AB$2:AB$500),
  _xlfn.IFNA(_xlpm.result, "")
)</f>
        <v/>
      </c>
      <c r="AD422" t="str">
        <f>_xlfn.LET(
  _xlpm.result, _xlfn.XLOOKUP($B422, Result_Database!$A$2:$A$500, Result_Database!AC$2:AC$500),
  _xlfn.IFNA(_xlpm.result, "")
)</f>
        <v/>
      </c>
      <c r="AE422" t="str">
        <f>_xlfn.LET(
  _xlpm.result, _xlfn.XLOOKUP($B422, Result_Database!$A$2:$A$500, Result_Database!AD$2:AD$500),
  _xlfn.IFNA(_xlpm.result, "")
)</f>
        <v/>
      </c>
      <c r="AF422" t="str">
        <f>_xlfn.LET(
  _xlpm.result, _xlfn.XLOOKUP($B422, Result_Database!$A$2:$A$500, Result_Database!AE$2:AE$500),
  _xlfn.IFNA(_xlpm.result, "")
)</f>
        <v/>
      </c>
      <c r="AG422" t="str">
        <f>_xlfn.LET(
  _xlpm.result, _xlfn.XLOOKUP($B422, Result_Database!$A$2:$A$500, Result_Database!AF$2:AF$500),
  _xlfn.IFNA(_xlpm.result, "")
)</f>
        <v/>
      </c>
      <c r="AH422" t="str">
        <f>_xlfn.LET(
  _xlpm.result, _xlfn.XLOOKUP($B422, Result_Database!$A$2:$A$500, Result_Database!AG$2:AG$500),
  _xlfn.IFNA(_xlpm.result, "")
)</f>
        <v/>
      </c>
      <c r="AI422" t="str">
        <f>_xlfn.LET(
  _xlpm.result, _xlfn.XLOOKUP($B422, Result_Database!$A$2:$A$500, Result_Database!AH$2:AH$500),
  _xlfn.IFNA(_xlpm.result, "")
)</f>
        <v/>
      </c>
      <c r="AJ422" t="str">
        <f>_xlfn.LET(
  _xlpm.result, _xlfn.XLOOKUP($B422, Result_Database!$A$2:$A$500, Result_Database!AI$2:AI$500),
  _xlfn.IFNA(_xlpm.result, "")
)</f>
        <v/>
      </c>
      <c r="AK422" t="str">
        <f>_xlfn.LET(
  _xlpm.result, _xlfn.XLOOKUP($B422, Result_Database!$A$2:$A$500, Result_Database!AJ$2:AJ$500),
  _xlfn.IFNA(_xlpm.result, "")
)</f>
        <v/>
      </c>
      <c r="AL422" t="str">
        <f>_xlfn.LET(
  _xlpm.result, _xlfn.XLOOKUP($B422, Result_Database!$A$2:$A$500, Result_Database!AK$2:AK$500),
  _xlfn.IFNA(_xlpm.result, "")
)</f>
        <v/>
      </c>
      <c r="AM42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2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2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2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2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2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2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2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2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22" t="str">
        <f>IF(SUM(Table5[[#This Row],[A1]:[C6]])&lt;&gt;0,SUM(Table5[[#This Row],[A1]:[C6]]),"")</f>
        <v/>
      </c>
      <c r="AW422" t="str">
        <f>IF(SUM(Table5[[#This Row],[D7]:[F9]])=0,"",SUM(Table5[[#This Row],[D7]:[F9]]))</f>
        <v/>
      </c>
      <c r="AX42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2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2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2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2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2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22" t="str">
        <f>IF(COUNTIF(Table5[[#This Row],[English Language]:[Electrical/ Electronics]],"WITHHELD")=0,"",COUNTIF(Table5[[#This Row],[English Language]:[Electrical/ Electronics]],"WITHHELD"))</f>
        <v/>
      </c>
      <c r="BE422" t="str">
        <f>IF(SUM(Table5[[#This Row],[NO OF CREDITS]:[BELOW CREDITS]])=0,"",SUM(Table5[[#This Row],[NO OF CREDITS]:[BELOW CREDITS]]))</f>
        <v/>
      </c>
    </row>
    <row r="423" spans="1:57" x14ac:dyDescent="0.3">
      <c r="A423" t="str">
        <f>IF(B423&lt;&gt;"",COUNTA($B$6:B423),"")</f>
        <v/>
      </c>
      <c r="B423" t="str">
        <f>IF(Result_Database!A419="","",Result_Database!A419)</f>
        <v/>
      </c>
      <c r="C423" t="str">
        <f>_xlfn.LET(
_xlpm.result,_xlfn.XLOOKUP($B423,Result_Database!$A$2:$A$500,Result_Database!$B$2:$B$500),
_xlfn.IFNA(_xlpm.result,"")
)</f>
        <v/>
      </c>
      <c r="D423" t="str">
        <f>_xlfn.LET(
  _xlpm.result, _xlfn.XLOOKUP($B423, Result_Database!$A$2:$A$500, Result_Database!C$2:C$500),
  _xlfn.IFNA(_xlpm.result, "")
)</f>
        <v/>
      </c>
      <c r="E423" t="str">
        <f>_xlfn.LET(
  _xlpm.result, _xlfn.XLOOKUP($B423, Result_Database!$A$2:$A$500, Result_Database!D$2:D$500),
  _xlfn.IFNA(_xlpm.result, "")
)</f>
        <v/>
      </c>
      <c r="F423" t="str">
        <f>_xlfn.LET(
  _xlpm.result, _xlfn.XLOOKUP($B423, Result_Database!$A$2:$A$500, Result_Database!E$2:E$500),
  _xlfn.IFNA(_xlpm.result, "")
)</f>
        <v/>
      </c>
      <c r="G423" t="str">
        <f>_xlfn.LET(
  _xlpm.result, _xlfn.XLOOKUP($B423, Result_Database!$A$2:$A$500, Result_Database!F$2:F$500),
  _xlfn.IFNA(_xlpm.result, "")
)</f>
        <v/>
      </c>
      <c r="H423" t="str">
        <f>_xlfn.LET(
  _xlpm.result, _xlfn.XLOOKUP($B423, Result_Database!$A$2:$A$500, Result_Database!G$2:G$500),
  _xlfn.IFNA(_xlpm.result, "")
)</f>
        <v/>
      </c>
      <c r="I423" t="str">
        <f>_xlfn.LET(
  _xlpm.result, _xlfn.XLOOKUP($B423, Result_Database!$A$2:$A$500, Result_Database!H$2:H$500),
  _xlfn.IFNA(_xlpm.result, "")
)</f>
        <v/>
      </c>
      <c r="J423" t="str">
        <f>_xlfn.LET(
  _xlpm.result, _xlfn.XLOOKUP($B423, Result_Database!$A$2:$A$500, Result_Database!I$2:I$500),
  _xlfn.IFNA(_xlpm.result, "")
)</f>
        <v/>
      </c>
      <c r="K423" t="str">
        <f>_xlfn.LET(
  _xlpm.result, _xlfn.XLOOKUP($B423, Result_Database!$A$2:$A$500, Result_Database!J$2:J$500),
  _xlfn.IFNA(_xlpm.result, "")
)</f>
        <v/>
      </c>
      <c r="L423" t="str">
        <f>_xlfn.LET(
  _xlpm.result, _xlfn.XLOOKUP($B423, Result_Database!$A$2:$A$500, Result_Database!K$2:K$500),
  _xlfn.IFNA(_xlpm.result, "")
)</f>
        <v/>
      </c>
      <c r="M423" t="str">
        <f>_xlfn.LET(
  _xlpm.result, _xlfn.XLOOKUP($B423, Result_Database!$A$2:$A$500, Result_Database!L$2:L$500),
  _xlfn.IFNA(_xlpm.result, "")
)</f>
        <v/>
      </c>
      <c r="N423" t="str">
        <f>_xlfn.LET(
  _xlpm.result, _xlfn.XLOOKUP($B423, Result_Database!$A$2:$A$500, Result_Database!M$2:M$500),
  _xlfn.IFNA(_xlpm.result, "")
)</f>
        <v/>
      </c>
      <c r="O423" t="str">
        <f>_xlfn.LET(
  _xlpm.result, _xlfn.XLOOKUP($B423, Result_Database!$A$2:$A$500, Result_Database!N$2:N$500),
  _xlfn.IFNA(_xlpm.result, "")
)</f>
        <v/>
      </c>
      <c r="P423" t="str">
        <f>_xlfn.LET(
  _xlpm.result, _xlfn.XLOOKUP($B423, Result_Database!$A$2:$A$500, Result_Database!O$2:O$500),
  _xlfn.IFNA(_xlpm.result, "")
)</f>
        <v/>
      </c>
      <c r="Q423" t="str">
        <f>_xlfn.LET(
  _xlpm.result, _xlfn.XLOOKUP($B423, Result_Database!$A$2:$A$500, Result_Database!P$2:P$500),
  _xlfn.IFNA(_xlpm.result, "")
)</f>
        <v/>
      </c>
      <c r="R423" t="str">
        <f>_xlfn.LET(
  _xlpm.result, _xlfn.XLOOKUP($B423, Result_Database!$A$2:$A$500, Result_Database!Q$2:Q$500),
  _xlfn.IFNA(_xlpm.result, "")
)</f>
        <v/>
      </c>
      <c r="S423" t="str">
        <f>_xlfn.LET(
  _xlpm.result, _xlfn.XLOOKUP($B423, Result_Database!$A$2:$A$500, Result_Database!R$2:R$500),
  _xlfn.IFNA(_xlpm.result, "")
)</f>
        <v/>
      </c>
      <c r="T423" t="str">
        <f>_xlfn.LET(
  _xlpm.result, _xlfn.XLOOKUP($B423, Result_Database!$A$2:$A$500, Result_Database!S$2:S$500),
  _xlfn.IFNA(_xlpm.result, "")
)</f>
        <v/>
      </c>
      <c r="U423" t="str">
        <f>_xlfn.LET(
  _xlpm.result, _xlfn.XLOOKUP($B423, Result_Database!$A$2:$A$500, Result_Database!T$2:T$500),
  _xlfn.IFNA(_xlpm.result, "")
)</f>
        <v/>
      </c>
      <c r="V423" t="str">
        <f>_xlfn.LET(
  _xlpm.result, _xlfn.XLOOKUP($B423, Result_Database!$A$2:$A$500, Result_Database!U$2:U$500),
  _xlfn.IFNA(_xlpm.result, "")
)</f>
        <v/>
      </c>
      <c r="W423" t="str">
        <f>_xlfn.LET(
  _xlpm.result, _xlfn.XLOOKUP($B423, Result_Database!$A$2:$A$500, Result_Database!V$2:V$500),
  _xlfn.IFNA(_xlpm.result, "")
)</f>
        <v/>
      </c>
      <c r="X423" t="str">
        <f>_xlfn.LET(
  _xlpm.result, _xlfn.XLOOKUP($B423, Result_Database!$A$2:$A$500, Result_Database!W$2:W$500),
  _xlfn.IFNA(_xlpm.result, "")
)</f>
        <v/>
      </c>
      <c r="Y423" t="str">
        <f>_xlfn.LET(
  _xlpm.result, _xlfn.XLOOKUP($B423, Result_Database!$A$2:$A$500, Result_Database!X$2:X$500),
  _xlfn.IFNA(_xlpm.result, "")
)</f>
        <v/>
      </c>
      <c r="Z423" t="str">
        <f>_xlfn.LET(
  _xlpm.result, _xlfn.XLOOKUP($B423, Result_Database!$A$2:$A$500, Result_Database!Y$2:Y$500),
  _xlfn.IFNA(_xlpm.result, "")
)</f>
        <v/>
      </c>
      <c r="AA423" t="str">
        <f>_xlfn.LET(
  _xlpm.result, _xlfn.XLOOKUP($B423, Result_Database!$A$2:$A$500, Result_Database!Z$2:Z$500),
  _xlfn.IFNA(_xlpm.result, "")
)</f>
        <v/>
      </c>
      <c r="AB423" t="str">
        <f>_xlfn.LET(
  _xlpm.result, _xlfn.XLOOKUP($B423, Result_Database!$A$2:$A$500, Result_Database!AA$2:AA$500),
  _xlfn.IFNA(_xlpm.result, "")
)</f>
        <v/>
      </c>
      <c r="AC423" t="str">
        <f>_xlfn.LET(
  _xlpm.result, _xlfn.XLOOKUP($B423, Result_Database!$A$2:$A$500, Result_Database!AB$2:AB$500),
  _xlfn.IFNA(_xlpm.result, "")
)</f>
        <v/>
      </c>
      <c r="AD423" t="str">
        <f>_xlfn.LET(
  _xlpm.result, _xlfn.XLOOKUP($B423, Result_Database!$A$2:$A$500, Result_Database!AC$2:AC$500),
  _xlfn.IFNA(_xlpm.result, "")
)</f>
        <v/>
      </c>
      <c r="AE423" t="str">
        <f>_xlfn.LET(
  _xlpm.result, _xlfn.XLOOKUP($B423, Result_Database!$A$2:$A$500, Result_Database!AD$2:AD$500),
  _xlfn.IFNA(_xlpm.result, "")
)</f>
        <v/>
      </c>
      <c r="AF423" t="str">
        <f>_xlfn.LET(
  _xlpm.result, _xlfn.XLOOKUP($B423, Result_Database!$A$2:$A$500, Result_Database!AE$2:AE$500),
  _xlfn.IFNA(_xlpm.result, "")
)</f>
        <v/>
      </c>
      <c r="AG423" t="str">
        <f>_xlfn.LET(
  _xlpm.result, _xlfn.XLOOKUP($B423, Result_Database!$A$2:$A$500, Result_Database!AF$2:AF$500),
  _xlfn.IFNA(_xlpm.result, "")
)</f>
        <v/>
      </c>
      <c r="AH423" t="str">
        <f>_xlfn.LET(
  _xlpm.result, _xlfn.XLOOKUP($B423, Result_Database!$A$2:$A$500, Result_Database!AG$2:AG$500),
  _xlfn.IFNA(_xlpm.result, "")
)</f>
        <v/>
      </c>
      <c r="AI423" t="str">
        <f>_xlfn.LET(
  _xlpm.result, _xlfn.XLOOKUP($B423, Result_Database!$A$2:$A$500, Result_Database!AH$2:AH$500),
  _xlfn.IFNA(_xlpm.result, "")
)</f>
        <v/>
      </c>
      <c r="AJ423" t="str">
        <f>_xlfn.LET(
  _xlpm.result, _xlfn.XLOOKUP($B423, Result_Database!$A$2:$A$500, Result_Database!AI$2:AI$500),
  _xlfn.IFNA(_xlpm.result, "")
)</f>
        <v/>
      </c>
      <c r="AK423" t="str">
        <f>_xlfn.LET(
  _xlpm.result, _xlfn.XLOOKUP($B423, Result_Database!$A$2:$A$500, Result_Database!AJ$2:AJ$500),
  _xlfn.IFNA(_xlpm.result, "")
)</f>
        <v/>
      </c>
      <c r="AL423" t="str">
        <f>_xlfn.LET(
  _xlpm.result, _xlfn.XLOOKUP($B423, Result_Database!$A$2:$A$500, Result_Database!AK$2:AK$500),
  _xlfn.IFNA(_xlpm.result, "")
)</f>
        <v/>
      </c>
      <c r="AM42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2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2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2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2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2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2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2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2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23" t="str">
        <f>IF(SUM(Table5[[#This Row],[A1]:[C6]])&lt;&gt;0,SUM(Table5[[#This Row],[A1]:[C6]]),"")</f>
        <v/>
      </c>
      <c r="AW423" t="str">
        <f>IF(SUM(Table5[[#This Row],[D7]:[F9]])=0,"",SUM(Table5[[#This Row],[D7]:[F9]]))</f>
        <v/>
      </c>
      <c r="AX42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2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2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2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2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2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23" t="str">
        <f>IF(COUNTIF(Table5[[#This Row],[English Language]:[Electrical/ Electronics]],"WITHHELD")=0,"",COUNTIF(Table5[[#This Row],[English Language]:[Electrical/ Electronics]],"WITHHELD"))</f>
        <v/>
      </c>
      <c r="BE423" t="str">
        <f>IF(SUM(Table5[[#This Row],[NO OF CREDITS]:[BELOW CREDITS]])=0,"",SUM(Table5[[#This Row],[NO OF CREDITS]:[BELOW CREDITS]]))</f>
        <v/>
      </c>
    </row>
    <row r="424" spans="1:57" x14ac:dyDescent="0.3">
      <c r="A424" t="str">
        <f>IF(B424&lt;&gt;"",COUNTA($B$6:B424),"")</f>
        <v/>
      </c>
      <c r="B424" t="str">
        <f>IF(Result_Database!A420="","",Result_Database!A420)</f>
        <v/>
      </c>
      <c r="C424" t="str">
        <f>_xlfn.LET(
_xlpm.result,_xlfn.XLOOKUP($B424,Result_Database!$A$2:$A$500,Result_Database!$B$2:$B$500),
_xlfn.IFNA(_xlpm.result,"")
)</f>
        <v/>
      </c>
      <c r="D424" t="str">
        <f>_xlfn.LET(
  _xlpm.result, _xlfn.XLOOKUP($B424, Result_Database!$A$2:$A$500, Result_Database!C$2:C$500),
  _xlfn.IFNA(_xlpm.result, "")
)</f>
        <v/>
      </c>
      <c r="E424" t="str">
        <f>_xlfn.LET(
  _xlpm.result, _xlfn.XLOOKUP($B424, Result_Database!$A$2:$A$500, Result_Database!D$2:D$500),
  _xlfn.IFNA(_xlpm.result, "")
)</f>
        <v/>
      </c>
      <c r="F424" t="str">
        <f>_xlfn.LET(
  _xlpm.result, _xlfn.XLOOKUP($B424, Result_Database!$A$2:$A$500, Result_Database!E$2:E$500),
  _xlfn.IFNA(_xlpm.result, "")
)</f>
        <v/>
      </c>
      <c r="G424" t="str">
        <f>_xlfn.LET(
  _xlpm.result, _xlfn.XLOOKUP($B424, Result_Database!$A$2:$A$500, Result_Database!F$2:F$500),
  _xlfn.IFNA(_xlpm.result, "")
)</f>
        <v/>
      </c>
      <c r="H424" t="str">
        <f>_xlfn.LET(
  _xlpm.result, _xlfn.XLOOKUP($B424, Result_Database!$A$2:$A$500, Result_Database!G$2:G$500),
  _xlfn.IFNA(_xlpm.result, "")
)</f>
        <v/>
      </c>
      <c r="I424" t="str">
        <f>_xlfn.LET(
  _xlpm.result, _xlfn.XLOOKUP($B424, Result_Database!$A$2:$A$500, Result_Database!H$2:H$500),
  _xlfn.IFNA(_xlpm.result, "")
)</f>
        <v/>
      </c>
      <c r="J424" t="str">
        <f>_xlfn.LET(
  _xlpm.result, _xlfn.XLOOKUP($B424, Result_Database!$A$2:$A$500, Result_Database!I$2:I$500),
  _xlfn.IFNA(_xlpm.result, "")
)</f>
        <v/>
      </c>
      <c r="K424" t="str">
        <f>_xlfn.LET(
  _xlpm.result, _xlfn.XLOOKUP($B424, Result_Database!$A$2:$A$500, Result_Database!J$2:J$500),
  _xlfn.IFNA(_xlpm.result, "")
)</f>
        <v/>
      </c>
      <c r="L424" t="str">
        <f>_xlfn.LET(
  _xlpm.result, _xlfn.XLOOKUP($B424, Result_Database!$A$2:$A$500, Result_Database!K$2:K$500),
  _xlfn.IFNA(_xlpm.result, "")
)</f>
        <v/>
      </c>
      <c r="M424" t="str">
        <f>_xlfn.LET(
  _xlpm.result, _xlfn.XLOOKUP($B424, Result_Database!$A$2:$A$500, Result_Database!L$2:L$500),
  _xlfn.IFNA(_xlpm.result, "")
)</f>
        <v/>
      </c>
      <c r="N424" t="str">
        <f>_xlfn.LET(
  _xlpm.result, _xlfn.XLOOKUP($B424, Result_Database!$A$2:$A$500, Result_Database!M$2:M$500),
  _xlfn.IFNA(_xlpm.result, "")
)</f>
        <v/>
      </c>
      <c r="O424" t="str">
        <f>_xlfn.LET(
  _xlpm.result, _xlfn.XLOOKUP($B424, Result_Database!$A$2:$A$500, Result_Database!N$2:N$500),
  _xlfn.IFNA(_xlpm.result, "")
)</f>
        <v/>
      </c>
      <c r="P424" t="str">
        <f>_xlfn.LET(
  _xlpm.result, _xlfn.XLOOKUP($B424, Result_Database!$A$2:$A$500, Result_Database!O$2:O$500),
  _xlfn.IFNA(_xlpm.result, "")
)</f>
        <v/>
      </c>
      <c r="Q424" t="str">
        <f>_xlfn.LET(
  _xlpm.result, _xlfn.XLOOKUP($B424, Result_Database!$A$2:$A$500, Result_Database!P$2:P$500),
  _xlfn.IFNA(_xlpm.result, "")
)</f>
        <v/>
      </c>
      <c r="R424" t="str">
        <f>_xlfn.LET(
  _xlpm.result, _xlfn.XLOOKUP($B424, Result_Database!$A$2:$A$500, Result_Database!Q$2:Q$500),
  _xlfn.IFNA(_xlpm.result, "")
)</f>
        <v/>
      </c>
      <c r="S424" t="str">
        <f>_xlfn.LET(
  _xlpm.result, _xlfn.XLOOKUP($B424, Result_Database!$A$2:$A$500, Result_Database!R$2:R$500),
  _xlfn.IFNA(_xlpm.result, "")
)</f>
        <v/>
      </c>
      <c r="T424" t="str">
        <f>_xlfn.LET(
  _xlpm.result, _xlfn.XLOOKUP($B424, Result_Database!$A$2:$A$500, Result_Database!S$2:S$500),
  _xlfn.IFNA(_xlpm.result, "")
)</f>
        <v/>
      </c>
      <c r="U424" t="str">
        <f>_xlfn.LET(
  _xlpm.result, _xlfn.XLOOKUP($B424, Result_Database!$A$2:$A$500, Result_Database!T$2:T$500),
  _xlfn.IFNA(_xlpm.result, "")
)</f>
        <v/>
      </c>
      <c r="V424" t="str">
        <f>_xlfn.LET(
  _xlpm.result, _xlfn.XLOOKUP($B424, Result_Database!$A$2:$A$500, Result_Database!U$2:U$500),
  _xlfn.IFNA(_xlpm.result, "")
)</f>
        <v/>
      </c>
      <c r="W424" t="str">
        <f>_xlfn.LET(
  _xlpm.result, _xlfn.XLOOKUP($B424, Result_Database!$A$2:$A$500, Result_Database!V$2:V$500),
  _xlfn.IFNA(_xlpm.result, "")
)</f>
        <v/>
      </c>
      <c r="X424" t="str">
        <f>_xlfn.LET(
  _xlpm.result, _xlfn.XLOOKUP($B424, Result_Database!$A$2:$A$500, Result_Database!W$2:W$500),
  _xlfn.IFNA(_xlpm.result, "")
)</f>
        <v/>
      </c>
      <c r="Y424" t="str">
        <f>_xlfn.LET(
  _xlpm.result, _xlfn.XLOOKUP($B424, Result_Database!$A$2:$A$500, Result_Database!X$2:X$500),
  _xlfn.IFNA(_xlpm.result, "")
)</f>
        <v/>
      </c>
      <c r="Z424" t="str">
        <f>_xlfn.LET(
  _xlpm.result, _xlfn.XLOOKUP($B424, Result_Database!$A$2:$A$500, Result_Database!Y$2:Y$500),
  _xlfn.IFNA(_xlpm.result, "")
)</f>
        <v/>
      </c>
      <c r="AA424" t="str">
        <f>_xlfn.LET(
  _xlpm.result, _xlfn.XLOOKUP($B424, Result_Database!$A$2:$A$500, Result_Database!Z$2:Z$500),
  _xlfn.IFNA(_xlpm.result, "")
)</f>
        <v/>
      </c>
      <c r="AB424" t="str">
        <f>_xlfn.LET(
  _xlpm.result, _xlfn.XLOOKUP($B424, Result_Database!$A$2:$A$500, Result_Database!AA$2:AA$500),
  _xlfn.IFNA(_xlpm.result, "")
)</f>
        <v/>
      </c>
      <c r="AC424" t="str">
        <f>_xlfn.LET(
  _xlpm.result, _xlfn.XLOOKUP($B424, Result_Database!$A$2:$A$500, Result_Database!AB$2:AB$500),
  _xlfn.IFNA(_xlpm.result, "")
)</f>
        <v/>
      </c>
      <c r="AD424" t="str">
        <f>_xlfn.LET(
  _xlpm.result, _xlfn.XLOOKUP($B424, Result_Database!$A$2:$A$500, Result_Database!AC$2:AC$500),
  _xlfn.IFNA(_xlpm.result, "")
)</f>
        <v/>
      </c>
      <c r="AE424" t="str">
        <f>_xlfn.LET(
  _xlpm.result, _xlfn.XLOOKUP($B424, Result_Database!$A$2:$A$500, Result_Database!AD$2:AD$500),
  _xlfn.IFNA(_xlpm.result, "")
)</f>
        <v/>
      </c>
      <c r="AF424" t="str">
        <f>_xlfn.LET(
  _xlpm.result, _xlfn.XLOOKUP($B424, Result_Database!$A$2:$A$500, Result_Database!AE$2:AE$500),
  _xlfn.IFNA(_xlpm.result, "")
)</f>
        <v/>
      </c>
      <c r="AG424" t="str">
        <f>_xlfn.LET(
  _xlpm.result, _xlfn.XLOOKUP($B424, Result_Database!$A$2:$A$500, Result_Database!AF$2:AF$500),
  _xlfn.IFNA(_xlpm.result, "")
)</f>
        <v/>
      </c>
      <c r="AH424" t="str">
        <f>_xlfn.LET(
  _xlpm.result, _xlfn.XLOOKUP($B424, Result_Database!$A$2:$A$500, Result_Database!AG$2:AG$500),
  _xlfn.IFNA(_xlpm.result, "")
)</f>
        <v/>
      </c>
      <c r="AI424" t="str">
        <f>_xlfn.LET(
  _xlpm.result, _xlfn.XLOOKUP($B424, Result_Database!$A$2:$A$500, Result_Database!AH$2:AH$500),
  _xlfn.IFNA(_xlpm.result, "")
)</f>
        <v/>
      </c>
      <c r="AJ424" t="str">
        <f>_xlfn.LET(
  _xlpm.result, _xlfn.XLOOKUP($B424, Result_Database!$A$2:$A$500, Result_Database!AI$2:AI$500),
  _xlfn.IFNA(_xlpm.result, "")
)</f>
        <v/>
      </c>
      <c r="AK424" t="str">
        <f>_xlfn.LET(
  _xlpm.result, _xlfn.XLOOKUP($B424, Result_Database!$A$2:$A$500, Result_Database!AJ$2:AJ$500),
  _xlfn.IFNA(_xlpm.result, "")
)</f>
        <v/>
      </c>
      <c r="AL424" t="str">
        <f>_xlfn.LET(
  _xlpm.result, _xlfn.XLOOKUP($B424, Result_Database!$A$2:$A$500, Result_Database!AK$2:AK$500),
  _xlfn.IFNA(_xlpm.result, "")
)</f>
        <v/>
      </c>
      <c r="AM42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2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2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2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2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2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2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2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2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24" t="str">
        <f>IF(SUM(Table5[[#This Row],[A1]:[C6]])&lt;&gt;0,SUM(Table5[[#This Row],[A1]:[C6]]),"")</f>
        <v/>
      </c>
      <c r="AW424" t="str">
        <f>IF(SUM(Table5[[#This Row],[D7]:[F9]])=0,"",SUM(Table5[[#This Row],[D7]:[F9]]))</f>
        <v/>
      </c>
      <c r="AX42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2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2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2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2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2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24" t="str">
        <f>IF(COUNTIF(Table5[[#This Row],[English Language]:[Electrical/ Electronics]],"WITHHELD")=0,"",COUNTIF(Table5[[#This Row],[English Language]:[Electrical/ Electronics]],"WITHHELD"))</f>
        <v/>
      </c>
      <c r="BE424" t="str">
        <f>IF(SUM(Table5[[#This Row],[NO OF CREDITS]:[BELOW CREDITS]])=0,"",SUM(Table5[[#This Row],[NO OF CREDITS]:[BELOW CREDITS]]))</f>
        <v/>
      </c>
    </row>
    <row r="425" spans="1:57" x14ac:dyDescent="0.3">
      <c r="A425" t="str">
        <f>IF(B425&lt;&gt;"",COUNTA($B$6:B425),"")</f>
        <v/>
      </c>
      <c r="B425" t="str">
        <f>IF(Result_Database!A421="","",Result_Database!A421)</f>
        <v/>
      </c>
      <c r="C425" t="str">
        <f>_xlfn.LET(
_xlpm.result,_xlfn.XLOOKUP($B425,Result_Database!$A$2:$A$500,Result_Database!$B$2:$B$500),
_xlfn.IFNA(_xlpm.result,"")
)</f>
        <v/>
      </c>
      <c r="D425" t="str">
        <f>_xlfn.LET(
  _xlpm.result, _xlfn.XLOOKUP($B425, Result_Database!$A$2:$A$500, Result_Database!C$2:C$500),
  _xlfn.IFNA(_xlpm.result, "")
)</f>
        <v/>
      </c>
      <c r="E425" t="str">
        <f>_xlfn.LET(
  _xlpm.result, _xlfn.XLOOKUP($B425, Result_Database!$A$2:$A$500, Result_Database!D$2:D$500),
  _xlfn.IFNA(_xlpm.result, "")
)</f>
        <v/>
      </c>
      <c r="F425" t="str">
        <f>_xlfn.LET(
  _xlpm.result, _xlfn.XLOOKUP($B425, Result_Database!$A$2:$A$500, Result_Database!E$2:E$500),
  _xlfn.IFNA(_xlpm.result, "")
)</f>
        <v/>
      </c>
      <c r="G425" t="str">
        <f>_xlfn.LET(
  _xlpm.result, _xlfn.XLOOKUP($B425, Result_Database!$A$2:$A$500, Result_Database!F$2:F$500),
  _xlfn.IFNA(_xlpm.result, "")
)</f>
        <v/>
      </c>
      <c r="H425" t="str">
        <f>_xlfn.LET(
  _xlpm.result, _xlfn.XLOOKUP($B425, Result_Database!$A$2:$A$500, Result_Database!G$2:G$500),
  _xlfn.IFNA(_xlpm.result, "")
)</f>
        <v/>
      </c>
      <c r="I425" t="str">
        <f>_xlfn.LET(
  _xlpm.result, _xlfn.XLOOKUP($B425, Result_Database!$A$2:$A$500, Result_Database!H$2:H$500),
  _xlfn.IFNA(_xlpm.result, "")
)</f>
        <v/>
      </c>
      <c r="J425" t="str">
        <f>_xlfn.LET(
  _xlpm.result, _xlfn.XLOOKUP($B425, Result_Database!$A$2:$A$500, Result_Database!I$2:I$500),
  _xlfn.IFNA(_xlpm.result, "")
)</f>
        <v/>
      </c>
      <c r="K425" t="str">
        <f>_xlfn.LET(
  _xlpm.result, _xlfn.XLOOKUP($B425, Result_Database!$A$2:$A$500, Result_Database!J$2:J$500),
  _xlfn.IFNA(_xlpm.result, "")
)</f>
        <v/>
      </c>
      <c r="L425" t="str">
        <f>_xlfn.LET(
  _xlpm.result, _xlfn.XLOOKUP($B425, Result_Database!$A$2:$A$500, Result_Database!K$2:K$500),
  _xlfn.IFNA(_xlpm.result, "")
)</f>
        <v/>
      </c>
      <c r="M425" t="str">
        <f>_xlfn.LET(
  _xlpm.result, _xlfn.XLOOKUP($B425, Result_Database!$A$2:$A$500, Result_Database!L$2:L$500),
  _xlfn.IFNA(_xlpm.result, "")
)</f>
        <v/>
      </c>
      <c r="N425" t="str">
        <f>_xlfn.LET(
  _xlpm.result, _xlfn.XLOOKUP($B425, Result_Database!$A$2:$A$500, Result_Database!M$2:M$500),
  _xlfn.IFNA(_xlpm.result, "")
)</f>
        <v/>
      </c>
      <c r="O425" t="str">
        <f>_xlfn.LET(
  _xlpm.result, _xlfn.XLOOKUP($B425, Result_Database!$A$2:$A$500, Result_Database!N$2:N$500),
  _xlfn.IFNA(_xlpm.result, "")
)</f>
        <v/>
      </c>
      <c r="P425" t="str">
        <f>_xlfn.LET(
  _xlpm.result, _xlfn.XLOOKUP($B425, Result_Database!$A$2:$A$500, Result_Database!O$2:O$500),
  _xlfn.IFNA(_xlpm.result, "")
)</f>
        <v/>
      </c>
      <c r="Q425" t="str">
        <f>_xlfn.LET(
  _xlpm.result, _xlfn.XLOOKUP($B425, Result_Database!$A$2:$A$500, Result_Database!P$2:P$500),
  _xlfn.IFNA(_xlpm.result, "")
)</f>
        <v/>
      </c>
      <c r="R425" t="str">
        <f>_xlfn.LET(
  _xlpm.result, _xlfn.XLOOKUP($B425, Result_Database!$A$2:$A$500, Result_Database!Q$2:Q$500),
  _xlfn.IFNA(_xlpm.result, "")
)</f>
        <v/>
      </c>
      <c r="S425" t="str">
        <f>_xlfn.LET(
  _xlpm.result, _xlfn.XLOOKUP($B425, Result_Database!$A$2:$A$500, Result_Database!R$2:R$500),
  _xlfn.IFNA(_xlpm.result, "")
)</f>
        <v/>
      </c>
      <c r="T425" t="str">
        <f>_xlfn.LET(
  _xlpm.result, _xlfn.XLOOKUP($B425, Result_Database!$A$2:$A$500, Result_Database!S$2:S$500),
  _xlfn.IFNA(_xlpm.result, "")
)</f>
        <v/>
      </c>
      <c r="U425" t="str">
        <f>_xlfn.LET(
  _xlpm.result, _xlfn.XLOOKUP($B425, Result_Database!$A$2:$A$500, Result_Database!T$2:T$500),
  _xlfn.IFNA(_xlpm.result, "")
)</f>
        <v/>
      </c>
      <c r="V425" t="str">
        <f>_xlfn.LET(
  _xlpm.result, _xlfn.XLOOKUP($B425, Result_Database!$A$2:$A$500, Result_Database!U$2:U$500),
  _xlfn.IFNA(_xlpm.result, "")
)</f>
        <v/>
      </c>
      <c r="W425" t="str">
        <f>_xlfn.LET(
  _xlpm.result, _xlfn.XLOOKUP($B425, Result_Database!$A$2:$A$500, Result_Database!V$2:V$500),
  _xlfn.IFNA(_xlpm.result, "")
)</f>
        <v/>
      </c>
      <c r="X425" t="str">
        <f>_xlfn.LET(
  _xlpm.result, _xlfn.XLOOKUP($B425, Result_Database!$A$2:$A$500, Result_Database!W$2:W$500),
  _xlfn.IFNA(_xlpm.result, "")
)</f>
        <v/>
      </c>
      <c r="Y425" t="str">
        <f>_xlfn.LET(
  _xlpm.result, _xlfn.XLOOKUP($B425, Result_Database!$A$2:$A$500, Result_Database!X$2:X$500),
  _xlfn.IFNA(_xlpm.result, "")
)</f>
        <v/>
      </c>
      <c r="Z425" t="str">
        <f>_xlfn.LET(
  _xlpm.result, _xlfn.XLOOKUP($B425, Result_Database!$A$2:$A$500, Result_Database!Y$2:Y$500),
  _xlfn.IFNA(_xlpm.result, "")
)</f>
        <v/>
      </c>
      <c r="AA425" t="str">
        <f>_xlfn.LET(
  _xlpm.result, _xlfn.XLOOKUP($B425, Result_Database!$A$2:$A$500, Result_Database!Z$2:Z$500),
  _xlfn.IFNA(_xlpm.result, "")
)</f>
        <v/>
      </c>
      <c r="AB425" t="str">
        <f>_xlfn.LET(
  _xlpm.result, _xlfn.XLOOKUP($B425, Result_Database!$A$2:$A$500, Result_Database!AA$2:AA$500),
  _xlfn.IFNA(_xlpm.result, "")
)</f>
        <v/>
      </c>
      <c r="AC425" t="str">
        <f>_xlfn.LET(
  _xlpm.result, _xlfn.XLOOKUP($B425, Result_Database!$A$2:$A$500, Result_Database!AB$2:AB$500),
  _xlfn.IFNA(_xlpm.result, "")
)</f>
        <v/>
      </c>
      <c r="AD425" t="str">
        <f>_xlfn.LET(
  _xlpm.result, _xlfn.XLOOKUP($B425, Result_Database!$A$2:$A$500, Result_Database!AC$2:AC$500),
  _xlfn.IFNA(_xlpm.result, "")
)</f>
        <v/>
      </c>
      <c r="AE425" t="str">
        <f>_xlfn.LET(
  _xlpm.result, _xlfn.XLOOKUP($B425, Result_Database!$A$2:$A$500, Result_Database!AD$2:AD$500),
  _xlfn.IFNA(_xlpm.result, "")
)</f>
        <v/>
      </c>
      <c r="AF425" t="str">
        <f>_xlfn.LET(
  _xlpm.result, _xlfn.XLOOKUP($B425, Result_Database!$A$2:$A$500, Result_Database!AE$2:AE$500),
  _xlfn.IFNA(_xlpm.result, "")
)</f>
        <v/>
      </c>
      <c r="AG425" t="str">
        <f>_xlfn.LET(
  _xlpm.result, _xlfn.XLOOKUP($B425, Result_Database!$A$2:$A$500, Result_Database!AF$2:AF$500),
  _xlfn.IFNA(_xlpm.result, "")
)</f>
        <v/>
      </c>
      <c r="AH425" t="str">
        <f>_xlfn.LET(
  _xlpm.result, _xlfn.XLOOKUP($B425, Result_Database!$A$2:$A$500, Result_Database!AG$2:AG$500),
  _xlfn.IFNA(_xlpm.result, "")
)</f>
        <v/>
      </c>
      <c r="AI425" t="str">
        <f>_xlfn.LET(
  _xlpm.result, _xlfn.XLOOKUP($B425, Result_Database!$A$2:$A$500, Result_Database!AH$2:AH$500),
  _xlfn.IFNA(_xlpm.result, "")
)</f>
        <v/>
      </c>
      <c r="AJ425" t="str">
        <f>_xlfn.LET(
  _xlpm.result, _xlfn.XLOOKUP($B425, Result_Database!$A$2:$A$500, Result_Database!AI$2:AI$500),
  _xlfn.IFNA(_xlpm.result, "")
)</f>
        <v/>
      </c>
      <c r="AK425" t="str">
        <f>_xlfn.LET(
  _xlpm.result, _xlfn.XLOOKUP($B425, Result_Database!$A$2:$A$500, Result_Database!AJ$2:AJ$500),
  _xlfn.IFNA(_xlpm.result, "")
)</f>
        <v/>
      </c>
      <c r="AL425" t="str">
        <f>_xlfn.LET(
  _xlpm.result, _xlfn.XLOOKUP($B425, Result_Database!$A$2:$A$500, Result_Database!AK$2:AK$500),
  _xlfn.IFNA(_xlpm.result, "")
)</f>
        <v/>
      </c>
      <c r="AM42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2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2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2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2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2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2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2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2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25" t="str">
        <f>IF(SUM(Table5[[#This Row],[A1]:[C6]])&lt;&gt;0,SUM(Table5[[#This Row],[A1]:[C6]]),"")</f>
        <v/>
      </c>
      <c r="AW425" t="str">
        <f>IF(SUM(Table5[[#This Row],[D7]:[F9]])=0,"",SUM(Table5[[#This Row],[D7]:[F9]]))</f>
        <v/>
      </c>
      <c r="AX42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2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2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2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2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2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25" t="str">
        <f>IF(COUNTIF(Table5[[#This Row],[English Language]:[Electrical/ Electronics]],"WITHHELD")=0,"",COUNTIF(Table5[[#This Row],[English Language]:[Electrical/ Electronics]],"WITHHELD"))</f>
        <v/>
      </c>
      <c r="BE425" t="str">
        <f>IF(SUM(Table5[[#This Row],[NO OF CREDITS]:[BELOW CREDITS]])=0,"",SUM(Table5[[#This Row],[NO OF CREDITS]:[BELOW CREDITS]]))</f>
        <v/>
      </c>
    </row>
    <row r="426" spans="1:57" x14ac:dyDescent="0.3">
      <c r="A426" t="str">
        <f>IF(B426&lt;&gt;"",COUNTA($B$6:B426),"")</f>
        <v/>
      </c>
      <c r="B426" t="str">
        <f>IF(Result_Database!A422="","",Result_Database!A422)</f>
        <v/>
      </c>
      <c r="C426" t="str">
        <f>_xlfn.LET(
_xlpm.result,_xlfn.XLOOKUP($B426,Result_Database!$A$2:$A$500,Result_Database!$B$2:$B$500),
_xlfn.IFNA(_xlpm.result,"")
)</f>
        <v/>
      </c>
      <c r="D426" t="str">
        <f>_xlfn.LET(
  _xlpm.result, _xlfn.XLOOKUP($B426, Result_Database!$A$2:$A$500, Result_Database!C$2:C$500),
  _xlfn.IFNA(_xlpm.result, "")
)</f>
        <v/>
      </c>
      <c r="E426" t="str">
        <f>_xlfn.LET(
  _xlpm.result, _xlfn.XLOOKUP($B426, Result_Database!$A$2:$A$500, Result_Database!D$2:D$500),
  _xlfn.IFNA(_xlpm.result, "")
)</f>
        <v/>
      </c>
      <c r="F426" t="str">
        <f>_xlfn.LET(
  _xlpm.result, _xlfn.XLOOKUP($B426, Result_Database!$A$2:$A$500, Result_Database!E$2:E$500),
  _xlfn.IFNA(_xlpm.result, "")
)</f>
        <v/>
      </c>
      <c r="G426" t="str">
        <f>_xlfn.LET(
  _xlpm.result, _xlfn.XLOOKUP($B426, Result_Database!$A$2:$A$500, Result_Database!F$2:F$500),
  _xlfn.IFNA(_xlpm.result, "")
)</f>
        <v/>
      </c>
      <c r="H426" t="str">
        <f>_xlfn.LET(
  _xlpm.result, _xlfn.XLOOKUP($B426, Result_Database!$A$2:$A$500, Result_Database!G$2:G$500),
  _xlfn.IFNA(_xlpm.result, "")
)</f>
        <v/>
      </c>
      <c r="I426" t="str">
        <f>_xlfn.LET(
  _xlpm.result, _xlfn.XLOOKUP($B426, Result_Database!$A$2:$A$500, Result_Database!H$2:H$500),
  _xlfn.IFNA(_xlpm.result, "")
)</f>
        <v/>
      </c>
      <c r="J426" t="str">
        <f>_xlfn.LET(
  _xlpm.result, _xlfn.XLOOKUP($B426, Result_Database!$A$2:$A$500, Result_Database!I$2:I$500),
  _xlfn.IFNA(_xlpm.result, "")
)</f>
        <v/>
      </c>
      <c r="K426" t="str">
        <f>_xlfn.LET(
  _xlpm.result, _xlfn.XLOOKUP($B426, Result_Database!$A$2:$A$500, Result_Database!J$2:J$500),
  _xlfn.IFNA(_xlpm.result, "")
)</f>
        <v/>
      </c>
      <c r="L426" t="str">
        <f>_xlfn.LET(
  _xlpm.result, _xlfn.XLOOKUP($B426, Result_Database!$A$2:$A$500, Result_Database!K$2:K$500),
  _xlfn.IFNA(_xlpm.result, "")
)</f>
        <v/>
      </c>
      <c r="M426" t="str">
        <f>_xlfn.LET(
  _xlpm.result, _xlfn.XLOOKUP($B426, Result_Database!$A$2:$A$500, Result_Database!L$2:L$500),
  _xlfn.IFNA(_xlpm.result, "")
)</f>
        <v/>
      </c>
      <c r="N426" t="str">
        <f>_xlfn.LET(
  _xlpm.result, _xlfn.XLOOKUP($B426, Result_Database!$A$2:$A$500, Result_Database!M$2:M$500),
  _xlfn.IFNA(_xlpm.result, "")
)</f>
        <v/>
      </c>
      <c r="O426" t="str">
        <f>_xlfn.LET(
  _xlpm.result, _xlfn.XLOOKUP($B426, Result_Database!$A$2:$A$500, Result_Database!N$2:N$500),
  _xlfn.IFNA(_xlpm.result, "")
)</f>
        <v/>
      </c>
      <c r="P426" t="str">
        <f>_xlfn.LET(
  _xlpm.result, _xlfn.XLOOKUP($B426, Result_Database!$A$2:$A$500, Result_Database!O$2:O$500),
  _xlfn.IFNA(_xlpm.result, "")
)</f>
        <v/>
      </c>
      <c r="Q426" t="str">
        <f>_xlfn.LET(
  _xlpm.result, _xlfn.XLOOKUP($B426, Result_Database!$A$2:$A$500, Result_Database!P$2:P$500),
  _xlfn.IFNA(_xlpm.result, "")
)</f>
        <v/>
      </c>
      <c r="R426" t="str">
        <f>_xlfn.LET(
  _xlpm.result, _xlfn.XLOOKUP($B426, Result_Database!$A$2:$A$500, Result_Database!Q$2:Q$500),
  _xlfn.IFNA(_xlpm.result, "")
)</f>
        <v/>
      </c>
      <c r="S426" t="str">
        <f>_xlfn.LET(
  _xlpm.result, _xlfn.XLOOKUP($B426, Result_Database!$A$2:$A$500, Result_Database!R$2:R$500),
  _xlfn.IFNA(_xlpm.result, "")
)</f>
        <v/>
      </c>
      <c r="T426" t="str">
        <f>_xlfn.LET(
  _xlpm.result, _xlfn.XLOOKUP($B426, Result_Database!$A$2:$A$500, Result_Database!S$2:S$500),
  _xlfn.IFNA(_xlpm.result, "")
)</f>
        <v/>
      </c>
      <c r="U426" t="str">
        <f>_xlfn.LET(
  _xlpm.result, _xlfn.XLOOKUP($B426, Result_Database!$A$2:$A$500, Result_Database!T$2:T$500),
  _xlfn.IFNA(_xlpm.result, "")
)</f>
        <v/>
      </c>
      <c r="V426" t="str">
        <f>_xlfn.LET(
  _xlpm.result, _xlfn.XLOOKUP($B426, Result_Database!$A$2:$A$500, Result_Database!U$2:U$500),
  _xlfn.IFNA(_xlpm.result, "")
)</f>
        <v/>
      </c>
      <c r="W426" t="str">
        <f>_xlfn.LET(
  _xlpm.result, _xlfn.XLOOKUP($B426, Result_Database!$A$2:$A$500, Result_Database!V$2:V$500),
  _xlfn.IFNA(_xlpm.result, "")
)</f>
        <v/>
      </c>
      <c r="X426" t="str">
        <f>_xlfn.LET(
  _xlpm.result, _xlfn.XLOOKUP($B426, Result_Database!$A$2:$A$500, Result_Database!W$2:W$500),
  _xlfn.IFNA(_xlpm.result, "")
)</f>
        <v/>
      </c>
      <c r="Y426" t="str">
        <f>_xlfn.LET(
  _xlpm.result, _xlfn.XLOOKUP($B426, Result_Database!$A$2:$A$500, Result_Database!X$2:X$500),
  _xlfn.IFNA(_xlpm.result, "")
)</f>
        <v/>
      </c>
      <c r="Z426" t="str">
        <f>_xlfn.LET(
  _xlpm.result, _xlfn.XLOOKUP($B426, Result_Database!$A$2:$A$500, Result_Database!Y$2:Y$500),
  _xlfn.IFNA(_xlpm.result, "")
)</f>
        <v/>
      </c>
      <c r="AA426" t="str">
        <f>_xlfn.LET(
  _xlpm.result, _xlfn.XLOOKUP($B426, Result_Database!$A$2:$A$500, Result_Database!Z$2:Z$500),
  _xlfn.IFNA(_xlpm.result, "")
)</f>
        <v/>
      </c>
      <c r="AB426" t="str">
        <f>_xlfn.LET(
  _xlpm.result, _xlfn.XLOOKUP($B426, Result_Database!$A$2:$A$500, Result_Database!AA$2:AA$500),
  _xlfn.IFNA(_xlpm.result, "")
)</f>
        <v/>
      </c>
      <c r="AC426" t="str">
        <f>_xlfn.LET(
  _xlpm.result, _xlfn.XLOOKUP($B426, Result_Database!$A$2:$A$500, Result_Database!AB$2:AB$500),
  _xlfn.IFNA(_xlpm.result, "")
)</f>
        <v/>
      </c>
      <c r="AD426" t="str">
        <f>_xlfn.LET(
  _xlpm.result, _xlfn.XLOOKUP($B426, Result_Database!$A$2:$A$500, Result_Database!AC$2:AC$500),
  _xlfn.IFNA(_xlpm.result, "")
)</f>
        <v/>
      </c>
      <c r="AE426" t="str">
        <f>_xlfn.LET(
  _xlpm.result, _xlfn.XLOOKUP($B426, Result_Database!$A$2:$A$500, Result_Database!AD$2:AD$500),
  _xlfn.IFNA(_xlpm.result, "")
)</f>
        <v/>
      </c>
      <c r="AF426" t="str">
        <f>_xlfn.LET(
  _xlpm.result, _xlfn.XLOOKUP($B426, Result_Database!$A$2:$A$500, Result_Database!AE$2:AE$500),
  _xlfn.IFNA(_xlpm.result, "")
)</f>
        <v/>
      </c>
      <c r="AG426" t="str">
        <f>_xlfn.LET(
  _xlpm.result, _xlfn.XLOOKUP($B426, Result_Database!$A$2:$A$500, Result_Database!AF$2:AF$500),
  _xlfn.IFNA(_xlpm.result, "")
)</f>
        <v/>
      </c>
      <c r="AH426" t="str">
        <f>_xlfn.LET(
  _xlpm.result, _xlfn.XLOOKUP($B426, Result_Database!$A$2:$A$500, Result_Database!AG$2:AG$500),
  _xlfn.IFNA(_xlpm.result, "")
)</f>
        <v/>
      </c>
      <c r="AI426" t="str">
        <f>_xlfn.LET(
  _xlpm.result, _xlfn.XLOOKUP($B426, Result_Database!$A$2:$A$500, Result_Database!AH$2:AH$500),
  _xlfn.IFNA(_xlpm.result, "")
)</f>
        <v/>
      </c>
      <c r="AJ426" t="str">
        <f>_xlfn.LET(
  _xlpm.result, _xlfn.XLOOKUP($B426, Result_Database!$A$2:$A$500, Result_Database!AI$2:AI$500),
  _xlfn.IFNA(_xlpm.result, "")
)</f>
        <v/>
      </c>
      <c r="AK426" t="str">
        <f>_xlfn.LET(
  _xlpm.result, _xlfn.XLOOKUP($B426, Result_Database!$A$2:$A$500, Result_Database!AJ$2:AJ$500),
  _xlfn.IFNA(_xlpm.result, "")
)</f>
        <v/>
      </c>
      <c r="AL426" t="str">
        <f>_xlfn.LET(
  _xlpm.result, _xlfn.XLOOKUP($B426, Result_Database!$A$2:$A$500, Result_Database!AK$2:AK$500),
  _xlfn.IFNA(_xlpm.result, "")
)</f>
        <v/>
      </c>
      <c r="AM42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2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2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2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2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2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2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2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2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26" t="str">
        <f>IF(SUM(Table5[[#This Row],[A1]:[C6]])&lt;&gt;0,SUM(Table5[[#This Row],[A1]:[C6]]),"")</f>
        <v/>
      </c>
      <c r="AW426" t="str">
        <f>IF(SUM(Table5[[#This Row],[D7]:[F9]])=0,"",SUM(Table5[[#This Row],[D7]:[F9]]))</f>
        <v/>
      </c>
      <c r="AX42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2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2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2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2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2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26" t="str">
        <f>IF(COUNTIF(Table5[[#This Row],[English Language]:[Electrical/ Electronics]],"WITHHELD")=0,"",COUNTIF(Table5[[#This Row],[English Language]:[Electrical/ Electronics]],"WITHHELD"))</f>
        <v/>
      </c>
      <c r="BE426" t="str">
        <f>IF(SUM(Table5[[#This Row],[NO OF CREDITS]:[BELOW CREDITS]])=0,"",SUM(Table5[[#This Row],[NO OF CREDITS]:[BELOW CREDITS]]))</f>
        <v/>
      </c>
    </row>
    <row r="427" spans="1:57" x14ac:dyDescent="0.3">
      <c r="A427" t="str">
        <f>IF(B427&lt;&gt;"",COUNTA($B$6:B427),"")</f>
        <v/>
      </c>
      <c r="B427" t="str">
        <f>IF(Result_Database!A423="","",Result_Database!A423)</f>
        <v/>
      </c>
      <c r="C427" t="str">
        <f>_xlfn.LET(
_xlpm.result,_xlfn.XLOOKUP($B427,Result_Database!$A$2:$A$500,Result_Database!$B$2:$B$500),
_xlfn.IFNA(_xlpm.result,"")
)</f>
        <v/>
      </c>
      <c r="D427" t="str">
        <f>_xlfn.LET(
  _xlpm.result, _xlfn.XLOOKUP($B427, Result_Database!$A$2:$A$500, Result_Database!C$2:C$500),
  _xlfn.IFNA(_xlpm.result, "")
)</f>
        <v/>
      </c>
      <c r="E427" t="str">
        <f>_xlfn.LET(
  _xlpm.result, _xlfn.XLOOKUP($B427, Result_Database!$A$2:$A$500, Result_Database!D$2:D$500),
  _xlfn.IFNA(_xlpm.result, "")
)</f>
        <v/>
      </c>
      <c r="F427" t="str">
        <f>_xlfn.LET(
  _xlpm.result, _xlfn.XLOOKUP($B427, Result_Database!$A$2:$A$500, Result_Database!E$2:E$500),
  _xlfn.IFNA(_xlpm.result, "")
)</f>
        <v/>
      </c>
      <c r="G427" t="str">
        <f>_xlfn.LET(
  _xlpm.result, _xlfn.XLOOKUP($B427, Result_Database!$A$2:$A$500, Result_Database!F$2:F$500),
  _xlfn.IFNA(_xlpm.result, "")
)</f>
        <v/>
      </c>
      <c r="H427" t="str">
        <f>_xlfn.LET(
  _xlpm.result, _xlfn.XLOOKUP($B427, Result_Database!$A$2:$A$500, Result_Database!G$2:G$500),
  _xlfn.IFNA(_xlpm.result, "")
)</f>
        <v/>
      </c>
      <c r="I427" t="str">
        <f>_xlfn.LET(
  _xlpm.result, _xlfn.XLOOKUP($B427, Result_Database!$A$2:$A$500, Result_Database!H$2:H$500),
  _xlfn.IFNA(_xlpm.result, "")
)</f>
        <v/>
      </c>
      <c r="J427" t="str">
        <f>_xlfn.LET(
  _xlpm.result, _xlfn.XLOOKUP($B427, Result_Database!$A$2:$A$500, Result_Database!I$2:I$500),
  _xlfn.IFNA(_xlpm.result, "")
)</f>
        <v/>
      </c>
      <c r="K427" t="str">
        <f>_xlfn.LET(
  _xlpm.result, _xlfn.XLOOKUP($B427, Result_Database!$A$2:$A$500, Result_Database!J$2:J$500),
  _xlfn.IFNA(_xlpm.result, "")
)</f>
        <v/>
      </c>
      <c r="L427" t="str">
        <f>_xlfn.LET(
  _xlpm.result, _xlfn.XLOOKUP($B427, Result_Database!$A$2:$A$500, Result_Database!K$2:K$500),
  _xlfn.IFNA(_xlpm.result, "")
)</f>
        <v/>
      </c>
      <c r="M427" t="str">
        <f>_xlfn.LET(
  _xlpm.result, _xlfn.XLOOKUP($B427, Result_Database!$A$2:$A$500, Result_Database!L$2:L$500),
  _xlfn.IFNA(_xlpm.result, "")
)</f>
        <v/>
      </c>
      <c r="N427" t="str">
        <f>_xlfn.LET(
  _xlpm.result, _xlfn.XLOOKUP($B427, Result_Database!$A$2:$A$500, Result_Database!M$2:M$500),
  _xlfn.IFNA(_xlpm.result, "")
)</f>
        <v/>
      </c>
      <c r="O427" t="str">
        <f>_xlfn.LET(
  _xlpm.result, _xlfn.XLOOKUP($B427, Result_Database!$A$2:$A$500, Result_Database!N$2:N$500),
  _xlfn.IFNA(_xlpm.result, "")
)</f>
        <v/>
      </c>
      <c r="P427" t="str">
        <f>_xlfn.LET(
  _xlpm.result, _xlfn.XLOOKUP($B427, Result_Database!$A$2:$A$500, Result_Database!O$2:O$500),
  _xlfn.IFNA(_xlpm.result, "")
)</f>
        <v/>
      </c>
      <c r="Q427" t="str">
        <f>_xlfn.LET(
  _xlpm.result, _xlfn.XLOOKUP($B427, Result_Database!$A$2:$A$500, Result_Database!P$2:P$500),
  _xlfn.IFNA(_xlpm.result, "")
)</f>
        <v/>
      </c>
      <c r="R427" t="str">
        <f>_xlfn.LET(
  _xlpm.result, _xlfn.XLOOKUP($B427, Result_Database!$A$2:$A$500, Result_Database!Q$2:Q$500),
  _xlfn.IFNA(_xlpm.result, "")
)</f>
        <v/>
      </c>
      <c r="S427" t="str">
        <f>_xlfn.LET(
  _xlpm.result, _xlfn.XLOOKUP($B427, Result_Database!$A$2:$A$500, Result_Database!R$2:R$500),
  _xlfn.IFNA(_xlpm.result, "")
)</f>
        <v/>
      </c>
      <c r="T427" t="str">
        <f>_xlfn.LET(
  _xlpm.result, _xlfn.XLOOKUP($B427, Result_Database!$A$2:$A$500, Result_Database!S$2:S$500),
  _xlfn.IFNA(_xlpm.result, "")
)</f>
        <v/>
      </c>
      <c r="U427" t="str">
        <f>_xlfn.LET(
  _xlpm.result, _xlfn.XLOOKUP($B427, Result_Database!$A$2:$A$500, Result_Database!T$2:T$500),
  _xlfn.IFNA(_xlpm.result, "")
)</f>
        <v/>
      </c>
      <c r="V427" t="str">
        <f>_xlfn.LET(
  _xlpm.result, _xlfn.XLOOKUP($B427, Result_Database!$A$2:$A$500, Result_Database!U$2:U$500),
  _xlfn.IFNA(_xlpm.result, "")
)</f>
        <v/>
      </c>
      <c r="W427" t="str">
        <f>_xlfn.LET(
  _xlpm.result, _xlfn.XLOOKUP($B427, Result_Database!$A$2:$A$500, Result_Database!V$2:V$500),
  _xlfn.IFNA(_xlpm.result, "")
)</f>
        <v/>
      </c>
      <c r="X427" t="str">
        <f>_xlfn.LET(
  _xlpm.result, _xlfn.XLOOKUP($B427, Result_Database!$A$2:$A$500, Result_Database!W$2:W$500),
  _xlfn.IFNA(_xlpm.result, "")
)</f>
        <v/>
      </c>
      <c r="Y427" t="str">
        <f>_xlfn.LET(
  _xlpm.result, _xlfn.XLOOKUP($B427, Result_Database!$A$2:$A$500, Result_Database!X$2:X$500),
  _xlfn.IFNA(_xlpm.result, "")
)</f>
        <v/>
      </c>
      <c r="Z427" t="str">
        <f>_xlfn.LET(
  _xlpm.result, _xlfn.XLOOKUP($B427, Result_Database!$A$2:$A$500, Result_Database!Y$2:Y$500),
  _xlfn.IFNA(_xlpm.result, "")
)</f>
        <v/>
      </c>
      <c r="AA427" t="str">
        <f>_xlfn.LET(
  _xlpm.result, _xlfn.XLOOKUP($B427, Result_Database!$A$2:$A$500, Result_Database!Z$2:Z$500),
  _xlfn.IFNA(_xlpm.result, "")
)</f>
        <v/>
      </c>
      <c r="AB427" t="str">
        <f>_xlfn.LET(
  _xlpm.result, _xlfn.XLOOKUP($B427, Result_Database!$A$2:$A$500, Result_Database!AA$2:AA$500),
  _xlfn.IFNA(_xlpm.result, "")
)</f>
        <v/>
      </c>
      <c r="AC427" t="str">
        <f>_xlfn.LET(
  _xlpm.result, _xlfn.XLOOKUP($B427, Result_Database!$A$2:$A$500, Result_Database!AB$2:AB$500),
  _xlfn.IFNA(_xlpm.result, "")
)</f>
        <v/>
      </c>
      <c r="AD427" t="str">
        <f>_xlfn.LET(
  _xlpm.result, _xlfn.XLOOKUP($B427, Result_Database!$A$2:$A$500, Result_Database!AC$2:AC$500),
  _xlfn.IFNA(_xlpm.result, "")
)</f>
        <v/>
      </c>
      <c r="AE427" t="str">
        <f>_xlfn.LET(
  _xlpm.result, _xlfn.XLOOKUP($B427, Result_Database!$A$2:$A$500, Result_Database!AD$2:AD$500),
  _xlfn.IFNA(_xlpm.result, "")
)</f>
        <v/>
      </c>
      <c r="AF427" t="str">
        <f>_xlfn.LET(
  _xlpm.result, _xlfn.XLOOKUP($B427, Result_Database!$A$2:$A$500, Result_Database!AE$2:AE$500),
  _xlfn.IFNA(_xlpm.result, "")
)</f>
        <v/>
      </c>
      <c r="AG427" t="str">
        <f>_xlfn.LET(
  _xlpm.result, _xlfn.XLOOKUP($B427, Result_Database!$A$2:$A$500, Result_Database!AF$2:AF$500),
  _xlfn.IFNA(_xlpm.result, "")
)</f>
        <v/>
      </c>
      <c r="AH427" t="str">
        <f>_xlfn.LET(
  _xlpm.result, _xlfn.XLOOKUP($B427, Result_Database!$A$2:$A$500, Result_Database!AG$2:AG$500),
  _xlfn.IFNA(_xlpm.result, "")
)</f>
        <v/>
      </c>
      <c r="AI427" t="str">
        <f>_xlfn.LET(
  _xlpm.result, _xlfn.XLOOKUP($B427, Result_Database!$A$2:$A$500, Result_Database!AH$2:AH$500),
  _xlfn.IFNA(_xlpm.result, "")
)</f>
        <v/>
      </c>
      <c r="AJ427" t="str">
        <f>_xlfn.LET(
  _xlpm.result, _xlfn.XLOOKUP($B427, Result_Database!$A$2:$A$500, Result_Database!AI$2:AI$500),
  _xlfn.IFNA(_xlpm.result, "")
)</f>
        <v/>
      </c>
      <c r="AK427" t="str">
        <f>_xlfn.LET(
  _xlpm.result, _xlfn.XLOOKUP($B427, Result_Database!$A$2:$A$500, Result_Database!AJ$2:AJ$500),
  _xlfn.IFNA(_xlpm.result, "")
)</f>
        <v/>
      </c>
      <c r="AL427" t="str">
        <f>_xlfn.LET(
  _xlpm.result, _xlfn.XLOOKUP($B427, Result_Database!$A$2:$A$500, Result_Database!AK$2:AK$500),
  _xlfn.IFNA(_xlpm.result, "")
)</f>
        <v/>
      </c>
      <c r="AM42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2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2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2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2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2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2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2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2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27" t="str">
        <f>IF(SUM(Table5[[#This Row],[A1]:[C6]])&lt;&gt;0,SUM(Table5[[#This Row],[A1]:[C6]]),"")</f>
        <v/>
      </c>
      <c r="AW427" t="str">
        <f>IF(SUM(Table5[[#This Row],[D7]:[F9]])=0,"",SUM(Table5[[#This Row],[D7]:[F9]]))</f>
        <v/>
      </c>
      <c r="AX42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2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2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2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2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2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27" t="str">
        <f>IF(COUNTIF(Table5[[#This Row],[English Language]:[Electrical/ Electronics]],"WITHHELD")=0,"",COUNTIF(Table5[[#This Row],[English Language]:[Electrical/ Electronics]],"WITHHELD"))</f>
        <v/>
      </c>
      <c r="BE427" t="str">
        <f>IF(SUM(Table5[[#This Row],[NO OF CREDITS]:[BELOW CREDITS]])=0,"",SUM(Table5[[#This Row],[NO OF CREDITS]:[BELOW CREDITS]]))</f>
        <v/>
      </c>
    </row>
    <row r="428" spans="1:57" x14ac:dyDescent="0.3">
      <c r="A428" t="str">
        <f>IF(B428&lt;&gt;"",COUNTA($B$6:B428),"")</f>
        <v/>
      </c>
      <c r="B428" t="str">
        <f>IF(Result_Database!A424="","",Result_Database!A424)</f>
        <v/>
      </c>
      <c r="C428" t="str">
        <f>_xlfn.LET(
_xlpm.result,_xlfn.XLOOKUP($B428,Result_Database!$A$2:$A$500,Result_Database!$B$2:$B$500),
_xlfn.IFNA(_xlpm.result,"")
)</f>
        <v/>
      </c>
      <c r="D428" t="str">
        <f>_xlfn.LET(
  _xlpm.result, _xlfn.XLOOKUP($B428, Result_Database!$A$2:$A$500, Result_Database!C$2:C$500),
  _xlfn.IFNA(_xlpm.result, "")
)</f>
        <v/>
      </c>
      <c r="E428" t="str">
        <f>_xlfn.LET(
  _xlpm.result, _xlfn.XLOOKUP($B428, Result_Database!$A$2:$A$500, Result_Database!D$2:D$500),
  _xlfn.IFNA(_xlpm.result, "")
)</f>
        <v/>
      </c>
      <c r="F428" t="str">
        <f>_xlfn.LET(
  _xlpm.result, _xlfn.XLOOKUP($B428, Result_Database!$A$2:$A$500, Result_Database!E$2:E$500),
  _xlfn.IFNA(_xlpm.result, "")
)</f>
        <v/>
      </c>
      <c r="G428" t="str">
        <f>_xlfn.LET(
  _xlpm.result, _xlfn.XLOOKUP($B428, Result_Database!$A$2:$A$500, Result_Database!F$2:F$500),
  _xlfn.IFNA(_xlpm.result, "")
)</f>
        <v/>
      </c>
      <c r="H428" t="str">
        <f>_xlfn.LET(
  _xlpm.result, _xlfn.XLOOKUP($B428, Result_Database!$A$2:$A$500, Result_Database!G$2:G$500),
  _xlfn.IFNA(_xlpm.result, "")
)</f>
        <v/>
      </c>
      <c r="I428" t="str">
        <f>_xlfn.LET(
  _xlpm.result, _xlfn.XLOOKUP($B428, Result_Database!$A$2:$A$500, Result_Database!H$2:H$500),
  _xlfn.IFNA(_xlpm.result, "")
)</f>
        <v/>
      </c>
      <c r="J428" t="str">
        <f>_xlfn.LET(
  _xlpm.result, _xlfn.XLOOKUP($B428, Result_Database!$A$2:$A$500, Result_Database!I$2:I$500),
  _xlfn.IFNA(_xlpm.result, "")
)</f>
        <v/>
      </c>
      <c r="K428" t="str">
        <f>_xlfn.LET(
  _xlpm.result, _xlfn.XLOOKUP($B428, Result_Database!$A$2:$A$500, Result_Database!J$2:J$500),
  _xlfn.IFNA(_xlpm.result, "")
)</f>
        <v/>
      </c>
      <c r="L428" t="str">
        <f>_xlfn.LET(
  _xlpm.result, _xlfn.XLOOKUP($B428, Result_Database!$A$2:$A$500, Result_Database!K$2:K$500),
  _xlfn.IFNA(_xlpm.result, "")
)</f>
        <v/>
      </c>
      <c r="M428" t="str">
        <f>_xlfn.LET(
  _xlpm.result, _xlfn.XLOOKUP($B428, Result_Database!$A$2:$A$500, Result_Database!L$2:L$500),
  _xlfn.IFNA(_xlpm.result, "")
)</f>
        <v/>
      </c>
      <c r="N428" t="str">
        <f>_xlfn.LET(
  _xlpm.result, _xlfn.XLOOKUP($B428, Result_Database!$A$2:$A$500, Result_Database!M$2:M$500),
  _xlfn.IFNA(_xlpm.result, "")
)</f>
        <v/>
      </c>
      <c r="O428" t="str">
        <f>_xlfn.LET(
  _xlpm.result, _xlfn.XLOOKUP($B428, Result_Database!$A$2:$A$500, Result_Database!N$2:N$500),
  _xlfn.IFNA(_xlpm.result, "")
)</f>
        <v/>
      </c>
      <c r="P428" t="str">
        <f>_xlfn.LET(
  _xlpm.result, _xlfn.XLOOKUP($B428, Result_Database!$A$2:$A$500, Result_Database!O$2:O$500),
  _xlfn.IFNA(_xlpm.result, "")
)</f>
        <v/>
      </c>
      <c r="Q428" t="str">
        <f>_xlfn.LET(
  _xlpm.result, _xlfn.XLOOKUP($B428, Result_Database!$A$2:$A$500, Result_Database!P$2:P$500),
  _xlfn.IFNA(_xlpm.result, "")
)</f>
        <v/>
      </c>
      <c r="R428" t="str">
        <f>_xlfn.LET(
  _xlpm.result, _xlfn.XLOOKUP($B428, Result_Database!$A$2:$A$500, Result_Database!Q$2:Q$500),
  _xlfn.IFNA(_xlpm.result, "")
)</f>
        <v/>
      </c>
      <c r="S428" t="str">
        <f>_xlfn.LET(
  _xlpm.result, _xlfn.XLOOKUP($B428, Result_Database!$A$2:$A$500, Result_Database!R$2:R$500),
  _xlfn.IFNA(_xlpm.result, "")
)</f>
        <v/>
      </c>
      <c r="T428" t="str">
        <f>_xlfn.LET(
  _xlpm.result, _xlfn.XLOOKUP($B428, Result_Database!$A$2:$A$500, Result_Database!S$2:S$500),
  _xlfn.IFNA(_xlpm.result, "")
)</f>
        <v/>
      </c>
      <c r="U428" t="str">
        <f>_xlfn.LET(
  _xlpm.result, _xlfn.XLOOKUP($B428, Result_Database!$A$2:$A$500, Result_Database!T$2:T$500),
  _xlfn.IFNA(_xlpm.result, "")
)</f>
        <v/>
      </c>
      <c r="V428" t="str">
        <f>_xlfn.LET(
  _xlpm.result, _xlfn.XLOOKUP($B428, Result_Database!$A$2:$A$500, Result_Database!U$2:U$500),
  _xlfn.IFNA(_xlpm.result, "")
)</f>
        <v/>
      </c>
      <c r="W428" t="str">
        <f>_xlfn.LET(
  _xlpm.result, _xlfn.XLOOKUP($B428, Result_Database!$A$2:$A$500, Result_Database!V$2:V$500),
  _xlfn.IFNA(_xlpm.result, "")
)</f>
        <v/>
      </c>
      <c r="X428" t="str">
        <f>_xlfn.LET(
  _xlpm.result, _xlfn.XLOOKUP($B428, Result_Database!$A$2:$A$500, Result_Database!W$2:W$500),
  _xlfn.IFNA(_xlpm.result, "")
)</f>
        <v/>
      </c>
      <c r="Y428" t="str">
        <f>_xlfn.LET(
  _xlpm.result, _xlfn.XLOOKUP($B428, Result_Database!$A$2:$A$500, Result_Database!X$2:X$500),
  _xlfn.IFNA(_xlpm.result, "")
)</f>
        <v/>
      </c>
      <c r="Z428" t="str">
        <f>_xlfn.LET(
  _xlpm.result, _xlfn.XLOOKUP($B428, Result_Database!$A$2:$A$500, Result_Database!Y$2:Y$500),
  _xlfn.IFNA(_xlpm.result, "")
)</f>
        <v/>
      </c>
      <c r="AA428" t="str">
        <f>_xlfn.LET(
  _xlpm.result, _xlfn.XLOOKUP($B428, Result_Database!$A$2:$A$500, Result_Database!Z$2:Z$500),
  _xlfn.IFNA(_xlpm.result, "")
)</f>
        <v/>
      </c>
      <c r="AB428" t="str">
        <f>_xlfn.LET(
  _xlpm.result, _xlfn.XLOOKUP($B428, Result_Database!$A$2:$A$500, Result_Database!AA$2:AA$500),
  _xlfn.IFNA(_xlpm.result, "")
)</f>
        <v/>
      </c>
      <c r="AC428" t="str">
        <f>_xlfn.LET(
  _xlpm.result, _xlfn.XLOOKUP($B428, Result_Database!$A$2:$A$500, Result_Database!AB$2:AB$500),
  _xlfn.IFNA(_xlpm.result, "")
)</f>
        <v/>
      </c>
      <c r="AD428" t="str">
        <f>_xlfn.LET(
  _xlpm.result, _xlfn.XLOOKUP($B428, Result_Database!$A$2:$A$500, Result_Database!AC$2:AC$500),
  _xlfn.IFNA(_xlpm.result, "")
)</f>
        <v/>
      </c>
      <c r="AE428" t="str">
        <f>_xlfn.LET(
  _xlpm.result, _xlfn.XLOOKUP($B428, Result_Database!$A$2:$A$500, Result_Database!AD$2:AD$500),
  _xlfn.IFNA(_xlpm.result, "")
)</f>
        <v/>
      </c>
      <c r="AF428" t="str">
        <f>_xlfn.LET(
  _xlpm.result, _xlfn.XLOOKUP($B428, Result_Database!$A$2:$A$500, Result_Database!AE$2:AE$500),
  _xlfn.IFNA(_xlpm.result, "")
)</f>
        <v/>
      </c>
      <c r="AG428" t="str">
        <f>_xlfn.LET(
  _xlpm.result, _xlfn.XLOOKUP($B428, Result_Database!$A$2:$A$500, Result_Database!AF$2:AF$500),
  _xlfn.IFNA(_xlpm.result, "")
)</f>
        <v/>
      </c>
      <c r="AH428" t="str">
        <f>_xlfn.LET(
  _xlpm.result, _xlfn.XLOOKUP($B428, Result_Database!$A$2:$A$500, Result_Database!AG$2:AG$500),
  _xlfn.IFNA(_xlpm.result, "")
)</f>
        <v/>
      </c>
      <c r="AI428" t="str">
        <f>_xlfn.LET(
  _xlpm.result, _xlfn.XLOOKUP($B428, Result_Database!$A$2:$A$500, Result_Database!AH$2:AH$500),
  _xlfn.IFNA(_xlpm.result, "")
)</f>
        <v/>
      </c>
      <c r="AJ428" t="str">
        <f>_xlfn.LET(
  _xlpm.result, _xlfn.XLOOKUP($B428, Result_Database!$A$2:$A$500, Result_Database!AI$2:AI$500),
  _xlfn.IFNA(_xlpm.result, "")
)</f>
        <v/>
      </c>
      <c r="AK428" t="str">
        <f>_xlfn.LET(
  _xlpm.result, _xlfn.XLOOKUP($B428, Result_Database!$A$2:$A$500, Result_Database!AJ$2:AJ$500),
  _xlfn.IFNA(_xlpm.result, "")
)</f>
        <v/>
      </c>
      <c r="AL428" t="str">
        <f>_xlfn.LET(
  _xlpm.result, _xlfn.XLOOKUP($B428, Result_Database!$A$2:$A$500, Result_Database!AK$2:AK$500),
  _xlfn.IFNA(_xlpm.result, "")
)</f>
        <v/>
      </c>
      <c r="AM42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2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2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2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2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2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2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2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2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28" t="str">
        <f>IF(SUM(Table5[[#This Row],[A1]:[C6]])&lt;&gt;0,SUM(Table5[[#This Row],[A1]:[C6]]),"")</f>
        <v/>
      </c>
      <c r="AW428" t="str">
        <f>IF(SUM(Table5[[#This Row],[D7]:[F9]])=0,"",SUM(Table5[[#This Row],[D7]:[F9]]))</f>
        <v/>
      </c>
      <c r="AX42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2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2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2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2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2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28" t="str">
        <f>IF(COUNTIF(Table5[[#This Row],[English Language]:[Electrical/ Electronics]],"WITHHELD")=0,"",COUNTIF(Table5[[#This Row],[English Language]:[Electrical/ Electronics]],"WITHHELD"))</f>
        <v/>
      </c>
      <c r="BE428" t="str">
        <f>IF(SUM(Table5[[#This Row],[NO OF CREDITS]:[BELOW CREDITS]])=0,"",SUM(Table5[[#This Row],[NO OF CREDITS]:[BELOW CREDITS]]))</f>
        <v/>
      </c>
    </row>
    <row r="429" spans="1:57" x14ac:dyDescent="0.3">
      <c r="A429" t="str">
        <f>IF(B429&lt;&gt;"",COUNTA($B$6:B429),"")</f>
        <v/>
      </c>
      <c r="B429" t="str">
        <f>IF(Result_Database!A425="","",Result_Database!A425)</f>
        <v/>
      </c>
      <c r="C429" t="str">
        <f>_xlfn.LET(
_xlpm.result,_xlfn.XLOOKUP($B429,Result_Database!$A$2:$A$500,Result_Database!$B$2:$B$500),
_xlfn.IFNA(_xlpm.result,"")
)</f>
        <v/>
      </c>
      <c r="D429" t="str">
        <f>_xlfn.LET(
  _xlpm.result, _xlfn.XLOOKUP($B429, Result_Database!$A$2:$A$500, Result_Database!C$2:C$500),
  _xlfn.IFNA(_xlpm.result, "")
)</f>
        <v/>
      </c>
      <c r="E429" t="str">
        <f>_xlfn.LET(
  _xlpm.result, _xlfn.XLOOKUP($B429, Result_Database!$A$2:$A$500, Result_Database!D$2:D$500),
  _xlfn.IFNA(_xlpm.result, "")
)</f>
        <v/>
      </c>
      <c r="F429" t="str">
        <f>_xlfn.LET(
  _xlpm.result, _xlfn.XLOOKUP($B429, Result_Database!$A$2:$A$500, Result_Database!E$2:E$500),
  _xlfn.IFNA(_xlpm.result, "")
)</f>
        <v/>
      </c>
      <c r="G429" t="str">
        <f>_xlfn.LET(
  _xlpm.result, _xlfn.XLOOKUP($B429, Result_Database!$A$2:$A$500, Result_Database!F$2:F$500),
  _xlfn.IFNA(_xlpm.result, "")
)</f>
        <v/>
      </c>
      <c r="H429" t="str">
        <f>_xlfn.LET(
  _xlpm.result, _xlfn.XLOOKUP($B429, Result_Database!$A$2:$A$500, Result_Database!G$2:G$500),
  _xlfn.IFNA(_xlpm.result, "")
)</f>
        <v/>
      </c>
      <c r="I429" t="str">
        <f>_xlfn.LET(
  _xlpm.result, _xlfn.XLOOKUP($B429, Result_Database!$A$2:$A$500, Result_Database!H$2:H$500),
  _xlfn.IFNA(_xlpm.result, "")
)</f>
        <v/>
      </c>
      <c r="J429" t="str">
        <f>_xlfn.LET(
  _xlpm.result, _xlfn.XLOOKUP($B429, Result_Database!$A$2:$A$500, Result_Database!I$2:I$500),
  _xlfn.IFNA(_xlpm.result, "")
)</f>
        <v/>
      </c>
      <c r="K429" t="str">
        <f>_xlfn.LET(
  _xlpm.result, _xlfn.XLOOKUP($B429, Result_Database!$A$2:$A$500, Result_Database!J$2:J$500),
  _xlfn.IFNA(_xlpm.result, "")
)</f>
        <v/>
      </c>
      <c r="L429" t="str">
        <f>_xlfn.LET(
  _xlpm.result, _xlfn.XLOOKUP($B429, Result_Database!$A$2:$A$500, Result_Database!K$2:K$500),
  _xlfn.IFNA(_xlpm.result, "")
)</f>
        <v/>
      </c>
      <c r="M429" t="str">
        <f>_xlfn.LET(
  _xlpm.result, _xlfn.XLOOKUP($B429, Result_Database!$A$2:$A$500, Result_Database!L$2:L$500),
  _xlfn.IFNA(_xlpm.result, "")
)</f>
        <v/>
      </c>
      <c r="N429" t="str">
        <f>_xlfn.LET(
  _xlpm.result, _xlfn.XLOOKUP($B429, Result_Database!$A$2:$A$500, Result_Database!M$2:M$500),
  _xlfn.IFNA(_xlpm.result, "")
)</f>
        <v/>
      </c>
      <c r="O429" t="str">
        <f>_xlfn.LET(
  _xlpm.result, _xlfn.XLOOKUP($B429, Result_Database!$A$2:$A$500, Result_Database!N$2:N$500),
  _xlfn.IFNA(_xlpm.result, "")
)</f>
        <v/>
      </c>
      <c r="P429" t="str">
        <f>_xlfn.LET(
  _xlpm.result, _xlfn.XLOOKUP($B429, Result_Database!$A$2:$A$500, Result_Database!O$2:O$500),
  _xlfn.IFNA(_xlpm.result, "")
)</f>
        <v/>
      </c>
      <c r="Q429" t="str">
        <f>_xlfn.LET(
  _xlpm.result, _xlfn.XLOOKUP($B429, Result_Database!$A$2:$A$500, Result_Database!P$2:P$500),
  _xlfn.IFNA(_xlpm.result, "")
)</f>
        <v/>
      </c>
      <c r="R429" t="str">
        <f>_xlfn.LET(
  _xlpm.result, _xlfn.XLOOKUP($B429, Result_Database!$A$2:$A$500, Result_Database!Q$2:Q$500),
  _xlfn.IFNA(_xlpm.result, "")
)</f>
        <v/>
      </c>
      <c r="S429" t="str">
        <f>_xlfn.LET(
  _xlpm.result, _xlfn.XLOOKUP($B429, Result_Database!$A$2:$A$500, Result_Database!R$2:R$500),
  _xlfn.IFNA(_xlpm.result, "")
)</f>
        <v/>
      </c>
      <c r="T429" t="str">
        <f>_xlfn.LET(
  _xlpm.result, _xlfn.XLOOKUP($B429, Result_Database!$A$2:$A$500, Result_Database!S$2:S$500),
  _xlfn.IFNA(_xlpm.result, "")
)</f>
        <v/>
      </c>
      <c r="U429" t="str">
        <f>_xlfn.LET(
  _xlpm.result, _xlfn.XLOOKUP($B429, Result_Database!$A$2:$A$500, Result_Database!T$2:T$500),
  _xlfn.IFNA(_xlpm.result, "")
)</f>
        <v/>
      </c>
      <c r="V429" t="str">
        <f>_xlfn.LET(
  _xlpm.result, _xlfn.XLOOKUP($B429, Result_Database!$A$2:$A$500, Result_Database!U$2:U$500),
  _xlfn.IFNA(_xlpm.result, "")
)</f>
        <v/>
      </c>
      <c r="W429" t="str">
        <f>_xlfn.LET(
  _xlpm.result, _xlfn.XLOOKUP($B429, Result_Database!$A$2:$A$500, Result_Database!V$2:V$500),
  _xlfn.IFNA(_xlpm.result, "")
)</f>
        <v/>
      </c>
      <c r="X429" t="str">
        <f>_xlfn.LET(
  _xlpm.result, _xlfn.XLOOKUP($B429, Result_Database!$A$2:$A$500, Result_Database!W$2:W$500),
  _xlfn.IFNA(_xlpm.result, "")
)</f>
        <v/>
      </c>
      <c r="Y429" t="str">
        <f>_xlfn.LET(
  _xlpm.result, _xlfn.XLOOKUP($B429, Result_Database!$A$2:$A$500, Result_Database!X$2:X$500),
  _xlfn.IFNA(_xlpm.result, "")
)</f>
        <v/>
      </c>
      <c r="Z429" t="str">
        <f>_xlfn.LET(
  _xlpm.result, _xlfn.XLOOKUP($B429, Result_Database!$A$2:$A$500, Result_Database!Y$2:Y$500),
  _xlfn.IFNA(_xlpm.result, "")
)</f>
        <v/>
      </c>
      <c r="AA429" t="str">
        <f>_xlfn.LET(
  _xlpm.result, _xlfn.XLOOKUP($B429, Result_Database!$A$2:$A$500, Result_Database!Z$2:Z$500),
  _xlfn.IFNA(_xlpm.result, "")
)</f>
        <v/>
      </c>
      <c r="AB429" t="str">
        <f>_xlfn.LET(
  _xlpm.result, _xlfn.XLOOKUP($B429, Result_Database!$A$2:$A$500, Result_Database!AA$2:AA$500),
  _xlfn.IFNA(_xlpm.result, "")
)</f>
        <v/>
      </c>
      <c r="AC429" t="str">
        <f>_xlfn.LET(
  _xlpm.result, _xlfn.XLOOKUP($B429, Result_Database!$A$2:$A$500, Result_Database!AB$2:AB$500),
  _xlfn.IFNA(_xlpm.result, "")
)</f>
        <v/>
      </c>
      <c r="AD429" t="str">
        <f>_xlfn.LET(
  _xlpm.result, _xlfn.XLOOKUP($B429, Result_Database!$A$2:$A$500, Result_Database!AC$2:AC$500),
  _xlfn.IFNA(_xlpm.result, "")
)</f>
        <v/>
      </c>
      <c r="AE429" t="str">
        <f>_xlfn.LET(
  _xlpm.result, _xlfn.XLOOKUP($B429, Result_Database!$A$2:$A$500, Result_Database!AD$2:AD$500),
  _xlfn.IFNA(_xlpm.result, "")
)</f>
        <v/>
      </c>
      <c r="AF429" t="str">
        <f>_xlfn.LET(
  _xlpm.result, _xlfn.XLOOKUP($B429, Result_Database!$A$2:$A$500, Result_Database!AE$2:AE$500),
  _xlfn.IFNA(_xlpm.result, "")
)</f>
        <v/>
      </c>
      <c r="AG429" t="str">
        <f>_xlfn.LET(
  _xlpm.result, _xlfn.XLOOKUP($B429, Result_Database!$A$2:$A$500, Result_Database!AF$2:AF$500),
  _xlfn.IFNA(_xlpm.result, "")
)</f>
        <v/>
      </c>
      <c r="AH429" t="str">
        <f>_xlfn.LET(
  _xlpm.result, _xlfn.XLOOKUP($B429, Result_Database!$A$2:$A$500, Result_Database!AG$2:AG$500),
  _xlfn.IFNA(_xlpm.result, "")
)</f>
        <v/>
      </c>
      <c r="AI429" t="str">
        <f>_xlfn.LET(
  _xlpm.result, _xlfn.XLOOKUP($B429, Result_Database!$A$2:$A$500, Result_Database!AH$2:AH$500),
  _xlfn.IFNA(_xlpm.result, "")
)</f>
        <v/>
      </c>
      <c r="AJ429" t="str">
        <f>_xlfn.LET(
  _xlpm.result, _xlfn.XLOOKUP($B429, Result_Database!$A$2:$A$500, Result_Database!AI$2:AI$500),
  _xlfn.IFNA(_xlpm.result, "")
)</f>
        <v/>
      </c>
      <c r="AK429" t="str">
        <f>_xlfn.LET(
  _xlpm.result, _xlfn.XLOOKUP($B429, Result_Database!$A$2:$A$500, Result_Database!AJ$2:AJ$500),
  _xlfn.IFNA(_xlpm.result, "")
)</f>
        <v/>
      </c>
      <c r="AL429" t="str">
        <f>_xlfn.LET(
  _xlpm.result, _xlfn.XLOOKUP($B429, Result_Database!$A$2:$A$500, Result_Database!AK$2:AK$500),
  _xlfn.IFNA(_xlpm.result, "")
)</f>
        <v/>
      </c>
      <c r="AM42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2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2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2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2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2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2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2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2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29" t="str">
        <f>IF(SUM(Table5[[#This Row],[A1]:[C6]])&lt;&gt;0,SUM(Table5[[#This Row],[A1]:[C6]]),"")</f>
        <v/>
      </c>
      <c r="AW429" t="str">
        <f>IF(SUM(Table5[[#This Row],[D7]:[F9]])=0,"",SUM(Table5[[#This Row],[D7]:[F9]]))</f>
        <v/>
      </c>
      <c r="AX42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2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2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2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2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2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29" t="str">
        <f>IF(COUNTIF(Table5[[#This Row],[English Language]:[Electrical/ Electronics]],"WITHHELD")=0,"",COUNTIF(Table5[[#This Row],[English Language]:[Electrical/ Electronics]],"WITHHELD"))</f>
        <v/>
      </c>
      <c r="BE429" t="str">
        <f>IF(SUM(Table5[[#This Row],[NO OF CREDITS]:[BELOW CREDITS]])=0,"",SUM(Table5[[#This Row],[NO OF CREDITS]:[BELOW CREDITS]]))</f>
        <v/>
      </c>
    </row>
    <row r="430" spans="1:57" x14ac:dyDescent="0.3">
      <c r="A430" t="str">
        <f>IF(B430&lt;&gt;"",COUNTA($B$6:B430),"")</f>
        <v/>
      </c>
      <c r="B430" t="str">
        <f>IF(Result_Database!A426="","",Result_Database!A426)</f>
        <v/>
      </c>
      <c r="C430" t="str">
        <f>_xlfn.LET(
_xlpm.result,_xlfn.XLOOKUP($B430,Result_Database!$A$2:$A$500,Result_Database!$B$2:$B$500),
_xlfn.IFNA(_xlpm.result,"")
)</f>
        <v/>
      </c>
      <c r="D430" t="str">
        <f>_xlfn.LET(
  _xlpm.result, _xlfn.XLOOKUP($B430, Result_Database!$A$2:$A$500, Result_Database!C$2:C$500),
  _xlfn.IFNA(_xlpm.result, "")
)</f>
        <v/>
      </c>
      <c r="E430" t="str">
        <f>_xlfn.LET(
  _xlpm.result, _xlfn.XLOOKUP($B430, Result_Database!$A$2:$A$500, Result_Database!D$2:D$500),
  _xlfn.IFNA(_xlpm.result, "")
)</f>
        <v/>
      </c>
      <c r="F430" t="str">
        <f>_xlfn.LET(
  _xlpm.result, _xlfn.XLOOKUP($B430, Result_Database!$A$2:$A$500, Result_Database!E$2:E$500),
  _xlfn.IFNA(_xlpm.result, "")
)</f>
        <v/>
      </c>
      <c r="G430" t="str">
        <f>_xlfn.LET(
  _xlpm.result, _xlfn.XLOOKUP($B430, Result_Database!$A$2:$A$500, Result_Database!F$2:F$500),
  _xlfn.IFNA(_xlpm.result, "")
)</f>
        <v/>
      </c>
      <c r="H430" t="str">
        <f>_xlfn.LET(
  _xlpm.result, _xlfn.XLOOKUP($B430, Result_Database!$A$2:$A$500, Result_Database!G$2:G$500),
  _xlfn.IFNA(_xlpm.result, "")
)</f>
        <v/>
      </c>
      <c r="I430" t="str">
        <f>_xlfn.LET(
  _xlpm.result, _xlfn.XLOOKUP($B430, Result_Database!$A$2:$A$500, Result_Database!H$2:H$500),
  _xlfn.IFNA(_xlpm.result, "")
)</f>
        <v/>
      </c>
      <c r="J430" t="str">
        <f>_xlfn.LET(
  _xlpm.result, _xlfn.XLOOKUP($B430, Result_Database!$A$2:$A$500, Result_Database!I$2:I$500),
  _xlfn.IFNA(_xlpm.result, "")
)</f>
        <v/>
      </c>
      <c r="K430" t="str">
        <f>_xlfn.LET(
  _xlpm.result, _xlfn.XLOOKUP($B430, Result_Database!$A$2:$A$500, Result_Database!J$2:J$500),
  _xlfn.IFNA(_xlpm.result, "")
)</f>
        <v/>
      </c>
      <c r="L430" t="str">
        <f>_xlfn.LET(
  _xlpm.result, _xlfn.XLOOKUP($B430, Result_Database!$A$2:$A$500, Result_Database!K$2:K$500),
  _xlfn.IFNA(_xlpm.result, "")
)</f>
        <v/>
      </c>
      <c r="M430" t="str">
        <f>_xlfn.LET(
  _xlpm.result, _xlfn.XLOOKUP($B430, Result_Database!$A$2:$A$500, Result_Database!L$2:L$500),
  _xlfn.IFNA(_xlpm.result, "")
)</f>
        <v/>
      </c>
      <c r="N430" t="str">
        <f>_xlfn.LET(
  _xlpm.result, _xlfn.XLOOKUP($B430, Result_Database!$A$2:$A$500, Result_Database!M$2:M$500),
  _xlfn.IFNA(_xlpm.result, "")
)</f>
        <v/>
      </c>
      <c r="O430" t="str">
        <f>_xlfn.LET(
  _xlpm.result, _xlfn.XLOOKUP($B430, Result_Database!$A$2:$A$500, Result_Database!N$2:N$500),
  _xlfn.IFNA(_xlpm.result, "")
)</f>
        <v/>
      </c>
      <c r="P430" t="str">
        <f>_xlfn.LET(
  _xlpm.result, _xlfn.XLOOKUP($B430, Result_Database!$A$2:$A$500, Result_Database!O$2:O$500),
  _xlfn.IFNA(_xlpm.result, "")
)</f>
        <v/>
      </c>
      <c r="Q430" t="str">
        <f>_xlfn.LET(
  _xlpm.result, _xlfn.XLOOKUP($B430, Result_Database!$A$2:$A$500, Result_Database!P$2:P$500),
  _xlfn.IFNA(_xlpm.result, "")
)</f>
        <v/>
      </c>
      <c r="R430" t="str">
        <f>_xlfn.LET(
  _xlpm.result, _xlfn.XLOOKUP($B430, Result_Database!$A$2:$A$500, Result_Database!Q$2:Q$500),
  _xlfn.IFNA(_xlpm.result, "")
)</f>
        <v/>
      </c>
      <c r="S430" t="str">
        <f>_xlfn.LET(
  _xlpm.result, _xlfn.XLOOKUP($B430, Result_Database!$A$2:$A$500, Result_Database!R$2:R$500),
  _xlfn.IFNA(_xlpm.result, "")
)</f>
        <v/>
      </c>
      <c r="T430" t="str">
        <f>_xlfn.LET(
  _xlpm.result, _xlfn.XLOOKUP($B430, Result_Database!$A$2:$A$500, Result_Database!S$2:S$500),
  _xlfn.IFNA(_xlpm.result, "")
)</f>
        <v/>
      </c>
      <c r="U430" t="str">
        <f>_xlfn.LET(
  _xlpm.result, _xlfn.XLOOKUP($B430, Result_Database!$A$2:$A$500, Result_Database!T$2:T$500),
  _xlfn.IFNA(_xlpm.result, "")
)</f>
        <v/>
      </c>
      <c r="V430" t="str">
        <f>_xlfn.LET(
  _xlpm.result, _xlfn.XLOOKUP($B430, Result_Database!$A$2:$A$500, Result_Database!U$2:U$500),
  _xlfn.IFNA(_xlpm.result, "")
)</f>
        <v/>
      </c>
      <c r="W430" t="str">
        <f>_xlfn.LET(
  _xlpm.result, _xlfn.XLOOKUP($B430, Result_Database!$A$2:$A$500, Result_Database!V$2:V$500),
  _xlfn.IFNA(_xlpm.result, "")
)</f>
        <v/>
      </c>
      <c r="X430" t="str">
        <f>_xlfn.LET(
  _xlpm.result, _xlfn.XLOOKUP($B430, Result_Database!$A$2:$A$500, Result_Database!W$2:W$500),
  _xlfn.IFNA(_xlpm.result, "")
)</f>
        <v/>
      </c>
      <c r="Y430" t="str">
        <f>_xlfn.LET(
  _xlpm.result, _xlfn.XLOOKUP($B430, Result_Database!$A$2:$A$500, Result_Database!X$2:X$500),
  _xlfn.IFNA(_xlpm.result, "")
)</f>
        <v/>
      </c>
      <c r="Z430" t="str">
        <f>_xlfn.LET(
  _xlpm.result, _xlfn.XLOOKUP($B430, Result_Database!$A$2:$A$500, Result_Database!Y$2:Y$500),
  _xlfn.IFNA(_xlpm.result, "")
)</f>
        <v/>
      </c>
      <c r="AA430" t="str">
        <f>_xlfn.LET(
  _xlpm.result, _xlfn.XLOOKUP($B430, Result_Database!$A$2:$A$500, Result_Database!Z$2:Z$500),
  _xlfn.IFNA(_xlpm.result, "")
)</f>
        <v/>
      </c>
      <c r="AB430" t="str">
        <f>_xlfn.LET(
  _xlpm.result, _xlfn.XLOOKUP($B430, Result_Database!$A$2:$A$500, Result_Database!AA$2:AA$500),
  _xlfn.IFNA(_xlpm.result, "")
)</f>
        <v/>
      </c>
      <c r="AC430" t="str">
        <f>_xlfn.LET(
  _xlpm.result, _xlfn.XLOOKUP($B430, Result_Database!$A$2:$A$500, Result_Database!AB$2:AB$500),
  _xlfn.IFNA(_xlpm.result, "")
)</f>
        <v/>
      </c>
      <c r="AD430" t="str">
        <f>_xlfn.LET(
  _xlpm.result, _xlfn.XLOOKUP($B430, Result_Database!$A$2:$A$500, Result_Database!AC$2:AC$500),
  _xlfn.IFNA(_xlpm.result, "")
)</f>
        <v/>
      </c>
      <c r="AE430" t="str">
        <f>_xlfn.LET(
  _xlpm.result, _xlfn.XLOOKUP($B430, Result_Database!$A$2:$A$500, Result_Database!AD$2:AD$500),
  _xlfn.IFNA(_xlpm.result, "")
)</f>
        <v/>
      </c>
      <c r="AF430" t="str">
        <f>_xlfn.LET(
  _xlpm.result, _xlfn.XLOOKUP($B430, Result_Database!$A$2:$A$500, Result_Database!AE$2:AE$500),
  _xlfn.IFNA(_xlpm.result, "")
)</f>
        <v/>
      </c>
      <c r="AG430" t="str">
        <f>_xlfn.LET(
  _xlpm.result, _xlfn.XLOOKUP($B430, Result_Database!$A$2:$A$500, Result_Database!AF$2:AF$500),
  _xlfn.IFNA(_xlpm.result, "")
)</f>
        <v/>
      </c>
      <c r="AH430" t="str">
        <f>_xlfn.LET(
  _xlpm.result, _xlfn.XLOOKUP($B430, Result_Database!$A$2:$A$500, Result_Database!AG$2:AG$500),
  _xlfn.IFNA(_xlpm.result, "")
)</f>
        <v/>
      </c>
      <c r="AI430" t="str">
        <f>_xlfn.LET(
  _xlpm.result, _xlfn.XLOOKUP($B430, Result_Database!$A$2:$A$500, Result_Database!AH$2:AH$500),
  _xlfn.IFNA(_xlpm.result, "")
)</f>
        <v/>
      </c>
      <c r="AJ430" t="str">
        <f>_xlfn.LET(
  _xlpm.result, _xlfn.XLOOKUP($B430, Result_Database!$A$2:$A$500, Result_Database!AI$2:AI$500),
  _xlfn.IFNA(_xlpm.result, "")
)</f>
        <v/>
      </c>
      <c r="AK430" t="str">
        <f>_xlfn.LET(
  _xlpm.result, _xlfn.XLOOKUP($B430, Result_Database!$A$2:$A$500, Result_Database!AJ$2:AJ$500),
  _xlfn.IFNA(_xlpm.result, "")
)</f>
        <v/>
      </c>
      <c r="AL430" t="str">
        <f>_xlfn.LET(
  _xlpm.result, _xlfn.XLOOKUP($B430, Result_Database!$A$2:$A$500, Result_Database!AK$2:AK$500),
  _xlfn.IFNA(_xlpm.result, "")
)</f>
        <v/>
      </c>
      <c r="AM43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3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3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3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3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3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3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3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3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30" t="str">
        <f>IF(SUM(Table5[[#This Row],[A1]:[C6]])&lt;&gt;0,SUM(Table5[[#This Row],[A1]:[C6]]),"")</f>
        <v/>
      </c>
      <c r="AW430" t="str">
        <f>IF(SUM(Table5[[#This Row],[D7]:[F9]])=0,"",SUM(Table5[[#This Row],[D7]:[F9]]))</f>
        <v/>
      </c>
      <c r="AX43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3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3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3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3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3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30" t="str">
        <f>IF(COUNTIF(Table5[[#This Row],[English Language]:[Electrical/ Electronics]],"WITHHELD")=0,"",COUNTIF(Table5[[#This Row],[English Language]:[Electrical/ Electronics]],"WITHHELD"))</f>
        <v/>
      </c>
      <c r="BE430" t="str">
        <f>IF(SUM(Table5[[#This Row],[NO OF CREDITS]:[BELOW CREDITS]])=0,"",SUM(Table5[[#This Row],[NO OF CREDITS]:[BELOW CREDITS]]))</f>
        <v/>
      </c>
    </row>
    <row r="431" spans="1:57" x14ac:dyDescent="0.3">
      <c r="A431" t="str">
        <f>IF(B431&lt;&gt;"",COUNTA($B$6:B431),"")</f>
        <v/>
      </c>
      <c r="B431" t="str">
        <f>IF(Result_Database!A427="","",Result_Database!A427)</f>
        <v/>
      </c>
      <c r="C431" t="str">
        <f>_xlfn.LET(
_xlpm.result,_xlfn.XLOOKUP($B431,Result_Database!$A$2:$A$500,Result_Database!$B$2:$B$500),
_xlfn.IFNA(_xlpm.result,"")
)</f>
        <v/>
      </c>
      <c r="D431" t="str">
        <f>_xlfn.LET(
  _xlpm.result, _xlfn.XLOOKUP($B431, Result_Database!$A$2:$A$500, Result_Database!C$2:C$500),
  _xlfn.IFNA(_xlpm.result, "")
)</f>
        <v/>
      </c>
      <c r="E431" t="str">
        <f>_xlfn.LET(
  _xlpm.result, _xlfn.XLOOKUP($B431, Result_Database!$A$2:$A$500, Result_Database!D$2:D$500),
  _xlfn.IFNA(_xlpm.result, "")
)</f>
        <v/>
      </c>
      <c r="F431" t="str">
        <f>_xlfn.LET(
  _xlpm.result, _xlfn.XLOOKUP($B431, Result_Database!$A$2:$A$500, Result_Database!E$2:E$500),
  _xlfn.IFNA(_xlpm.result, "")
)</f>
        <v/>
      </c>
      <c r="G431" t="str">
        <f>_xlfn.LET(
  _xlpm.result, _xlfn.XLOOKUP($B431, Result_Database!$A$2:$A$500, Result_Database!F$2:F$500),
  _xlfn.IFNA(_xlpm.result, "")
)</f>
        <v/>
      </c>
      <c r="H431" t="str">
        <f>_xlfn.LET(
  _xlpm.result, _xlfn.XLOOKUP($B431, Result_Database!$A$2:$A$500, Result_Database!G$2:G$500),
  _xlfn.IFNA(_xlpm.result, "")
)</f>
        <v/>
      </c>
      <c r="I431" t="str">
        <f>_xlfn.LET(
  _xlpm.result, _xlfn.XLOOKUP($B431, Result_Database!$A$2:$A$500, Result_Database!H$2:H$500),
  _xlfn.IFNA(_xlpm.result, "")
)</f>
        <v/>
      </c>
      <c r="J431" t="str">
        <f>_xlfn.LET(
  _xlpm.result, _xlfn.XLOOKUP($B431, Result_Database!$A$2:$A$500, Result_Database!I$2:I$500),
  _xlfn.IFNA(_xlpm.result, "")
)</f>
        <v/>
      </c>
      <c r="K431" t="str">
        <f>_xlfn.LET(
  _xlpm.result, _xlfn.XLOOKUP($B431, Result_Database!$A$2:$A$500, Result_Database!J$2:J$500),
  _xlfn.IFNA(_xlpm.result, "")
)</f>
        <v/>
      </c>
      <c r="L431" t="str">
        <f>_xlfn.LET(
  _xlpm.result, _xlfn.XLOOKUP($B431, Result_Database!$A$2:$A$500, Result_Database!K$2:K$500),
  _xlfn.IFNA(_xlpm.result, "")
)</f>
        <v/>
      </c>
      <c r="M431" t="str">
        <f>_xlfn.LET(
  _xlpm.result, _xlfn.XLOOKUP($B431, Result_Database!$A$2:$A$500, Result_Database!L$2:L$500),
  _xlfn.IFNA(_xlpm.result, "")
)</f>
        <v/>
      </c>
      <c r="N431" t="str">
        <f>_xlfn.LET(
  _xlpm.result, _xlfn.XLOOKUP($B431, Result_Database!$A$2:$A$500, Result_Database!M$2:M$500),
  _xlfn.IFNA(_xlpm.result, "")
)</f>
        <v/>
      </c>
      <c r="O431" t="str">
        <f>_xlfn.LET(
  _xlpm.result, _xlfn.XLOOKUP($B431, Result_Database!$A$2:$A$500, Result_Database!N$2:N$500),
  _xlfn.IFNA(_xlpm.result, "")
)</f>
        <v/>
      </c>
      <c r="P431" t="str">
        <f>_xlfn.LET(
  _xlpm.result, _xlfn.XLOOKUP($B431, Result_Database!$A$2:$A$500, Result_Database!O$2:O$500),
  _xlfn.IFNA(_xlpm.result, "")
)</f>
        <v/>
      </c>
      <c r="Q431" t="str">
        <f>_xlfn.LET(
  _xlpm.result, _xlfn.XLOOKUP($B431, Result_Database!$A$2:$A$500, Result_Database!P$2:P$500),
  _xlfn.IFNA(_xlpm.result, "")
)</f>
        <v/>
      </c>
      <c r="R431" t="str">
        <f>_xlfn.LET(
  _xlpm.result, _xlfn.XLOOKUP($B431, Result_Database!$A$2:$A$500, Result_Database!Q$2:Q$500),
  _xlfn.IFNA(_xlpm.result, "")
)</f>
        <v/>
      </c>
      <c r="S431" t="str">
        <f>_xlfn.LET(
  _xlpm.result, _xlfn.XLOOKUP($B431, Result_Database!$A$2:$A$500, Result_Database!R$2:R$500),
  _xlfn.IFNA(_xlpm.result, "")
)</f>
        <v/>
      </c>
      <c r="T431" t="str">
        <f>_xlfn.LET(
  _xlpm.result, _xlfn.XLOOKUP($B431, Result_Database!$A$2:$A$500, Result_Database!S$2:S$500),
  _xlfn.IFNA(_xlpm.result, "")
)</f>
        <v/>
      </c>
      <c r="U431" t="str">
        <f>_xlfn.LET(
  _xlpm.result, _xlfn.XLOOKUP($B431, Result_Database!$A$2:$A$500, Result_Database!T$2:T$500),
  _xlfn.IFNA(_xlpm.result, "")
)</f>
        <v/>
      </c>
      <c r="V431" t="str">
        <f>_xlfn.LET(
  _xlpm.result, _xlfn.XLOOKUP($B431, Result_Database!$A$2:$A$500, Result_Database!U$2:U$500),
  _xlfn.IFNA(_xlpm.result, "")
)</f>
        <v/>
      </c>
      <c r="W431" t="str">
        <f>_xlfn.LET(
  _xlpm.result, _xlfn.XLOOKUP($B431, Result_Database!$A$2:$A$500, Result_Database!V$2:V$500),
  _xlfn.IFNA(_xlpm.result, "")
)</f>
        <v/>
      </c>
      <c r="X431" t="str">
        <f>_xlfn.LET(
  _xlpm.result, _xlfn.XLOOKUP($B431, Result_Database!$A$2:$A$500, Result_Database!W$2:W$500),
  _xlfn.IFNA(_xlpm.result, "")
)</f>
        <v/>
      </c>
      <c r="Y431" t="str">
        <f>_xlfn.LET(
  _xlpm.result, _xlfn.XLOOKUP($B431, Result_Database!$A$2:$A$500, Result_Database!X$2:X$500),
  _xlfn.IFNA(_xlpm.result, "")
)</f>
        <v/>
      </c>
      <c r="Z431" t="str">
        <f>_xlfn.LET(
  _xlpm.result, _xlfn.XLOOKUP($B431, Result_Database!$A$2:$A$500, Result_Database!Y$2:Y$500),
  _xlfn.IFNA(_xlpm.result, "")
)</f>
        <v/>
      </c>
      <c r="AA431" t="str">
        <f>_xlfn.LET(
  _xlpm.result, _xlfn.XLOOKUP($B431, Result_Database!$A$2:$A$500, Result_Database!Z$2:Z$500),
  _xlfn.IFNA(_xlpm.result, "")
)</f>
        <v/>
      </c>
      <c r="AB431" t="str">
        <f>_xlfn.LET(
  _xlpm.result, _xlfn.XLOOKUP($B431, Result_Database!$A$2:$A$500, Result_Database!AA$2:AA$500),
  _xlfn.IFNA(_xlpm.result, "")
)</f>
        <v/>
      </c>
      <c r="AC431" t="str">
        <f>_xlfn.LET(
  _xlpm.result, _xlfn.XLOOKUP($B431, Result_Database!$A$2:$A$500, Result_Database!AB$2:AB$500),
  _xlfn.IFNA(_xlpm.result, "")
)</f>
        <v/>
      </c>
      <c r="AD431" t="str">
        <f>_xlfn.LET(
  _xlpm.result, _xlfn.XLOOKUP($B431, Result_Database!$A$2:$A$500, Result_Database!AC$2:AC$500),
  _xlfn.IFNA(_xlpm.result, "")
)</f>
        <v/>
      </c>
      <c r="AE431" t="str">
        <f>_xlfn.LET(
  _xlpm.result, _xlfn.XLOOKUP($B431, Result_Database!$A$2:$A$500, Result_Database!AD$2:AD$500),
  _xlfn.IFNA(_xlpm.result, "")
)</f>
        <v/>
      </c>
      <c r="AF431" t="str">
        <f>_xlfn.LET(
  _xlpm.result, _xlfn.XLOOKUP($B431, Result_Database!$A$2:$A$500, Result_Database!AE$2:AE$500),
  _xlfn.IFNA(_xlpm.result, "")
)</f>
        <v/>
      </c>
      <c r="AG431" t="str">
        <f>_xlfn.LET(
  _xlpm.result, _xlfn.XLOOKUP($B431, Result_Database!$A$2:$A$500, Result_Database!AF$2:AF$500),
  _xlfn.IFNA(_xlpm.result, "")
)</f>
        <v/>
      </c>
      <c r="AH431" t="str">
        <f>_xlfn.LET(
  _xlpm.result, _xlfn.XLOOKUP($B431, Result_Database!$A$2:$A$500, Result_Database!AG$2:AG$500),
  _xlfn.IFNA(_xlpm.result, "")
)</f>
        <v/>
      </c>
      <c r="AI431" t="str">
        <f>_xlfn.LET(
  _xlpm.result, _xlfn.XLOOKUP($B431, Result_Database!$A$2:$A$500, Result_Database!AH$2:AH$500),
  _xlfn.IFNA(_xlpm.result, "")
)</f>
        <v/>
      </c>
      <c r="AJ431" t="str">
        <f>_xlfn.LET(
  _xlpm.result, _xlfn.XLOOKUP($B431, Result_Database!$A$2:$A$500, Result_Database!AI$2:AI$500),
  _xlfn.IFNA(_xlpm.result, "")
)</f>
        <v/>
      </c>
      <c r="AK431" t="str">
        <f>_xlfn.LET(
  _xlpm.result, _xlfn.XLOOKUP($B431, Result_Database!$A$2:$A$500, Result_Database!AJ$2:AJ$500),
  _xlfn.IFNA(_xlpm.result, "")
)</f>
        <v/>
      </c>
      <c r="AL431" t="str">
        <f>_xlfn.LET(
  _xlpm.result, _xlfn.XLOOKUP($B431, Result_Database!$A$2:$A$500, Result_Database!AK$2:AK$500),
  _xlfn.IFNA(_xlpm.result, "")
)</f>
        <v/>
      </c>
      <c r="AM43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3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3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3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3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3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3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3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3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31" t="str">
        <f>IF(SUM(Table5[[#This Row],[A1]:[C6]])&lt;&gt;0,SUM(Table5[[#This Row],[A1]:[C6]]),"")</f>
        <v/>
      </c>
      <c r="AW431" t="str">
        <f>IF(SUM(Table5[[#This Row],[D7]:[F9]])=0,"",SUM(Table5[[#This Row],[D7]:[F9]]))</f>
        <v/>
      </c>
      <c r="AX43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3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3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3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3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3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31" t="str">
        <f>IF(COUNTIF(Table5[[#This Row],[English Language]:[Electrical/ Electronics]],"WITHHELD")=0,"",COUNTIF(Table5[[#This Row],[English Language]:[Electrical/ Electronics]],"WITHHELD"))</f>
        <v/>
      </c>
      <c r="BE431" t="str">
        <f>IF(SUM(Table5[[#This Row],[NO OF CREDITS]:[BELOW CREDITS]])=0,"",SUM(Table5[[#This Row],[NO OF CREDITS]:[BELOW CREDITS]]))</f>
        <v/>
      </c>
    </row>
    <row r="432" spans="1:57" x14ac:dyDescent="0.3">
      <c r="A432" t="str">
        <f>IF(B432&lt;&gt;"",COUNTA($B$6:B432),"")</f>
        <v/>
      </c>
      <c r="B432" t="str">
        <f>IF(Result_Database!A428="","",Result_Database!A428)</f>
        <v/>
      </c>
      <c r="C432" t="str">
        <f>_xlfn.LET(
_xlpm.result,_xlfn.XLOOKUP($B432,Result_Database!$A$2:$A$500,Result_Database!$B$2:$B$500),
_xlfn.IFNA(_xlpm.result,"")
)</f>
        <v/>
      </c>
      <c r="D432" t="str">
        <f>_xlfn.LET(
  _xlpm.result, _xlfn.XLOOKUP($B432, Result_Database!$A$2:$A$500, Result_Database!C$2:C$500),
  _xlfn.IFNA(_xlpm.result, "")
)</f>
        <v/>
      </c>
      <c r="E432" t="str">
        <f>_xlfn.LET(
  _xlpm.result, _xlfn.XLOOKUP($B432, Result_Database!$A$2:$A$500, Result_Database!D$2:D$500),
  _xlfn.IFNA(_xlpm.result, "")
)</f>
        <v/>
      </c>
      <c r="F432" t="str">
        <f>_xlfn.LET(
  _xlpm.result, _xlfn.XLOOKUP($B432, Result_Database!$A$2:$A$500, Result_Database!E$2:E$500),
  _xlfn.IFNA(_xlpm.result, "")
)</f>
        <v/>
      </c>
      <c r="G432" t="str">
        <f>_xlfn.LET(
  _xlpm.result, _xlfn.XLOOKUP($B432, Result_Database!$A$2:$A$500, Result_Database!F$2:F$500),
  _xlfn.IFNA(_xlpm.result, "")
)</f>
        <v/>
      </c>
      <c r="H432" t="str">
        <f>_xlfn.LET(
  _xlpm.result, _xlfn.XLOOKUP($B432, Result_Database!$A$2:$A$500, Result_Database!G$2:G$500),
  _xlfn.IFNA(_xlpm.result, "")
)</f>
        <v/>
      </c>
      <c r="I432" t="str">
        <f>_xlfn.LET(
  _xlpm.result, _xlfn.XLOOKUP($B432, Result_Database!$A$2:$A$500, Result_Database!H$2:H$500),
  _xlfn.IFNA(_xlpm.result, "")
)</f>
        <v/>
      </c>
      <c r="J432" t="str">
        <f>_xlfn.LET(
  _xlpm.result, _xlfn.XLOOKUP($B432, Result_Database!$A$2:$A$500, Result_Database!I$2:I$500),
  _xlfn.IFNA(_xlpm.result, "")
)</f>
        <v/>
      </c>
      <c r="K432" t="str">
        <f>_xlfn.LET(
  _xlpm.result, _xlfn.XLOOKUP($B432, Result_Database!$A$2:$A$500, Result_Database!J$2:J$500),
  _xlfn.IFNA(_xlpm.result, "")
)</f>
        <v/>
      </c>
      <c r="L432" t="str">
        <f>_xlfn.LET(
  _xlpm.result, _xlfn.XLOOKUP($B432, Result_Database!$A$2:$A$500, Result_Database!K$2:K$500),
  _xlfn.IFNA(_xlpm.result, "")
)</f>
        <v/>
      </c>
      <c r="M432" t="str">
        <f>_xlfn.LET(
  _xlpm.result, _xlfn.XLOOKUP($B432, Result_Database!$A$2:$A$500, Result_Database!L$2:L$500),
  _xlfn.IFNA(_xlpm.result, "")
)</f>
        <v/>
      </c>
      <c r="N432" t="str">
        <f>_xlfn.LET(
  _xlpm.result, _xlfn.XLOOKUP($B432, Result_Database!$A$2:$A$500, Result_Database!M$2:M$500),
  _xlfn.IFNA(_xlpm.result, "")
)</f>
        <v/>
      </c>
      <c r="O432" t="str">
        <f>_xlfn.LET(
  _xlpm.result, _xlfn.XLOOKUP($B432, Result_Database!$A$2:$A$500, Result_Database!N$2:N$500),
  _xlfn.IFNA(_xlpm.result, "")
)</f>
        <v/>
      </c>
      <c r="P432" t="str">
        <f>_xlfn.LET(
  _xlpm.result, _xlfn.XLOOKUP($B432, Result_Database!$A$2:$A$500, Result_Database!O$2:O$500),
  _xlfn.IFNA(_xlpm.result, "")
)</f>
        <v/>
      </c>
      <c r="Q432" t="str">
        <f>_xlfn.LET(
  _xlpm.result, _xlfn.XLOOKUP($B432, Result_Database!$A$2:$A$500, Result_Database!P$2:P$500),
  _xlfn.IFNA(_xlpm.result, "")
)</f>
        <v/>
      </c>
      <c r="R432" t="str">
        <f>_xlfn.LET(
  _xlpm.result, _xlfn.XLOOKUP($B432, Result_Database!$A$2:$A$500, Result_Database!Q$2:Q$500),
  _xlfn.IFNA(_xlpm.result, "")
)</f>
        <v/>
      </c>
      <c r="S432" t="str">
        <f>_xlfn.LET(
  _xlpm.result, _xlfn.XLOOKUP($B432, Result_Database!$A$2:$A$500, Result_Database!R$2:R$500),
  _xlfn.IFNA(_xlpm.result, "")
)</f>
        <v/>
      </c>
      <c r="T432" t="str">
        <f>_xlfn.LET(
  _xlpm.result, _xlfn.XLOOKUP($B432, Result_Database!$A$2:$A$500, Result_Database!S$2:S$500),
  _xlfn.IFNA(_xlpm.result, "")
)</f>
        <v/>
      </c>
      <c r="U432" t="str">
        <f>_xlfn.LET(
  _xlpm.result, _xlfn.XLOOKUP($B432, Result_Database!$A$2:$A$500, Result_Database!T$2:T$500),
  _xlfn.IFNA(_xlpm.result, "")
)</f>
        <v/>
      </c>
      <c r="V432" t="str">
        <f>_xlfn.LET(
  _xlpm.result, _xlfn.XLOOKUP($B432, Result_Database!$A$2:$A$500, Result_Database!U$2:U$500),
  _xlfn.IFNA(_xlpm.result, "")
)</f>
        <v/>
      </c>
      <c r="W432" t="str">
        <f>_xlfn.LET(
  _xlpm.result, _xlfn.XLOOKUP($B432, Result_Database!$A$2:$A$500, Result_Database!V$2:V$500),
  _xlfn.IFNA(_xlpm.result, "")
)</f>
        <v/>
      </c>
      <c r="X432" t="str">
        <f>_xlfn.LET(
  _xlpm.result, _xlfn.XLOOKUP($B432, Result_Database!$A$2:$A$500, Result_Database!W$2:W$500),
  _xlfn.IFNA(_xlpm.result, "")
)</f>
        <v/>
      </c>
      <c r="Y432" t="str">
        <f>_xlfn.LET(
  _xlpm.result, _xlfn.XLOOKUP($B432, Result_Database!$A$2:$A$500, Result_Database!X$2:X$500),
  _xlfn.IFNA(_xlpm.result, "")
)</f>
        <v/>
      </c>
      <c r="Z432" t="str">
        <f>_xlfn.LET(
  _xlpm.result, _xlfn.XLOOKUP($B432, Result_Database!$A$2:$A$500, Result_Database!Y$2:Y$500),
  _xlfn.IFNA(_xlpm.result, "")
)</f>
        <v/>
      </c>
      <c r="AA432" t="str">
        <f>_xlfn.LET(
  _xlpm.result, _xlfn.XLOOKUP($B432, Result_Database!$A$2:$A$500, Result_Database!Z$2:Z$500),
  _xlfn.IFNA(_xlpm.result, "")
)</f>
        <v/>
      </c>
      <c r="AB432" t="str">
        <f>_xlfn.LET(
  _xlpm.result, _xlfn.XLOOKUP($B432, Result_Database!$A$2:$A$500, Result_Database!AA$2:AA$500),
  _xlfn.IFNA(_xlpm.result, "")
)</f>
        <v/>
      </c>
      <c r="AC432" t="str">
        <f>_xlfn.LET(
  _xlpm.result, _xlfn.XLOOKUP($B432, Result_Database!$A$2:$A$500, Result_Database!AB$2:AB$500),
  _xlfn.IFNA(_xlpm.result, "")
)</f>
        <v/>
      </c>
      <c r="AD432" t="str">
        <f>_xlfn.LET(
  _xlpm.result, _xlfn.XLOOKUP($B432, Result_Database!$A$2:$A$500, Result_Database!AC$2:AC$500),
  _xlfn.IFNA(_xlpm.result, "")
)</f>
        <v/>
      </c>
      <c r="AE432" t="str">
        <f>_xlfn.LET(
  _xlpm.result, _xlfn.XLOOKUP($B432, Result_Database!$A$2:$A$500, Result_Database!AD$2:AD$500),
  _xlfn.IFNA(_xlpm.result, "")
)</f>
        <v/>
      </c>
      <c r="AF432" t="str">
        <f>_xlfn.LET(
  _xlpm.result, _xlfn.XLOOKUP($B432, Result_Database!$A$2:$A$500, Result_Database!AE$2:AE$500),
  _xlfn.IFNA(_xlpm.result, "")
)</f>
        <v/>
      </c>
      <c r="AG432" t="str">
        <f>_xlfn.LET(
  _xlpm.result, _xlfn.XLOOKUP($B432, Result_Database!$A$2:$A$500, Result_Database!AF$2:AF$500),
  _xlfn.IFNA(_xlpm.result, "")
)</f>
        <v/>
      </c>
      <c r="AH432" t="str">
        <f>_xlfn.LET(
  _xlpm.result, _xlfn.XLOOKUP($B432, Result_Database!$A$2:$A$500, Result_Database!AG$2:AG$500),
  _xlfn.IFNA(_xlpm.result, "")
)</f>
        <v/>
      </c>
      <c r="AI432" t="str">
        <f>_xlfn.LET(
  _xlpm.result, _xlfn.XLOOKUP($B432, Result_Database!$A$2:$A$500, Result_Database!AH$2:AH$500),
  _xlfn.IFNA(_xlpm.result, "")
)</f>
        <v/>
      </c>
      <c r="AJ432" t="str">
        <f>_xlfn.LET(
  _xlpm.result, _xlfn.XLOOKUP($B432, Result_Database!$A$2:$A$500, Result_Database!AI$2:AI$500),
  _xlfn.IFNA(_xlpm.result, "")
)</f>
        <v/>
      </c>
      <c r="AK432" t="str">
        <f>_xlfn.LET(
  _xlpm.result, _xlfn.XLOOKUP($B432, Result_Database!$A$2:$A$500, Result_Database!AJ$2:AJ$500),
  _xlfn.IFNA(_xlpm.result, "")
)</f>
        <v/>
      </c>
      <c r="AL432" t="str">
        <f>_xlfn.LET(
  _xlpm.result, _xlfn.XLOOKUP($B432, Result_Database!$A$2:$A$500, Result_Database!AK$2:AK$500),
  _xlfn.IFNA(_xlpm.result, "")
)</f>
        <v/>
      </c>
      <c r="AM43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3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3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3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3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3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3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3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3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32" t="str">
        <f>IF(SUM(Table5[[#This Row],[A1]:[C6]])&lt;&gt;0,SUM(Table5[[#This Row],[A1]:[C6]]),"")</f>
        <v/>
      </c>
      <c r="AW432" t="str">
        <f>IF(SUM(Table5[[#This Row],[D7]:[F9]])=0,"",SUM(Table5[[#This Row],[D7]:[F9]]))</f>
        <v/>
      </c>
      <c r="AX43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3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3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3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3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3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32" t="str">
        <f>IF(COUNTIF(Table5[[#This Row],[English Language]:[Electrical/ Electronics]],"WITHHELD")=0,"",COUNTIF(Table5[[#This Row],[English Language]:[Electrical/ Electronics]],"WITHHELD"))</f>
        <v/>
      </c>
      <c r="BE432" t="str">
        <f>IF(SUM(Table5[[#This Row],[NO OF CREDITS]:[BELOW CREDITS]])=0,"",SUM(Table5[[#This Row],[NO OF CREDITS]:[BELOW CREDITS]]))</f>
        <v/>
      </c>
    </row>
    <row r="433" spans="1:57" x14ac:dyDescent="0.3">
      <c r="A433" t="str">
        <f>IF(B433&lt;&gt;"",COUNTA($B$6:B433),"")</f>
        <v/>
      </c>
      <c r="B433" t="str">
        <f>IF(Result_Database!A429="","",Result_Database!A429)</f>
        <v/>
      </c>
      <c r="C433" t="str">
        <f>_xlfn.LET(
_xlpm.result,_xlfn.XLOOKUP($B433,Result_Database!$A$2:$A$500,Result_Database!$B$2:$B$500),
_xlfn.IFNA(_xlpm.result,"")
)</f>
        <v/>
      </c>
      <c r="D433" t="str">
        <f>_xlfn.LET(
  _xlpm.result, _xlfn.XLOOKUP($B433, Result_Database!$A$2:$A$500, Result_Database!C$2:C$500),
  _xlfn.IFNA(_xlpm.result, "")
)</f>
        <v/>
      </c>
      <c r="E433" t="str">
        <f>_xlfn.LET(
  _xlpm.result, _xlfn.XLOOKUP($B433, Result_Database!$A$2:$A$500, Result_Database!D$2:D$500),
  _xlfn.IFNA(_xlpm.result, "")
)</f>
        <v/>
      </c>
      <c r="F433" t="str">
        <f>_xlfn.LET(
  _xlpm.result, _xlfn.XLOOKUP($B433, Result_Database!$A$2:$A$500, Result_Database!E$2:E$500),
  _xlfn.IFNA(_xlpm.result, "")
)</f>
        <v/>
      </c>
      <c r="G433" t="str">
        <f>_xlfn.LET(
  _xlpm.result, _xlfn.XLOOKUP($B433, Result_Database!$A$2:$A$500, Result_Database!F$2:F$500),
  _xlfn.IFNA(_xlpm.result, "")
)</f>
        <v/>
      </c>
      <c r="H433" t="str">
        <f>_xlfn.LET(
  _xlpm.result, _xlfn.XLOOKUP($B433, Result_Database!$A$2:$A$500, Result_Database!G$2:G$500),
  _xlfn.IFNA(_xlpm.result, "")
)</f>
        <v/>
      </c>
      <c r="I433" t="str">
        <f>_xlfn.LET(
  _xlpm.result, _xlfn.XLOOKUP($B433, Result_Database!$A$2:$A$500, Result_Database!H$2:H$500),
  _xlfn.IFNA(_xlpm.result, "")
)</f>
        <v/>
      </c>
      <c r="J433" t="str">
        <f>_xlfn.LET(
  _xlpm.result, _xlfn.XLOOKUP($B433, Result_Database!$A$2:$A$500, Result_Database!I$2:I$500),
  _xlfn.IFNA(_xlpm.result, "")
)</f>
        <v/>
      </c>
      <c r="K433" t="str">
        <f>_xlfn.LET(
  _xlpm.result, _xlfn.XLOOKUP($B433, Result_Database!$A$2:$A$500, Result_Database!J$2:J$500),
  _xlfn.IFNA(_xlpm.result, "")
)</f>
        <v/>
      </c>
      <c r="L433" t="str">
        <f>_xlfn.LET(
  _xlpm.result, _xlfn.XLOOKUP($B433, Result_Database!$A$2:$A$500, Result_Database!K$2:K$500),
  _xlfn.IFNA(_xlpm.result, "")
)</f>
        <v/>
      </c>
      <c r="M433" t="str">
        <f>_xlfn.LET(
  _xlpm.result, _xlfn.XLOOKUP($B433, Result_Database!$A$2:$A$500, Result_Database!L$2:L$500),
  _xlfn.IFNA(_xlpm.result, "")
)</f>
        <v/>
      </c>
      <c r="N433" t="str">
        <f>_xlfn.LET(
  _xlpm.result, _xlfn.XLOOKUP($B433, Result_Database!$A$2:$A$500, Result_Database!M$2:M$500),
  _xlfn.IFNA(_xlpm.result, "")
)</f>
        <v/>
      </c>
      <c r="O433" t="str">
        <f>_xlfn.LET(
  _xlpm.result, _xlfn.XLOOKUP($B433, Result_Database!$A$2:$A$500, Result_Database!N$2:N$500),
  _xlfn.IFNA(_xlpm.result, "")
)</f>
        <v/>
      </c>
      <c r="P433" t="str">
        <f>_xlfn.LET(
  _xlpm.result, _xlfn.XLOOKUP($B433, Result_Database!$A$2:$A$500, Result_Database!O$2:O$500),
  _xlfn.IFNA(_xlpm.result, "")
)</f>
        <v/>
      </c>
      <c r="Q433" t="str">
        <f>_xlfn.LET(
  _xlpm.result, _xlfn.XLOOKUP($B433, Result_Database!$A$2:$A$500, Result_Database!P$2:P$500),
  _xlfn.IFNA(_xlpm.result, "")
)</f>
        <v/>
      </c>
      <c r="R433" t="str">
        <f>_xlfn.LET(
  _xlpm.result, _xlfn.XLOOKUP($B433, Result_Database!$A$2:$A$500, Result_Database!Q$2:Q$500),
  _xlfn.IFNA(_xlpm.result, "")
)</f>
        <v/>
      </c>
      <c r="S433" t="str">
        <f>_xlfn.LET(
  _xlpm.result, _xlfn.XLOOKUP($B433, Result_Database!$A$2:$A$500, Result_Database!R$2:R$500),
  _xlfn.IFNA(_xlpm.result, "")
)</f>
        <v/>
      </c>
      <c r="T433" t="str">
        <f>_xlfn.LET(
  _xlpm.result, _xlfn.XLOOKUP($B433, Result_Database!$A$2:$A$500, Result_Database!S$2:S$500),
  _xlfn.IFNA(_xlpm.result, "")
)</f>
        <v/>
      </c>
      <c r="U433" t="str">
        <f>_xlfn.LET(
  _xlpm.result, _xlfn.XLOOKUP($B433, Result_Database!$A$2:$A$500, Result_Database!T$2:T$500),
  _xlfn.IFNA(_xlpm.result, "")
)</f>
        <v/>
      </c>
      <c r="V433" t="str">
        <f>_xlfn.LET(
  _xlpm.result, _xlfn.XLOOKUP($B433, Result_Database!$A$2:$A$500, Result_Database!U$2:U$500),
  _xlfn.IFNA(_xlpm.result, "")
)</f>
        <v/>
      </c>
      <c r="W433" t="str">
        <f>_xlfn.LET(
  _xlpm.result, _xlfn.XLOOKUP($B433, Result_Database!$A$2:$A$500, Result_Database!V$2:V$500),
  _xlfn.IFNA(_xlpm.result, "")
)</f>
        <v/>
      </c>
      <c r="X433" t="str">
        <f>_xlfn.LET(
  _xlpm.result, _xlfn.XLOOKUP($B433, Result_Database!$A$2:$A$500, Result_Database!W$2:W$500),
  _xlfn.IFNA(_xlpm.result, "")
)</f>
        <v/>
      </c>
      <c r="Y433" t="str">
        <f>_xlfn.LET(
  _xlpm.result, _xlfn.XLOOKUP($B433, Result_Database!$A$2:$A$500, Result_Database!X$2:X$500),
  _xlfn.IFNA(_xlpm.result, "")
)</f>
        <v/>
      </c>
      <c r="Z433" t="str">
        <f>_xlfn.LET(
  _xlpm.result, _xlfn.XLOOKUP($B433, Result_Database!$A$2:$A$500, Result_Database!Y$2:Y$500),
  _xlfn.IFNA(_xlpm.result, "")
)</f>
        <v/>
      </c>
      <c r="AA433" t="str">
        <f>_xlfn.LET(
  _xlpm.result, _xlfn.XLOOKUP($B433, Result_Database!$A$2:$A$500, Result_Database!Z$2:Z$500),
  _xlfn.IFNA(_xlpm.result, "")
)</f>
        <v/>
      </c>
      <c r="AB433" t="str">
        <f>_xlfn.LET(
  _xlpm.result, _xlfn.XLOOKUP($B433, Result_Database!$A$2:$A$500, Result_Database!AA$2:AA$500),
  _xlfn.IFNA(_xlpm.result, "")
)</f>
        <v/>
      </c>
      <c r="AC433" t="str">
        <f>_xlfn.LET(
  _xlpm.result, _xlfn.XLOOKUP($B433, Result_Database!$A$2:$A$500, Result_Database!AB$2:AB$500),
  _xlfn.IFNA(_xlpm.result, "")
)</f>
        <v/>
      </c>
      <c r="AD433" t="str">
        <f>_xlfn.LET(
  _xlpm.result, _xlfn.XLOOKUP($B433, Result_Database!$A$2:$A$500, Result_Database!AC$2:AC$500),
  _xlfn.IFNA(_xlpm.result, "")
)</f>
        <v/>
      </c>
      <c r="AE433" t="str">
        <f>_xlfn.LET(
  _xlpm.result, _xlfn.XLOOKUP($B433, Result_Database!$A$2:$A$500, Result_Database!AD$2:AD$500),
  _xlfn.IFNA(_xlpm.result, "")
)</f>
        <v/>
      </c>
      <c r="AF433" t="str">
        <f>_xlfn.LET(
  _xlpm.result, _xlfn.XLOOKUP($B433, Result_Database!$A$2:$A$500, Result_Database!AE$2:AE$500),
  _xlfn.IFNA(_xlpm.result, "")
)</f>
        <v/>
      </c>
      <c r="AG433" t="str">
        <f>_xlfn.LET(
  _xlpm.result, _xlfn.XLOOKUP($B433, Result_Database!$A$2:$A$500, Result_Database!AF$2:AF$500),
  _xlfn.IFNA(_xlpm.result, "")
)</f>
        <v/>
      </c>
      <c r="AH433" t="str">
        <f>_xlfn.LET(
  _xlpm.result, _xlfn.XLOOKUP($B433, Result_Database!$A$2:$A$500, Result_Database!AG$2:AG$500),
  _xlfn.IFNA(_xlpm.result, "")
)</f>
        <v/>
      </c>
      <c r="AI433" t="str">
        <f>_xlfn.LET(
  _xlpm.result, _xlfn.XLOOKUP($B433, Result_Database!$A$2:$A$500, Result_Database!AH$2:AH$500),
  _xlfn.IFNA(_xlpm.result, "")
)</f>
        <v/>
      </c>
      <c r="AJ433" t="str">
        <f>_xlfn.LET(
  _xlpm.result, _xlfn.XLOOKUP($B433, Result_Database!$A$2:$A$500, Result_Database!AI$2:AI$500),
  _xlfn.IFNA(_xlpm.result, "")
)</f>
        <v/>
      </c>
      <c r="AK433" t="str">
        <f>_xlfn.LET(
  _xlpm.result, _xlfn.XLOOKUP($B433, Result_Database!$A$2:$A$500, Result_Database!AJ$2:AJ$500),
  _xlfn.IFNA(_xlpm.result, "")
)</f>
        <v/>
      </c>
      <c r="AL433" t="str">
        <f>_xlfn.LET(
  _xlpm.result, _xlfn.XLOOKUP($B433, Result_Database!$A$2:$A$500, Result_Database!AK$2:AK$500),
  _xlfn.IFNA(_xlpm.result, "")
)</f>
        <v/>
      </c>
      <c r="AM43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3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3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3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3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3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3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3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3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33" t="str">
        <f>IF(SUM(Table5[[#This Row],[A1]:[C6]])&lt;&gt;0,SUM(Table5[[#This Row],[A1]:[C6]]),"")</f>
        <v/>
      </c>
      <c r="AW433" t="str">
        <f>IF(SUM(Table5[[#This Row],[D7]:[F9]])=0,"",SUM(Table5[[#This Row],[D7]:[F9]]))</f>
        <v/>
      </c>
      <c r="AX43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3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3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3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3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3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33" t="str">
        <f>IF(COUNTIF(Table5[[#This Row],[English Language]:[Electrical/ Electronics]],"WITHHELD")=0,"",COUNTIF(Table5[[#This Row],[English Language]:[Electrical/ Electronics]],"WITHHELD"))</f>
        <v/>
      </c>
      <c r="BE433" t="str">
        <f>IF(SUM(Table5[[#This Row],[NO OF CREDITS]:[BELOW CREDITS]])=0,"",SUM(Table5[[#This Row],[NO OF CREDITS]:[BELOW CREDITS]]))</f>
        <v/>
      </c>
    </row>
    <row r="434" spans="1:57" x14ac:dyDescent="0.3">
      <c r="A434" t="str">
        <f>IF(B434&lt;&gt;"",COUNTA($B$6:B434),"")</f>
        <v/>
      </c>
      <c r="B434" t="str">
        <f>IF(Result_Database!A430="","",Result_Database!A430)</f>
        <v/>
      </c>
      <c r="C434" t="str">
        <f>_xlfn.LET(
_xlpm.result,_xlfn.XLOOKUP($B434,Result_Database!$A$2:$A$500,Result_Database!$B$2:$B$500),
_xlfn.IFNA(_xlpm.result,"")
)</f>
        <v/>
      </c>
      <c r="D434" t="str">
        <f>_xlfn.LET(
  _xlpm.result, _xlfn.XLOOKUP($B434, Result_Database!$A$2:$A$500, Result_Database!C$2:C$500),
  _xlfn.IFNA(_xlpm.result, "")
)</f>
        <v/>
      </c>
      <c r="E434" t="str">
        <f>_xlfn.LET(
  _xlpm.result, _xlfn.XLOOKUP($B434, Result_Database!$A$2:$A$500, Result_Database!D$2:D$500),
  _xlfn.IFNA(_xlpm.result, "")
)</f>
        <v/>
      </c>
      <c r="F434" t="str">
        <f>_xlfn.LET(
  _xlpm.result, _xlfn.XLOOKUP($B434, Result_Database!$A$2:$A$500, Result_Database!E$2:E$500),
  _xlfn.IFNA(_xlpm.result, "")
)</f>
        <v/>
      </c>
      <c r="G434" t="str">
        <f>_xlfn.LET(
  _xlpm.result, _xlfn.XLOOKUP($B434, Result_Database!$A$2:$A$500, Result_Database!F$2:F$500),
  _xlfn.IFNA(_xlpm.result, "")
)</f>
        <v/>
      </c>
      <c r="H434" t="str">
        <f>_xlfn.LET(
  _xlpm.result, _xlfn.XLOOKUP($B434, Result_Database!$A$2:$A$500, Result_Database!G$2:G$500),
  _xlfn.IFNA(_xlpm.result, "")
)</f>
        <v/>
      </c>
      <c r="I434" t="str">
        <f>_xlfn.LET(
  _xlpm.result, _xlfn.XLOOKUP($B434, Result_Database!$A$2:$A$500, Result_Database!H$2:H$500),
  _xlfn.IFNA(_xlpm.result, "")
)</f>
        <v/>
      </c>
      <c r="J434" t="str">
        <f>_xlfn.LET(
  _xlpm.result, _xlfn.XLOOKUP($B434, Result_Database!$A$2:$A$500, Result_Database!I$2:I$500),
  _xlfn.IFNA(_xlpm.result, "")
)</f>
        <v/>
      </c>
      <c r="K434" t="str">
        <f>_xlfn.LET(
  _xlpm.result, _xlfn.XLOOKUP($B434, Result_Database!$A$2:$A$500, Result_Database!J$2:J$500),
  _xlfn.IFNA(_xlpm.result, "")
)</f>
        <v/>
      </c>
      <c r="L434" t="str">
        <f>_xlfn.LET(
  _xlpm.result, _xlfn.XLOOKUP($B434, Result_Database!$A$2:$A$500, Result_Database!K$2:K$500),
  _xlfn.IFNA(_xlpm.result, "")
)</f>
        <v/>
      </c>
      <c r="M434" t="str">
        <f>_xlfn.LET(
  _xlpm.result, _xlfn.XLOOKUP($B434, Result_Database!$A$2:$A$500, Result_Database!L$2:L$500),
  _xlfn.IFNA(_xlpm.result, "")
)</f>
        <v/>
      </c>
      <c r="N434" t="str">
        <f>_xlfn.LET(
  _xlpm.result, _xlfn.XLOOKUP($B434, Result_Database!$A$2:$A$500, Result_Database!M$2:M$500),
  _xlfn.IFNA(_xlpm.result, "")
)</f>
        <v/>
      </c>
      <c r="O434" t="str">
        <f>_xlfn.LET(
  _xlpm.result, _xlfn.XLOOKUP($B434, Result_Database!$A$2:$A$500, Result_Database!N$2:N$500),
  _xlfn.IFNA(_xlpm.result, "")
)</f>
        <v/>
      </c>
      <c r="P434" t="str">
        <f>_xlfn.LET(
  _xlpm.result, _xlfn.XLOOKUP($B434, Result_Database!$A$2:$A$500, Result_Database!O$2:O$500),
  _xlfn.IFNA(_xlpm.result, "")
)</f>
        <v/>
      </c>
      <c r="Q434" t="str">
        <f>_xlfn.LET(
  _xlpm.result, _xlfn.XLOOKUP($B434, Result_Database!$A$2:$A$500, Result_Database!P$2:P$500),
  _xlfn.IFNA(_xlpm.result, "")
)</f>
        <v/>
      </c>
      <c r="R434" t="str">
        <f>_xlfn.LET(
  _xlpm.result, _xlfn.XLOOKUP($B434, Result_Database!$A$2:$A$500, Result_Database!Q$2:Q$500),
  _xlfn.IFNA(_xlpm.result, "")
)</f>
        <v/>
      </c>
      <c r="S434" t="str">
        <f>_xlfn.LET(
  _xlpm.result, _xlfn.XLOOKUP($B434, Result_Database!$A$2:$A$500, Result_Database!R$2:R$500),
  _xlfn.IFNA(_xlpm.result, "")
)</f>
        <v/>
      </c>
      <c r="T434" t="str">
        <f>_xlfn.LET(
  _xlpm.result, _xlfn.XLOOKUP($B434, Result_Database!$A$2:$A$500, Result_Database!S$2:S$500),
  _xlfn.IFNA(_xlpm.result, "")
)</f>
        <v/>
      </c>
      <c r="U434" t="str">
        <f>_xlfn.LET(
  _xlpm.result, _xlfn.XLOOKUP($B434, Result_Database!$A$2:$A$500, Result_Database!T$2:T$500),
  _xlfn.IFNA(_xlpm.result, "")
)</f>
        <v/>
      </c>
      <c r="V434" t="str">
        <f>_xlfn.LET(
  _xlpm.result, _xlfn.XLOOKUP($B434, Result_Database!$A$2:$A$500, Result_Database!U$2:U$500),
  _xlfn.IFNA(_xlpm.result, "")
)</f>
        <v/>
      </c>
      <c r="W434" t="str">
        <f>_xlfn.LET(
  _xlpm.result, _xlfn.XLOOKUP($B434, Result_Database!$A$2:$A$500, Result_Database!V$2:V$500),
  _xlfn.IFNA(_xlpm.result, "")
)</f>
        <v/>
      </c>
      <c r="X434" t="str">
        <f>_xlfn.LET(
  _xlpm.result, _xlfn.XLOOKUP($B434, Result_Database!$A$2:$A$500, Result_Database!W$2:W$500),
  _xlfn.IFNA(_xlpm.result, "")
)</f>
        <v/>
      </c>
      <c r="Y434" t="str">
        <f>_xlfn.LET(
  _xlpm.result, _xlfn.XLOOKUP($B434, Result_Database!$A$2:$A$500, Result_Database!X$2:X$500),
  _xlfn.IFNA(_xlpm.result, "")
)</f>
        <v/>
      </c>
      <c r="Z434" t="str">
        <f>_xlfn.LET(
  _xlpm.result, _xlfn.XLOOKUP($B434, Result_Database!$A$2:$A$500, Result_Database!Y$2:Y$500),
  _xlfn.IFNA(_xlpm.result, "")
)</f>
        <v/>
      </c>
      <c r="AA434" t="str">
        <f>_xlfn.LET(
  _xlpm.result, _xlfn.XLOOKUP($B434, Result_Database!$A$2:$A$500, Result_Database!Z$2:Z$500),
  _xlfn.IFNA(_xlpm.result, "")
)</f>
        <v/>
      </c>
      <c r="AB434" t="str">
        <f>_xlfn.LET(
  _xlpm.result, _xlfn.XLOOKUP($B434, Result_Database!$A$2:$A$500, Result_Database!AA$2:AA$500),
  _xlfn.IFNA(_xlpm.result, "")
)</f>
        <v/>
      </c>
      <c r="AC434" t="str">
        <f>_xlfn.LET(
  _xlpm.result, _xlfn.XLOOKUP($B434, Result_Database!$A$2:$A$500, Result_Database!AB$2:AB$500),
  _xlfn.IFNA(_xlpm.result, "")
)</f>
        <v/>
      </c>
      <c r="AD434" t="str">
        <f>_xlfn.LET(
  _xlpm.result, _xlfn.XLOOKUP($B434, Result_Database!$A$2:$A$500, Result_Database!AC$2:AC$500),
  _xlfn.IFNA(_xlpm.result, "")
)</f>
        <v/>
      </c>
      <c r="AE434" t="str">
        <f>_xlfn.LET(
  _xlpm.result, _xlfn.XLOOKUP($B434, Result_Database!$A$2:$A$500, Result_Database!AD$2:AD$500),
  _xlfn.IFNA(_xlpm.result, "")
)</f>
        <v/>
      </c>
      <c r="AF434" t="str">
        <f>_xlfn.LET(
  _xlpm.result, _xlfn.XLOOKUP($B434, Result_Database!$A$2:$A$500, Result_Database!AE$2:AE$500),
  _xlfn.IFNA(_xlpm.result, "")
)</f>
        <v/>
      </c>
      <c r="AG434" t="str">
        <f>_xlfn.LET(
  _xlpm.result, _xlfn.XLOOKUP($B434, Result_Database!$A$2:$A$500, Result_Database!AF$2:AF$500),
  _xlfn.IFNA(_xlpm.result, "")
)</f>
        <v/>
      </c>
      <c r="AH434" t="str">
        <f>_xlfn.LET(
  _xlpm.result, _xlfn.XLOOKUP($B434, Result_Database!$A$2:$A$500, Result_Database!AG$2:AG$500),
  _xlfn.IFNA(_xlpm.result, "")
)</f>
        <v/>
      </c>
      <c r="AI434" t="str">
        <f>_xlfn.LET(
  _xlpm.result, _xlfn.XLOOKUP($B434, Result_Database!$A$2:$A$500, Result_Database!AH$2:AH$500),
  _xlfn.IFNA(_xlpm.result, "")
)</f>
        <v/>
      </c>
      <c r="AJ434" t="str">
        <f>_xlfn.LET(
  _xlpm.result, _xlfn.XLOOKUP($B434, Result_Database!$A$2:$A$500, Result_Database!AI$2:AI$500),
  _xlfn.IFNA(_xlpm.result, "")
)</f>
        <v/>
      </c>
      <c r="AK434" t="str">
        <f>_xlfn.LET(
  _xlpm.result, _xlfn.XLOOKUP($B434, Result_Database!$A$2:$A$500, Result_Database!AJ$2:AJ$500),
  _xlfn.IFNA(_xlpm.result, "")
)</f>
        <v/>
      </c>
      <c r="AL434" t="str">
        <f>_xlfn.LET(
  _xlpm.result, _xlfn.XLOOKUP($B434, Result_Database!$A$2:$A$500, Result_Database!AK$2:AK$500),
  _xlfn.IFNA(_xlpm.result, "")
)</f>
        <v/>
      </c>
      <c r="AM43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3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3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3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3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3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3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3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3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34" t="str">
        <f>IF(SUM(Table5[[#This Row],[A1]:[C6]])&lt;&gt;0,SUM(Table5[[#This Row],[A1]:[C6]]),"")</f>
        <v/>
      </c>
      <c r="AW434" t="str">
        <f>IF(SUM(Table5[[#This Row],[D7]:[F9]])=0,"",SUM(Table5[[#This Row],[D7]:[F9]]))</f>
        <v/>
      </c>
      <c r="AX43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3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3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3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3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3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34" t="str">
        <f>IF(COUNTIF(Table5[[#This Row],[English Language]:[Electrical/ Electronics]],"WITHHELD")=0,"",COUNTIF(Table5[[#This Row],[English Language]:[Electrical/ Electronics]],"WITHHELD"))</f>
        <v/>
      </c>
      <c r="BE434" t="str">
        <f>IF(SUM(Table5[[#This Row],[NO OF CREDITS]:[BELOW CREDITS]])=0,"",SUM(Table5[[#This Row],[NO OF CREDITS]:[BELOW CREDITS]]))</f>
        <v/>
      </c>
    </row>
    <row r="435" spans="1:57" x14ac:dyDescent="0.3">
      <c r="A435" t="str">
        <f>IF(B435&lt;&gt;"",COUNTA($B$6:B435),"")</f>
        <v/>
      </c>
      <c r="B435" t="str">
        <f>IF(Result_Database!A431="","",Result_Database!A431)</f>
        <v/>
      </c>
      <c r="C435" t="str">
        <f>_xlfn.LET(
_xlpm.result,_xlfn.XLOOKUP($B435,Result_Database!$A$2:$A$500,Result_Database!$B$2:$B$500),
_xlfn.IFNA(_xlpm.result,"")
)</f>
        <v/>
      </c>
      <c r="D435" t="str">
        <f>_xlfn.LET(
  _xlpm.result, _xlfn.XLOOKUP($B435, Result_Database!$A$2:$A$500, Result_Database!C$2:C$500),
  _xlfn.IFNA(_xlpm.result, "")
)</f>
        <v/>
      </c>
      <c r="E435" t="str">
        <f>_xlfn.LET(
  _xlpm.result, _xlfn.XLOOKUP($B435, Result_Database!$A$2:$A$500, Result_Database!D$2:D$500),
  _xlfn.IFNA(_xlpm.result, "")
)</f>
        <v/>
      </c>
      <c r="F435" t="str">
        <f>_xlfn.LET(
  _xlpm.result, _xlfn.XLOOKUP($B435, Result_Database!$A$2:$A$500, Result_Database!E$2:E$500),
  _xlfn.IFNA(_xlpm.result, "")
)</f>
        <v/>
      </c>
      <c r="G435" t="str">
        <f>_xlfn.LET(
  _xlpm.result, _xlfn.XLOOKUP($B435, Result_Database!$A$2:$A$500, Result_Database!F$2:F$500),
  _xlfn.IFNA(_xlpm.result, "")
)</f>
        <v/>
      </c>
      <c r="H435" t="str">
        <f>_xlfn.LET(
  _xlpm.result, _xlfn.XLOOKUP($B435, Result_Database!$A$2:$A$500, Result_Database!G$2:G$500),
  _xlfn.IFNA(_xlpm.result, "")
)</f>
        <v/>
      </c>
      <c r="I435" t="str">
        <f>_xlfn.LET(
  _xlpm.result, _xlfn.XLOOKUP($B435, Result_Database!$A$2:$A$500, Result_Database!H$2:H$500),
  _xlfn.IFNA(_xlpm.result, "")
)</f>
        <v/>
      </c>
      <c r="J435" t="str">
        <f>_xlfn.LET(
  _xlpm.result, _xlfn.XLOOKUP($B435, Result_Database!$A$2:$A$500, Result_Database!I$2:I$500),
  _xlfn.IFNA(_xlpm.result, "")
)</f>
        <v/>
      </c>
      <c r="K435" t="str">
        <f>_xlfn.LET(
  _xlpm.result, _xlfn.XLOOKUP($B435, Result_Database!$A$2:$A$500, Result_Database!J$2:J$500),
  _xlfn.IFNA(_xlpm.result, "")
)</f>
        <v/>
      </c>
      <c r="L435" t="str">
        <f>_xlfn.LET(
  _xlpm.result, _xlfn.XLOOKUP($B435, Result_Database!$A$2:$A$500, Result_Database!K$2:K$500),
  _xlfn.IFNA(_xlpm.result, "")
)</f>
        <v/>
      </c>
      <c r="M435" t="str">
        <f>_xlfn.LET(
  _xlpm.result, _xlfn.XLOOKUP($B435, Result_Database!$A$2:$A$500, Result_Database!L$2:L$500),
  _xlfn.IFNA(_xlpm.result, "")
)</f>
        <v/>
      </c>
      <c r="N435" t="str">
        <f>_xlfn.LET(
  _xlpm.result, _xlfn.XLOOKUP($B435, Result_Database!$A$2:$A$500, Result_Database!M$2:M$500),
  _xlfn.IFNA(_xlpm.result, "")
)</f>
        <v/>
      </c>
      <c r="O435" t="str">
        <f>_xlfn.LET(
  _xlpm.result, _xlfn.XLOOKUP($B435, Result_Database!$A$2:$A$500, Result_Database!N$2:N$500),
  _xlfn.IFNA(_xlpm.result, "")
)</f>
        <v/>
      </c>
      <c r="P435" t="str">
        <f>_xlfn.LET(
  _xlpm.result, _xlfn.XLOOKUP($B435, Result_Database!$A$2:$A$500, Result_Database!O$2:O$500),
  _xlfn.IFNA(_xlpm.result, "")
)</f>
        <v/>
      </c>
      <c r="Q435" t="str">
        <f>_xlfn.LET(
  _xlpm.result, _xlfn.XLOOKUP($B435, Result_Database!$A$2:$A$500, Result_Database!P$2:P$500),
  _xlfn.IFNA(_xlpm.result, "")
)</f>
        <v/>
      </c>
      <c r="R435" t="str">
        <f>_xlfn.LET(
  _xlpm.result, _xlfn.XLOOKUP($B435, Result_Database!$A$2:$A$500, Result_Database!Q$2:Q$500),
  _xlfn.IFNA(_xlpm.result, "")
)</f>
        <v/>
      </c>
      <c r="S435" t="str">
        <f>_xlfn.LET(
  _xlpm.result, _xlfn.XLOOKUP($B435, Result_Database!$A$2:$A$500, Result_Database!R$2:R$500),
  _xlfn.IFNA(_xlpm.result, "")
)</f>
        <v/>
      </c>
      <c r="T435" t="str">
        <f>_xlfn.LET(
  _xlpm.result, _xlfn.XLOOKUP($B435, Result_Database!$A$2:$A$500, Result_Database!S$2:S$500),
  _xlfn.IFNA(_xlpm.result, "")
)</f>
        <v/>
      </c>
      <c r="U435" t="str">
        <f>_xlfn.LET(
  _xlpm.result, _xlfn.XLOOKUP($B435, Result_Database!$A$2:$A$500, Result_Database!T$2:T$500),
  _xlfn.IFNA(_xlpm.result, "")
)</f>
        <v/>
      </c>
      <c r="V435" t="str">
        <f>_xlfn.LET(
  _xlpm.result, _xlfn.XLOOKUP($B435, Result_Database!$A$2:$A$500, Result_Database!U$2:U$500),
  _xlfn.IFNA(_xlpm.result, "")
)</f>
        <v/>
      </c>
      <c r="W435" t="str">
        <f>_xlfn.LET(
  _xlpm.result, _xlfn.XLOOKUP($B435, Result_Database!$A$2:$A$500, Result_Database!V$2:V$500),
  _xlfn.IFNA(_xlpm.result, "")
)</f>
        <v/>
      </c>
      <c r="X435" t="str">
        <f>_xlfn.LET(
  _xlpm.result, _xlfn.XLOOKUP($B435, Result_Database!$A$2:$A$500, Result_Database!W$2:W$500),
  _xlfn.IFNA(_xlpm.result, "")
)</f>
        <v/>
      </c>
      <c r="Y435" t="str">
        <f>_xlfn.LET(
  _xlpm.result, _xlfn.XLOOKUP($B435, Result_Database!$A$2:$A$500, Result_Database!X$2:X$500),
  _xlfn.IFNA(_xlpm.result, "")
)</f>
        <v/>
      </c>
      <c r="Z435" t="str">
        <f>_xlfn.LET(
  _xlpm.result, _xlfn.XLOOKUP($B435, Result_Database!$A$2:$A$500, Result_Database!Y$2:Y$500),
  _xlfn.IFNA(_xlpm.result, "")
)</f>
        <v/>
      </c>
      <c r="AA435" t="str">
        <f>_xlfn.LET(
  _xlpm.result, _xlfn.XLOOKUP($B435, Result_Database!$A$2:$A$500, Result_Database!Z$2:Z$500),
  _xlfn.IFNA(_xlpm.result, "")
)</f>
        <v/>
      </c>
      <c r="AB435" t="str">
        <f>_xlfn.LET(
  _xlpm.result, _xlfn.XLOOKUP($B435, Result_Database!$A$2:$A$500, Result_Database!AA$2:AA$500),
  _xlfn.IFNA(_xlpm.result, "")
)</f>
        <v/>
      </c>
      <c r="AC435" t="str">
        <f>_xlfn.LET(
  _xlpm.result, _xlfn.XLOOKUP($B435, Result_Database!$A$2:$A$500, Result_Database!AB$2:AB$500),
  _xlfn.IFNA(_xlpm.result, "")
)</f>
        <v/>
      </c>
      <c r="AD435" t="str">
        <f>_xlfn.LET(
  _xlpm.result, _xlfn.XLOOKUP($B435, Result_Database!$A$2:$A$500, Result_Database!AC$2:AC$500),
  _xlfn.IFNA(_xlpm.result, "")
)</f>
        <v/>
      </c>
      <c r="AE435" t="str">
        <f>_xlfn.LET(
  _xlpm.result, _xlfn.XLOOKUP($B435, Result_Database!$A$2:$A$500, Result_Database!AD$2:AD$500),
  _xlfn.IFNA(_xlpm.result, "")
)</f>
        <v/>
      </c>
      <c r="AF435" t="str">
        <f>_xlfn.LET(
  _xlpm.result, _xlfn.XLOOKUP($B435, Result_Database!$A$2:$A$500, Result_Database!AE$2:AE$500),
  _xlfn.IFNA(_xlpm.result, "")
)</f>
        <v/>
      </c>
      <c r="AG435" t="str">
        <f>_xlfn.LET(
  _xlpm.result, _xlfn.XLOOKUP($B435, Result_Database!$A$2:$A$500, Result_Database!AF$2:AF$500),
  _xlfn.IFNA(_xlpm.result, "")
)</f>
        <v/>
      </c>
      <c r="AH435" t="str">
        <f>_xlfn.LET(
  _xlpm.result, _xlfn.XLOOKUP($B435, Result_Database!$A$2:$A$500, Result_Database!AG$2:AG$500),
  _xlfn.IFNA(_xlpm.result, "")
)</f>
        <v/>
      </c>
      <c r="AI435" t="str">
        <f>_xlfn.LET(
  _xlpm.result, _xlfn.XLOOKUP($B435, Result_Database!$A$2:$A$500, Result_Database!AH$2:AH$500),
  _xlfn.IFNA(_xlpm.result, "")
)</f>
        <v/>
      </c>
      <c r="AJ435" t="str">
        <f>_xlfn.LET(
  _xlpm.result, _xlfn.XLOOKUP($B435, Result_Database!$A$2:$A$500, Result_Database!AI$2:AI$500),
  _xlfn.IFNA(_xlpm.result, "")
)</f>
        <v/>
      </c>
      <c r="AK435" t="str">
        <f>_xlfn.LET(
  _xlpm.result, _xlfn.XLOOKUP($B435, Result_Database!$A$2:$A$500, Result_Database!AJ$2:AJ$500),
  _xlfn.IFNA(_xlpm.result, "")
)</f>
        <v/>
      </c>
      <c r="AL435" t="str">
        <f>_xlfn.LET(
  _xlpm.result, _xlfn.XLOOKUP($B435, Result_Database!$A$2:$A$500, Result_Database!AK$2:AK$500),
  _xlfn.IFNA(_xlpm.result, "")
)</f>
        <v/>
      </c>
      <c r="AM43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3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3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3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3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3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3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3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3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35" t="str">
        <f>IF(SUM(Table5[[#This Row],[A1]:[C6]])&lt;&gt;0,SUM(Table5[[#This Row],[A1]:[C6]]),"")</f>
        <v/>
      </c>
      <c r="AW435" t="str">
        <f>IF(SUM(Table5[[#This Row],[D7]:[F9]])=0,"",SUM(Table5[[#This Row],[D7]:[F9]]))</f>
        <v/>
      </c>
      <c r="AX43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3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3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3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3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3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35" t="str">
        <f>IF(COUNTIF(Table5[[#This Row],[English Language]:[Electrical/ Electronics]],"WITHHELD")=0,"",COUNTIF(Table5[[#This Row],[English Language]:[Electrical/ Electronics]],"WITHHELD"))</f>
        <v/>
      </c>
      <c r="BE435" t="str">
        <f>IF(SUM(Table5[[#This Row],[NO OF CREDITS]:[BELOW CREDITS]])=0,"",SUM(Table5[[#This Row],[NO OF CREDITS]:[BELOW CREDITS]]))</f>
        <v/>
      </c>
    </row>
    <row r="436" spans="1:57" x14ac:dyDescent="0.3">
      <c r="A436" t="str">
        <f>IF(B436&lt;&gt;"",COUNTA($B$6:B436),"")</f>
        <v/>
      </c>
      <c r="B436" t="str">
        <f>IF(Result_Database!A432="","",Result_Database!A432)</f>
        <v/>
      </c>
      <c r="C436" t="str">
        <f>_xlfn.LET(
_xlpm.result,_xlfn.XLOOKUP($B436,Result_Database!$A$2:$A$500,Result_Database!$B$2:$B$500),
_xlfn.IFNA(_xlpm.result,"")
)</f>
        <v/>
      </c>
      <c r="D436" t="str">
        <f>_xlfn.LET(
  _xlpm.result, _xlfn.XLOOKUP($B436, Result_Database!$A$2:$A$500, Result_Database!C$2:C$500),
  _xlfn.IFNA(_xlpm.result, "")
)</f>
        <v/>
      </c>
      <c r="E436" t="str">
        <f>_xlfn.LET(
  _xlpm.result, _xlfn.XLOOKUP($B436, Result_Database!$A$2:$A$500, Result_Database!D$2:D$500),
  _xlfn.IFNA(_xlpm.result, "")
)</f>
        <v/>
      </c>
      <c r="F436" t="str">
        <f>_xlfn.LET(
  _xlpm.result, _xlfn.XLOOKUP($B436, Result_Database!$A$2:$A$500, Result_Database!E$2:E$500),
  _xlfn.IFNA(_xlpm.result, "")
)</f>
        <v/>
      </c>
      <c r="G436" t="str">
        <f>_xlfn.LET(
  _xlpm.result, _xlfn.XLOOKUP($B436, Result_Database!$A$2:$A$500, Result_Database!F$2:F$500),
  _xlfn.IFNA(_xlpm.result, "")
)</f>
        <v/>
      </c>
      <c r="H436" t="str">
        <f>_xlfn.LET(
  _xlpm.result, _xlfn.XLOOKUP($B436, Result_Database!$A$2:$A$500, Result_Database!G$2:G$500),
  _xlfn.IFNA(_xlpm.result, "")
)</f>
        <v/>
      </c>
      <c r="I436" t="str">
        <f>_xlfn.LET(
  _xlpm.result, _xlfn.XLOOKUP($B436, Result_Database!$A$2:$A$500, Result_Database!H$2:H$500),
  _xlfn.IFNA(_xlpm.result, "")
)</f>
        <v/>
      </c>
      <c r="J436" t="str">
        <f>_xlfn.LET(
  _xlpm.result, _xlfn.XLOOKUP($B436, Result_Database!$A$2:$A$500, Result_Database!I$2:I$500),
  _xlfn.IFNA(_xlpm.result, "")
)</f>
        <v/>
      </c>
      <c r="K436" t="str">
        <f>_xlfn.LET(
  _xlpm.result, _xlfn.XLOOKUP($B436, Result_Database!$A$2:$A$500, Result_Database!J$2:J$500),
  _xlfn.IFNA(_xlpm.result, "")
)</f>
        <v/>
      </c>
      <c r="L436" t="str">
        <f>_xlfn.LET(
  _xlpm.result, _xlfn.XLOOKUP($B436, Result_Database!$A$2:$A$500, Result_Database!K$2:K$500),
  _xlfn.IFNA(_xlpm.result, "")
)</f>
        <v/>
      </c>
      <c r="M436" t="str">
        <f>_xlfn.LET(
  _xlpm.result, _xlfn.XLOOKUP($B436, Result_Database!$A$2:$A$500, Result_Database!L$2:L$500),
  _xlfn.IFNA(_xlpm.result, "")
)</f>
        <v/>
      </c>
      <c r="N436" t="str">
        <f>_xlfn.LET(
  _xlpm.result, _xlfn.XLOOKUP($B436, Result_Database!$A$2:$A$500, Result_Database!M$2:M$500),
  _xlfn.IFNA(_xlpm.result, "")
)</f>
        <v/>
      </c>
      <c r="O436" t="str">
        <f>_xlfn.LET(
  _xlpm.result, _xlfn.XLOOKUP($B436, Result_Database!$A$2:$A$500, Result_Database!N$2:N$500),
  _xlfn.IFNA(_xlpm.result, "")
)</f>
        <v/>
      </c>
      <c r="P436" t="str">
        <f>_xlfn.LET(
  _xlpm.result, _xlfn.XLOOKUP($B436, Result_Database!$A$2:$A$500, Result_Database!O$2:O$500),
  _xlfn.IFNA(_xlpm.result, "")
)</f>
        <v/>
      </c>
      <c r="Q436" t="str">
        <f>_xlfn.LET(
  _xlpm.result, _xlfn.XLOOKUP($B436, Result_Database!$A$2:$A$500, Result_Database!P$2:P$500),
  _xlfn.IFNA(_xlpm.result, "")
)</f>
        <v/>
      </c>
      <c r="R436" t="str">
        <f>_xlfn.LET(
  _xlpm.result, _xlfn.XLOOKUP($B436, Result_Database!$A$2:$A$500, Result_Database!Q$2:Q$500),
  _xlfn.IFNA(_xlpm.result, "")
)</f>
        <v/>
      </c>
      <c r="S436" t="str">
        <f>_xlfn.LET(
  _xlpm.result, _xlfn.XLOOKUP($B436, Result_Database!$A$2:$A$500, Result_Database!R$2:R$500),
  _xlfn.IFNA(_xlpm.result, "")
)</f>
        <v/>
      </c>
      <c r="T436" t="str">
        <f>_xlfn.LET(
  _xlpm.result, _xlfn.XLOOKUP($B436, Result_Database!$A$2:$A$500, Result_Database!S$2:S$500),
  _xlfn.IFNA(_xlpm.result, "")
)</f>
        <v/>
      </c>
      <c r="U436" t="str">
        <f>_xlfn.LET(
  _xlpm.result, _xlfn.XLOOKUP($B436, Result_Database!$A$2:$A$500, Result_Database!T$2:T$500),
  _xlfn.IFNA(_xlpm.result, "")
)</f>
        <v/>
      </c>
      <c r="V436" t="str">
        <f>_xlfn.LET(
  _xlpm.result, _xlfn.XLOOKUP($B436, Result_Database!$A$2:$A$500, Result_Database!U$2:U$500),
  _xlfn.IFNA(_xlpm.result, "")
)</f>
        <v/>
      </c>
      <c r="W436" t="str">
        <f>_xlfn.LET(
  _xlpm.result, _xlfn.XLOOKUP($B436, Result_Database!$A$2:$A$500, Result_Database!V$2:V$500),
  _xlfn.IFNA(_xlpm.result, "")
)</f>
        <v/>
      </c>
      <c r="X436" t="str">
        <f>_xlfn.LET(
  _xlpm.result, _xlfn.XLOOKUP($B436, Result_Database!$A$2:$A$500, Result_Database!W$2:W$500),
  _xlfn.IFNA(_xlpm.result, "")
)</f>
        <v/>
      </c>
      <c r="Y436" t="str">
        <f>_xlfn.LET(
  _xlpm.result, _xlfn.XLOOKUP($B436, Result_Database!$A$2:$A$500, Result_Database!X$2:X$500),
  _xlfn.IFNA(_xlpm.result, "")
)</f>
        <v/>
      </c>
      <c r="Z436" t="str">
        <f>_xlfn.LET(
  _xlpm.result, _xlfn.XLOOKUP($B436, Result_Database!$A$2:$A$500, Result_Database!Y$2:Y$500),
  _xlfn.IFNA(_xlpm.result, "")
)</f>
        <v/>
      </c>
      <c r="AA436" t="str">
        <f>_xlfn.LET(
  _xlpm.result, _xlfn.XLOOKUP($B436, Result_Database!$A$2:$A$500, Result_Database!Z$2:Z$500),
  _xlfn.IFNA(_xlpm.result, "")
)</f>
        <v/>
      </c>
      <c r="AB436" t="str">
        <f>_xlfn.LET(
  _xlpm.result, _xlfn.XLOOKUP($B436, Result_Database!$A$2:$A$500, Result_Database!AA$2:AA$500),
  _xlfn.IFNA(_xlpm.result, "")
)</f>
        <v/>
      </c>
      <c r="AC436" t="str">
        <f>_xlfn.LET(
  _xlpm.result, _xlfn.XLOOKUP($B436, Result_Database!$A$2:$A$500, Result_Database!AB$2:AB$500),
  _xlfn.IFNA(_xlpm.result, "")
)</f>
        <v/>
      </c>
      <c r="AD436" t="str">
        <f>_xlfn.LET(
  _xlpm.result, _xlfn.XLOOKUP($B436, Result_Database!$A$2:$A$500, Result_Database!AC$2:AC$500),
  _xlfn.IFNA(_xlpm.result, "")
)</f>
        <v/>
      </c>
      <c r="AE436" t="str">
        <f>_xlfn.LET(
  _xlpm.result, _xlfn.XLOOKUP($B436, Result_Database!$A$2:$A$500, Result_Database!AD$2:AD$500),
  _xlfn.IFNA(_xlpm.result, "")
)</f>
        <v/>
      </c>
      <c r="AF436" t="str">
        <f>_xlfn.LET(
  _xlpm.result, _xlfn.XLOOKUP($B436, Result_Database!$A$2:$A$500, Result_Database!AE$2:AE$500),
  _xlfn.IFNA(_xlpm.result, "")
)</f>
        <v/>
      </c>
      <c r="AG436" t="str">
        <f>_xlfn.LET(
  _xlpm.result, _xlfn.XLOOKUP($B436, Result_Database!$A$2:$A$500, Result_Database!AF$2:AF$500),
  _xlfn.IFNA(_xlpm.result, "")
)</f>
        <v/>
      </c>
      <c r="AH436" t="str">
        <f>_xlfn.LET(
  _xlpm.result, _xlfn.XLOOKUP($B436, Result_Database!$A$2:$A$500, Result_Database!AG$2:AG$500),
  _xlfn.IFNA(_xlpm.result, "")
)</f>
        <v/>
      </c>
      <c r="AI436" t="str">
        <f>_xlfn.LET(
  _xlpm.result, _xlfn.XLOOKUP($B436, Result_Database!$A$2:$A$500, Result_Database!AH$2:AH$500),
  _xlfn.IFNA(_xlpm.result, "")
)</f>
        <v/>
      </c>
      <c r="AJ436" t="str">
        <f>_xlfn.LET(
  _xlpm.result, _xlfn.XLOOKUP($B436, Result_Database!$A$2:$A$500, Result_Database!AI$2:AI$500),
  _xlfn.IFNA(_xlpm.result, "")
)</f>
        <v/>
      </c>
      <c r="AK436" t="str">
        <f>_xlfn.LET(
  _xlpm.result, _xlfn.XLOOKUP($B436, Result_Database!$A$2:$A$500, Result_Database!AJ$2:AJ$500),
  _xlfn.IFNA(_xlpm.result, "")
)</f>
        <v/>
      </c>
      <c r="AL436" t="str">
        <f>_xlfn.LET(
  _xlpm.result, _xlfn.XLOOKUP($B436, Result_Database!$A$2:$A$500, Result_Database!AK$2:AK$500),
  _xlfn.IFNA(_xlpm.result, "")
)</f>
        <v/>
      </c>
      <c r="AM43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3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3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3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3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3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3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3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3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36" t="str">
        <f>IF(SUM(Table5[[#This Row],[A1]:[C6]])&lt;&gt;0,SUM(Table5[[#This Row],[A1]:[C6]]),"")</f>
        <v/>
      </c>
      <c r="AW436" t="str">
        <f>IF(SUM(Table5[[#This Row],[D7]:[F9]])=0,"",SUM(Table5[[#This Row],[D7]:[F9]]))</f>
        <v/>
      </c>
      <c r="AX43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3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3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3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3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3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36" t="str">
        <f>IF(COUNTIF(Table5[[#This Row],[English Language]:[Electrical/ Electronics]],"WITHHELD")=0,"",COUNTIF(Table5[[#This Row],[English Language]:[Electrical/ Electronics]],"WITHHELD"))</f>
        <v/>
      </c>
      <c r="BE436" t="str">
        <f>IF(SUM(Table5[[#This Row],[NO OF CREDITS]:[BELOW CREDITS]])=0,"",SUM(Table5[[#This Row],[NO OF CREDITS]:[BELOW CREDITS]]))</f>
        <v/>
      </c>
    </row>
    <row r="437" spans="1:57" x14ac:dyDescent="0.3">
      <c r="A437" t="str">
        <f>IF(B437&lt;&gt;"",COUNTA($B$6:B437),"")</f>
        <v/>
      </c>
      <c r="B437" t="str">
        <f>IF(Result_Database!A433="","",Result_Database!A433)</f>
        <v/>
      </c>
      <c r="C437" t="str">
        <f>_xlfn.LET(
_xlpm.result,_xlfn.XLOOKUP($B437,Result_Database!$A$2:$A$500,Result_Database!$B$2:$B$500),
_xlfn.IFNA(_xlpm.result,"")
)</f>
        <v/>
      </c>
      <c r="D437" t="str">
        <f>_xlfn.LET(
  _xlpm.result, _xlfn.XLOOKUP($B437, Result_Database!$A$2:$A$500, Result_Database!C$2:C$500),
  _xlfn.IFNA(_xlpm.result, "")
)</f>
        <v/>
      </c>
      <c r="E437" t="str">
        <f>_xlfn.LET(
  _xlpm.result, _xlfn.XLOOKUP($B437, Result_Database!$A$2:$A$500, Result_Database!D$2:D$500),
  _xlfn.IFNA(_xlpm.result, "")
)</f>
        <v/>
      </c>
      <c r="F437" t="str">
        <f>_xlfn.LET(
  _xlpm.result, _xlfn.XLOOKUP($B437, Result_Database!$A$2:$A$500, Result_Database!E$2:E$500),
  _xlfn.IFNA(_xlpm.result, "")
)</f>
        <v/>
      </c>
      <c r="G437" t="str">
        <f>_xlfn.LET(
  _xlpm.result, _xlfn.XLOOKUP($B437, Result_Database!$A$2:$A$500, Result_Database!F$2:F$500),
  _xlfn.IFNA(_xlpm.result, "")
)</f>
        <v/>
      </c>
      <c r="H437" t="str">
        <f>_xlfn.LET(
  _xlpm.result, _xlfn.XLOOKUP($B437, Result_Database!$A$2:$A$500, Result_Database!G$2:G$500),
  _xlfn.IFNA(_xlpm.result, "")
)</f>
        <v/>
      </c>
      <c r="I437" t="str">
        <f>_xlfn.LET(
  _xlpm.result, _xlfn.XLOOKUP($B437, Result_Database!$A$2:$A$500, Result_Database!H$2:H$500),
  _xlfn.IFNA(_xlpm.result, "")
)</f>
        <v/>
      </c>
      <c r="J437" t="str">
        <f>_xlfn.LET(
  _xlpm.result, _xlfn.XLOOKUP($B437, Result_Database!$A$2:$A$500, Result_Database!I$2:I$500),
  _xlfn.IFNA(_xlpm.result, "")
)</f>
        <v/>
      </c>
      <c r="K437" t="str">
        <f>_xlfn.LET(
  _xlpm.result, _xlfn.XLOOKUP($B437, Result_Database!$A$2:$A$500, Result_Database!J$2:J$500),
  _xlfn.IFNA(_xlpm.result, "")
)</f>
        <v/>
      </c>
      <c r="L437" t="str">
        <f>_xlfn.LET(
  _xlpm.result, _xlfn.XLOOKUP($B437, Result_Database!$A$2:$A$500, Result_Database!K$2:K$500),
  _xlfn.IFNA(_xlpm.result, "")
)</f>
        <v/>
      </c>
      <c r="M437" t="str">
        <f>_xlfn.LET(
  _xlpm.result, _xlfn.XLOOKUP($B437, Result_Database!$A$2:$A$500, Result_Database!L$2:L$500),
  _xlfn.IFNA(_xlpm.result, "")
)</f>
        <v/>
      </c>
      <c r="N437" t="str">
        <f>_xlfn.LET(
  _xlpm.result, _xlfn.XLOOKUP($B437, Result_Database!$A$2:$A$500, Result_Database!M$2:M$500),
  _xlfn.IFNA(_xlpm.result, "")
)</f>
        <v/>
      </c>
      <c r="O437" t="str">
        <f>_xlfn.LET(
  _xlpm.result, _xlfn.XLOOKUP($B437, Result_Database!$A$2:$A$500, Result_Database!N$2:N$500),
  _xlfn.IFNA(_xlpm.result, "")
)</f>
        <v/>
      </c>
      <c r="P437" t="str">
        <f>_xlfn.LET(
  _xlpm.result, _xlfn.XLOOKUP($B437, Result_Database!$A$2:$A$500, Result_Database!O$2:O$500),
  _xlfn.IFNA(_xlpm.result, "")
)</f>
        <v/>
      </c>
      <c r="Q437" t="str">
        <f>_xlfn.LET(
  _xlpm.result, _xlfn.XLOOKUP($B437, Result_Database!$A$2:$A$500, Result_Database!P$2:P$500),
  _xlfn.IFNA(_xlpm.result, "")
)</f>
        <v/>
      </c>
      <c r="R437" t="str">
        <f>_xlfn.LET(
  _xlpm.result, _xlfn.XLOOKUP($B437, Result_Database!$A$2:$A$500, Result_Database!Q$2:Q$500),
  _xlfn.IFNA(_xlpm.result, "")
)</f>
        <v/>
      </c>
      <c r="S437" t="str">
        <f>_xlfn.LET(
  _xlpm.result, _xlfn.XLOOKUP($B437, Result_Database!$A$2:$A$500, Result_Database!R$2:R$500),
  _xlfn.IFNA(_xlpm.result, "")
)</f>
        <v/>
      </c>
      <c r="T437" t="str">
        <f>_xlfn.LET(
  _xlpm.result, _xlfn.XLOOKUP($B437, Result_Database!$A$2:$A$500, Result_Database!S$2:S$500),
  _xlfn.IFNA(_xlpm.result, "")
)</f>
        <v/>
      </c>
      <c r="U437" t="str">
        <f>_xlfn.LET(
  _xlpm.result, _xlfn.XLOOKUP($B437, Result_Database!$A$2:$A$500, Result_Database!T$2:T$500),
  _xlfn.IFNA(_xlpm.result, "")
)</f>
        <v/>
      </c>
      <c r="V437" t="str">
        <f>_xlfn.LET(
  _xlpm.result, _xlfn.XLOOKUP($B437, Result_Database!$A$2:$A$500, Result_Database!U$2:U$500),
  _xlfn.IFNA(_xlpm.result, "")
)</f>
        <v/>
      </c>
      <c r="W437" t="str">
        <f>_xlfn.LET(
  _xlpm.result, _xlfn.XLOOKUP($B437, Result_Database!$A$2:$A$500, Result_Database!V$2:V$500),
  _xlfn.IFNA(_xlpm.result, "")
)</f>
        <v/>
      </c>
      <c r="X437" t="str">
        <f>_xlfn.LET(
  _xlpm.result, _xlfn.XLOOKUP($B437, Result_Database!$A$2:$A$500, Result_Database!W$2:W$500),
  _xlfn.IFNA(_xlpm.result, "")
)</f>
        <v/>
      </c>
      <c r="Y437" t="str">
        <f>_xlfn.LET(
  _xlpm.result, _xlfn.XLOOKUP($B437, Result_Database!$A$2:$A$500, Result_Database!X$2:X$500),
  _xlfn.IFNA(_xlpm.result, "")
)</f>
        <v/>
      </c>
      <c r="Z437" t="str">
        <f>_xlfn.LET(
  _xlpm.result, _xlfn.XLOOKUP($B437, Result_Database!$A$2:$A$500, Result_Database!Y$2:Y$500),
  _xlfn.IFNA(_xlpm.result, "")
)</f>
        <v/>
      </c>
      <c r="AA437" t="str">
        <f>_xlfn.LET(
  _xlpm.result, _xlfn.XLOOKUP($B437, Result_Database!$A$2:$A$500, Result_Database!Z$2:Z$500),
  _xlfn.IFNA(_xlpm.result, "")
)</f>
        <v/>
      </c>
      <c r="AB437" t="str">
        <f>_xlfn.LET(
  _xlpm.result, _xlfn.XLOOKUP($B437, Result_Database!$A$2:$A$500, Result_Database!AA$2:AA$500),
  _xlfn.IFNA(_xlpm.result, "")
)</f>
        <v/>
      </c>
      <c r="AC437" t="str">
        <f>_xlfn.LET(
  _xlpm.result, _xlfn.XLOOKUP($B437, Result_Database!$A$2:$A$500, Result_Database!AB$2:AB$500),
  _xlfn.IFNA(_xlpm.result, "")
)</f>
        <v/>
      </c>
      <c r="AD437" t="str">
        <f>_xlfn.LET(
  _xlpm.result, _xlfn.XLOOKUP($B437, Result_Database!$A$2:$A$500, Result_Database!AC$2:AC$500),
  _xlfn.IFNA(_xlpm.result, "")
)</f>
        <v/>
      </c>
      <c r="AE437" t="str">
        <f>_xlfn.LET(
  _xlpm.result, _xlfn.XLOOKUP($B437, Result_Database!$A$2:$A$500, Result_Database!AD$2:AD$500),
  _xlfn.IFNA(_xlpm.result, "")
)</f>
        <v/>
      </c>
      <c r="AF437" t="str">
        <f>_xlfn.LET(
  _xlpm.result, _xlfn.XLOOKUP($B437, Result_Database!$A$2:$A$500, Result_Database!AE$2:AE$500),
  _xlfn.IFNA(_xlpm.result, "")
)</f>
        <v/>
      </c>
      <c r="AG437" t="str">
        <f>_xlfn.LET(
  _xlpm.result, _xlfn.XLOOKUP($B437, Result_Database!$A$2:$A$500, Result_Database!AF$2:AF$500),
  _xlfn.IFNA(_xlpm.result, "")
)</f>
        <v/>
      </c>
      <c r="AH437" t="str">
        <f>_xlfn.LET(
  _xlpm.result, _xlfn.XLOOKUP($B437, Result_Database!$A$2:$A$500, Result_Database!AG$2:AG$500),
  _xlfn.IFNA(_xlpm.result, "")
)</f>
        <v/>
      </c>
      <c r="AI437" t="str">
        <f>_xlfn.LET(
  _xlpm.result, _xlfn.XLOOKUP($B437, Result_Database!$A$2:$A$500, Result_Database!AH$2:AH$500),
  _xlfn.IFNA(_xlpm.result, "")
)</f>
        <v/>
      </c>
      <c r="AJ437" t="str">
        <f>_xlfn.LET(
  _xlpm.result, _xlfn.XLOOKUP($B437, Result_Database!$A$2:$A$500, Result_Database!AI$2:AI$500),
  _xlfn.IFNA(_xlpm.result, "")
)</f>
        <v/>
      </c>
      <c r="AK437" t="str">
        <f>_xlfn.LET(
  _xlpm.result, _xlfn.XLOOKUP($B437, Result_Database!$A$2:$A$500, Result_Database!AJ$2:AJ$500),
  _xlfn.IFNA(_xlpm.result, "")
)</f>
        <v/>
      </c>
      <c r="AL437" t="str">
        <f>_xlfn.LET(
  _xlpm.result, _xlfn.XLOOKUP($B437, Result_Database!$A$2:$A$500, Result_Database!AK$2:AK$500),
  _xlfn.IFNA(_xlpm.result, "")
)</f>
        <v/>
      </c>
      <c r="AM43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3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3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3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3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3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3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3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3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37" t="str">
        <f>IF(SUM(Table5[[#This Row],[A1]:[C6]])&lt;&gt;0,SUM(Table5[[#This Row],[A1]:[C6]]),"")</f>
        <v/>
      </c>
      <c r="AW437" t="str">
        <f>IF(SUM(Table5[[#This Row],[D7]:[F9]])=0,"",SUM(Table5[[#This Row],[D7]:[F9]]))</f>
        <v/>
      </c>
      <c r="AX43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3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3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3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3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3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37" t="str">
        <f>IF(COUNTIF(Table5[[#This Row],[English Language]:[Electrical/ Electronics]],"WITHHELD")=0,"",COUNTIF(Table5[[#This Row],[English Language]:[Electrical/ Electronics]],"WITHHELD"))</f>
        <v/>
      </c>
      <c r="BE437" t="str">
        <f>IF(SUM(Table5[[#This Row],[NO OF CREDITS]:[BELOW CREDITS]])=0,"",SUM(Table5[[#This Row],[NO OF CREDITS]:[BELOW CREDITS]]))</f>
        <v/>
      </c>
    </row>
    <row r="438" spans="1:57" x14ac:dyDescent="0.3">
      <c r="A438" t="str">
        <f>IF(B438&lt;&gt;"",COUNTA($B$6:B438),"")</f>
        <v/>
      </c>
      <c r="B438" t="str">
        <f>IF(Result_Database!A434="","",Result_Database!A434)</f>
        <v/>
      </c>
      <c r="C438" t="str">
        <f>_xlfn.LET(
_xlpm.result,_xlfn.XLOOKUP($B438,Result_Database!$A$2:$A$500,Result_Database!$B$2:$B$500),
_xlfn.IFNA(_xlpm.result,"")
)</f>
        <v/>
      </c>
      <c r="D438" t="str">
        <f>_xlfn.LET(
  _xlpm.result, _xlfn.XLOOKUP($B438, Result_Database!$A$2:$A$500, Result_Database!C$2:C$500),
  _xlfn.IFNA(_xlpm.result, "")
)</f>
        <v/>
      </c>
      <c r="E438" t="str">
        <f>_xlfn.LET(
  _xlpm.result, _xlfn.XLOOKUP($B438, Result_Database!$A$2:$A$500, Result_Database!D$2:D$500),
  _xlfn.IFNA(_xlpm.result, "")
)</f>
        <v/>
      </c>
      <c r="F438" t="str">
        <f>_xlfn.LET(
  _xlpm.result, _xlfn.XLOOKUP($B438, Result_Database!$A$2:$A$500, Result_Database!E$2:E$500),
  _xlfn.IFNA(_xlpm.result, "")
)</f>
        <v/>
      </c>
      <c r="G438" t="str">
        <f>_xlfn.LET(
  _xlpm.result, _xlfn.XLOOKUP($B438, Result_Database!$A$2:$A$500, Result_Database!F$2:F$500),
  _xlfn.IFNA(_xlpm.result, "")
)</f>
        <v/>
      </c>
      <c r="H438" t="str">
        <f>_xlfn.LET(
  _xlpm.result, _xlfn.XLOOKUP($B438, Result_Database!$A$2:$A$500, Result_Database!G$2:G$500),
  _xlfn.IFNA(_xlpm.result, "")
)</f>
        <v/>
      </c>
      <c r="I438" t="str">
        <f>_xlfn.LET(
  _xlpm.result, _xlfn.XLOOKUP($B438, Result_Database!$A$2:$A$500, Result_Database!H$2:H$500),
  _xlfn.IFNA(_xlpm.result, "")
)</f>
        <v/>
      </c>
      <c r="J438" t="str">
        <f>_xlfn.LET(
  _xlpm.result, _xlfn.XLOOKUP($B438, Result_Database!$A$2:$A$500, Result_Database!I$2:I$500),
  _xlfn.IFNA(_xlpm.result, "")
)</f>
        <v/>
      </c>
      <c r="K438" t="str">
        <f>_xlfn.LET(
  _xlpm.result, _xlfn.XLOOKUP($B438, Result_Database!$A$2:$A$500, Result_Database!J$2:J$500),
  _xlfn.IFNA(_xlpm.result, "")
)</f>
        <v/>
      </c>
      <c r="L438" t="str">
        <f>_xlfn.LET(
  _xlpm.result, _xlfn.XLOOKUP($B438, Result_Database!$A$2:$A$500, Result_Database!K$2:K$500),
  _xlfn.IFNA(_xlpm.result, "")
)</f>
        <v/>
      </c>
      <c r="M438" t="str">
        <f>_xlfn.LET(
  _xlpm.result, _xlfn.XLOOKUP($B438, Result_Database!$A$2:$A$500, Result_Database!L$2:L$500),
  _xlfn.IFNA(_xlpm.result, "")
)</f>
        <v/>
      </c>
      <c r="N438" t="str">
        <f>_xlfn.LET(
  _xlpm.result, _xlfn.XLOOKUP($B438, Result_Database!$A$2:$A$500, Result_Database!M$2:M$500),
  _xlfn.IFNA(_xlpm.result, "")
)</f>
        <v/>
      </c>
      <c r="O438" t="str">
        <f>_xlfn.LET(
  _xlpm.result, _xlfn.XLOOKUP($B438, Result_Database!$A$2:$A$500, Result_Database!N$2:N$500),
  _xlfn.IFNA(_xlpm.result, "")
)</f>
        <v/>
      </c>
      <c r="P438" t="str">
        <f>_xlfn.LET(
  _xlpm.result, _xlfn.XLOOKUP($B438, Result_Database!$A$2:$A$500, Result_Database!O$2:O$500),
  _xlfn.IFNA(_xlpm.result, "")
)</f>
        <v/>
      </c>
      <c r="Q438" t="str">
        <f>_xlfn.LET(
  _xlpm.result, _xlfn.XLOOKUP($B438, Result_Database!$A$2:$A$500, Result_Database!P$2:P$500),
  _xlfn.IFNA(_xlpm.result, "")
)</f>
        <v/>
      </c>
      <c r="R438" t="str">
        <f>_xlfn.LET(
  _xlpm.result, _xlfn.XLOOKUP($B438, Result_Database!$A$2:$A$500, Result_Database!Q$2:Q$500),
  _xlfn.IFNA(_xlpm.result, "")
)</f>
        <v/>
      </c>
      <c r="S438" t="str">
        <f>_xlfn.LET(
  _xlpm.result, _xlfn.XLOOKUP($B438, Result_Database!$A$2:$A$500, Result_Database!R$2:R$500),
  _xlfn.IFNA(_xlpm.result, "")
)</f>
        <v/>
      </c>
      <c r="T438" t="str">
        <f>_xlfn.LET(
  _xlpm.result, _xlfn.XLOOKUP($B438, Result_Database!$A$2:$A$500, Result_Database!S$2:S$500),
  _xlfn.IFNA(_xlpm.result, "")
)</f>
        <v/>
      </c>
      <c r="U438" t="str">
        <f>_xlfn.LET(
  _xlpm.result, _xlfn.XLOOKUP($B438, Result_Database!$A$2:$A$500, Result_Database!T$2:T$500),
  _xlfn.IFNA(_xlpm.result, "")
)</f>
        <v/>
      </c>
      <c r="V438" t="str">
        <f>_xlfn.LET(
  _xlpm.result, _xlfn.XLOOKUP($B438, Result_Database!$A$2:$A$500, Result_Database!U$2:U$500),
  _xlfn.IFNA(_xlpm.result, "")
)</f>
        <v/>
      </c>
      <c r="W438" t="str">
        <f>_xlfn.LET(
  _xlpm.result, _xlfn.XLOOKUP($B438, Result_Database!$A$2:$A$500, Result_Database!V$2:V$500),
  _xlfn.IFNA(_xlpm.result, "")
)</f>
        <v/>
      </c>
      <c r="X438" t="str">
        <f>_xlfn.LET(
  _xlpm.result, _xlfn.XLOOKUP($B438, Result_Database!$A$2:$A$500, Result_Database!W$2:W$500),
  _xlfn.IFNA(_xlpm.result, "")
)</f>
        <v/>
      </c>
      <c r="Y438" t="str">
        <f>_xlfn.LET(
  _xlpm.result, _xlfn.XLOOKUP($B438, Result_Database!$A$2:$A$500, Result_Database!X$2:X$500),
  _xlfn.IFNA(_xlpm.result, "")
)</f>
        <v/>
      </c>
      <c r="Z438" t="str">
        <f>_xlfn.LET(
  _xlpm.result, _xlfn.XLOOKUP($B438, Result_Database!$A$2:$A$500, Result_Database!Y$2:Y$500),
  _xlfn.IFNA(_xlpm.result, "")
)</f>
        <v/>
      </c>
      <c r="AA438" t="str">
        <f>_xlfn.LET(
  _xlpm.result, _xlfn.XLOOKUP($B438, Result_Database!$A$2:$A$500, Result_Database!Z$2:Z$500),
  _xlfn.IFNA(_xlpm.result, "")
)</f>
        <v/>
      </c>
      <c r="AB438" t="str">
        <f>_xlfn.LET(
  _xlpm.result, _xlfn.XLOOKUP($B438, Result_Database!$A$2:$A$500, Result_Database!AA$2:AA$500),
  _xlfn.IFNA(_xlpm.result, "")
)</f>
        <v/>
      </c>
      <c r="AC438" t="str">
        <f>_xlfn.LET(
  _xlpm.result, _xlfn.XLOOKUP($B438, Result_Database!$A$2:$A$500, Result_Database!AB$2:AB$500),
  _xlfn.IFNA(_xlpm.result, "")
)</f>
        <v/>
      </c>
      <c r="AD438" t="str">
        <f>_xlfn.LET(
  _xlpm.result, _xlfn.XLOOKUP($B438, Result_Database!$A$2:$A$500, Result_Database!AC$2:AC$500),
  _xlfn.IFNA(_xlpm.result, "")
)</f>
        <v/>
      </c>
      <c r="AE438" t="str">
        <f>_xlfn.LET(
  _xlpm.result, _xlfn.XLOOKUP($B438, Result_Database!$A$2:$A$500, Result_Database!AD$2:AD$500),
  _xlfn.IFNA(_xlpm.result, "")
)</f>
        <v/>
      </c>
      <c r="AF438" t="str">
        <f>_xlfn.LET(
  _xlpm.result, _xlfn.XLOOKUP($B438, Result_Database!$A$2:$A$500, Result_Database!AE$2:AE$500),
  _xlfn.IFNA(_xlpm.result, "")
)</f>
        <v/>
      </c>
      <c r="AG438" t="str">
        <f>_xlfn.LET(
  _xlpm.result, _xlfn.XLOOKUP($B438, Result_Database!$A$2:$A$500, Result_Database!AF$2:AF$500),
  _xlfn.IFNA(_xlpm.result, "")
)</f>
        <v/>
      </c>
      <c r="AH438" t="str">
        <f>_xlfn.LET(
  _xlpm.result, _xlfn.XLOOKUP($B438, Result_Database!$A$2:$A$500, Result_Database!AG$2:AG$500),
  _xlfn.IFNA(_xlpm.result, "")
)</f>
        <v/>
      </c>
      <c r="AI438" t="str">
        <f>_xlfn.LET(
  _xlpm.result, _xlfn.XLOOKUP($B438, Result_Database!$A$2:$A$500, Result_Database!AH$2:AH$500),
  _xlfn.IFNA(_xlpm.result, "")
)</f>
        <v/>
      </c>
      <c r="AJ438" t="str">
        <f>_xlfn.LET(
  _xlpm.result, _xlfn.XLOOKUP($B438, Result_Database!$A$2:$A$500, Result_Database!AI$2:AI$500),
  _xlfn.IFNA(_xlpm.result, "")
)</f>
        <v/>
      </c>
      <c r="AK438" t="str">
        <f>_xlfn.LET(
  _xlpm.result, _xlfn.XLOOKUP($B438, Result_Database!$A$2:$A$500, Result_Database!AJ$2:AJ$500),
  _xlfn.IFNA(_xlpm.result, "")
)</f>
        <v/>
      </c>
      <c r="AL438" t="str">
        <f>_xlfn.LET(
  _xlpm.result, _xlfn.XLOOKUP($B438, Result_Database!$A$2:$A$500, Result_Database!AK$2:AK$500),
  _xlfn.IFNA(_xlpm.result, "")
)</f>
        <v/>
      </c>
      <c r="AM43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3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3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3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3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3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3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3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3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38" t="str">
        <f>IF(SUM(Table5[[#This Row],[A1]:[C6]])&lt;&gt;0,SUM(Table5[[#This Row],[A1]:[C6]]),"")</f>
        <v/>
      </c>
      <c r="AW438" t="str">
        <f>IF(SUM(Table5[[#This Row],[D7]:[F9]])=0,"",SUM(Table5[[#This Row],[D7]:[F9]]))</f>
        <v/>
      </c>
      <c r="AX43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3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3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3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3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3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38" t="str">
        <f>IF(COUNTIF(Table5[[#This Row],[English Language]:[Electrical/ Electronics]],"WITHHELD")=0,"",COUNTIF(Table5[[#This Row],[English Language]:[Electrical/ Electronics]],"WITHHELD"))</f>
        <v/>
      </c>
      <c r="BE438" t="str">
        <f>IF(SUM(Table5[[#This Row],[NO OF CREDITS]:[BELOW CREDITS]])=0,"",SUM(Table5[[#This Row],[NO OF CREDITS]:[BELOW CREDITS]]))</f>
        <v/>
      </c>
    </row>
    <row r="439" spans="1:57" x14ac:dyDescent="0.3">
      <c r="A439" t="str">
        <f>IF(B439&lt;&gt;"",COUNTA($B$6:B439),"")</f>
        <v/>
      </c>
      <c r="B439" t="str">
        <f>IF(Result_Database!A435="","",Result_Database!A435)</f>
        <v/>
      </c>
      <c r="C439" t="str">
        <f>_xlfn.LET(
_xlpm.result,_xlfn.XLOOKUP($B439,Result_Database!$A$2:$A$500,Result_Database!$B$2:$B$500),
_xlfn.IFNA(_xlpm.result,"")
)</f>
        <v/>
      </c>
      <c r="D439" t="str">
        <f>_xlfn.LET(
  _xlpm.result, _xlfn.XLOOKUP($B439, Result_Database!$A$2:$A$500, Result_Database!C$2:C$500),
  _xlfn.IFNA(_xlpm.result, "")
)</f>
        <v/>
      </c>
      <c r="E439" t="str">
        <f>_xlfn.LET(
  _xlpm.result, _xlfn.XLOOKUP($B439, Result_Database!$A$2:$A$500, Result_Database!D$2:D$500),
  _xlfn.IFNA(_xlpm.result, "")
)</f>
        <v/>
      </c>
      <c r="F439" t="str">
        <f>_xlfn.LET(
  _xlpm.result, _xlfn.XLOOKUP($B439, Result_Database!$A$2:$A$500, Result_Database!E$2:E$500),
  _xlfn.IFNA(_xlpm.result, "")
)</f>
        <v/>
      </c>
      <c r="G439" t="str">
        <f>_xlfn.LET(
  _xlpm.result, _xlfn.XLOOKUP($B439, Result_Database!$A$2:$A$500, Result_Database!F$2:F$500),
  _xlfn.IFNA(_xlpm.result, "")
)</f>
        <v/>
      </c>
      <c r="H439" t="str">
        <f>_xlfn.LET(
  _xlpm.result, _xlfn.XLOOKUP($B439, Result_Database!$A$2:$A$500, Result_Database!G$2:G$500),
  _xlfn.IFNA(_xlpm.result, "")
)</f>
        <v/>
      </c>
      <c r="I439" t="str">
        <f>_xlfn.LET(
  _xlpm.result, _xlfn.XLOOKUP($B439, Result_Database!$A$2:$A$500, Result_Database!H$2:H$500),
  _xlfn.IFNA(_xlpm.result, "")
)</f>
        <v/>
      </c>
      <c r="J439" t="str">
        <f>_xlfn.LET(
  _xlpm.result, _xlfn.XLOOKUP($B439, Result_Database!$A$2:$A$500, Result_Database!I$2:I$500),
  _xlfn.IFNA(_xlpm.result, "")
)</f>
        <v/>
      </c>
      <c r="K439" t="str">
        <f>_xlfn.LET(
  _xlpm.result, _xlfn.XLOOKUP($B439, Result_Database!$A$2:$A$500, Result_Database!J$2:J$500),
  _xlfn.IFNA(_xlpm.result, "")
)</f>
        <v/>
      </c>
      <c r="L439" t="str">
        <f>_xlfn.LET(
  _xlpm.result, _xlfn.XLOOKUP($B439, Result_Database!$A$2:$A$500, Result_Database!K$2:K$500),
  _xlfn.IFNA(_xlpm.result, "")
)</f>
        <v/>
      </c>
      <c r="M439" t="str">
        <f>_xlfn.LET(
  _xlpm.result, _xlfn.XLOOKUP($B439, Result_Database!$A$2:$A$500, Result_Database!L$2:L$500),
  _xlfn.IFNA(_xlpm.result, "")
)</f>
        <v/>
      </c>
      <c r="N439" t="str">
        <f>_xlfn.LET(
  _xlpm.result, _xlfn.XLOOKUP($B439, Result_Database!$A$2:$A$500, Result_Database!M$2:M$500),
  _xlfn.IFNA(_xlpm.result, "")
)</f>
        <v/>
      </c>
      <c r="O439" t="str">
        <f>_xlfn.LET(
  _xlpm.result, _xlfn.XLOOKUP($B439, Result_Database!$A$2:$A$500, Result_Database!N$2:N$500),
  _xlfn.IFNA(_xlpm.result, "")
)</f>
        <v/>
      </c>
      <c r="P439" t="str">
        <f>_xlfn.LET(
  _xlpm.result, _xlfn.XLOOKUP($B439, Result_Database!$A$2:$A$500, Result_Database!O$2:O$500),
  _xlfn.IFNA(_xlpm.result, "")
)</f>
        <v/>
      </c>
      <c r="Q439" t="str">
        <f>_xlfn.LET(
  _xlpm.result, _xlfn.XLOOKUP($B439, Result_Database!$A$2:$A$500, Result_Database!P$2:P$500),
  _xlfn.IFNA(_xlpm.result, "")
)</f>
        <v/>
      </c>
      <c r="R439" t="str">
        <f>_xlfn.LET(
  _xlpm.result, _xlfn.XLOOKUP($B439, Result_Database!$A$2:$A$500, Result_Database!Q$2:Q$500),
  _xlfn.IFNA(_xlpm.result, "")
)</f>
        <v/>
      </c>
      <c r="S439" t="str">
        <f>_xlfn.LET(
  _xlpm.result, _xlfn.XLOOKUP($B439, Result_Database!$A$2:$A$500, Result_Database!R$2:R$500),
  _xlfn.IFNA(_xlpm.result, "")
)</f>
        <v/>
      </c>
      <c r="T439" t="str">
        <f>_xlfn.LET(
  _xlpm.result, _xlfn.XLOOKUP($B439, Result_Database!$A$2:$A$500, Result_Database!S$2:S$500),
  _xlfn.IFNA(_xlpm.result, "")
)</f>
        <v/>
      </c>
      <c r="U439" t="str">
        <f>_xlfn.LET(
  _xlpm.result, _xlfn.XLOOKUP($B439, Result_Database!$A$2:$A$500, Result_Database!T$2:T$500),
  _xlfn.IFNA(_xlpm.result, "")
)</f>
        <v/>
      </c>
      <c r="V439" t="str">
        <f>_xlfn.LET(
  _xlpm.result, _xlfn.XLOOKUP($B439, Result_Database!$A$2:$A$500, Result_Database!U$2:U$500),
  _xlfn.IFNA(_xlpm.result, "")
)</f>
        <v/>
      </c>
      <c r="W439" t="str">
        <f>_xlfn.LET(
  _xlpm.result, _xlfn.XLOOKUP($B439, Result_Database!$A$2:$A$500, Result_Database!V$2:V$500),
  _xlfn.IFNA(_xlpm.result, "")
)</f>
        <v/>
      </c>
      <c r="X439" t="str">
        <f>_xlfn.LET(
  _xlpm.result, _xlfn.XLOOKUP($B439, Result_Database!$A$2:$A$500, Result_Database!W$2:W$500),
  _xlfn.IFNA(_xlpm.result, "")
)</f>
        <v/>
      </c>
      <c r="Y439" t="str">
        <f>_xlfn.LET(
  _xlpm.result, _xlfn.XLOOKUP($B439, Result_Database!$A$2:$A$500, Result_Database!X$2:X$500),
  _xlfn.IFNA(_xlpm.result, "")
)</f>
        <v/>
      </c>
      <c r="Z439" t="str">
        <f>_xlfn.LET(
  _xlpm.result, _xlfn.XLOOKUP($B439, Result_Database!$A$2:$A$500, Result_Database!Y$2:Y$500),
  _xlfn.IFNA(_xlpm.result, "")
)</f>
        <v/>
      </c>
      <c r="AA439" t="str">
        <f>_xlfn.LET(
  _xlpm.result, _xlfn.XLOOKUP($B439, Result_Database!$A$2:$A$500, Result_Database!Z$2:Z$500),
  _xlfn.IFNA(_xlpm.result, "")
)</f>
        <v/>
      </c>
      <c r="AB439" t="str">
        <f>_xlfn.LET(
  _xlpm.result, _xlfn.XLOOKUP($B439, Result_Database!$A$2:$A$500, Result_Database!AA$2:AA$500),
  _xlfn.IFNA(_xlpm.result, "")
)</f>
        <v/>
      </c>
      <c r="AC439" t="str">
        <f>_xlfn.LET(
  _xlpm.result, _xlfn.XLOOKUP($B439, Result_Database!$A$2:$A$500, Result_Database!AB$2:AB$500),
  _xlfn.IFNA(_xlpm.result, "")
)</f>
        <v/>
      </c>
      <c r="AD439" t="str">
        <f>_xlfn.LET(
  _xlpm.result, _xlfn.XLOOKUP($B439, Result_Database!$A$2:$A$500, Result_Database!AC$2:AC$500),
  _xlfn.IFNA(_xlpm.result, "")
)</f>
        <v/>
      </c>
      <c r="AE439" t="str">
        <f>_xlfn.LET(
  _xlpm.result, _xlfn.XLOOKUP($B439, Result_Database!$A$2:$A$500, Result_Database!AD$2:AD$500),
  _xlfn.IFNA(_xlpm.result, "")
)</f>
        <v/>
      </c>
      <c r="AF439" t="str">
        <f>_xlfn.LET(
  _xlpm.result, _xlfn.XLOOKUP($B439, Result_Database!$A$2:$A$500, Result_Database!AE$2:AE$500),
  _xlfn.IFNA(_xlpm.result, "")
)</f>
        <v/>
      </c>
      <c r="AG439" t="str">
        <f>_xlfn.LET(
  _xlpm.result, _xlfn.XLOOKUP($B439, Result_Database!$A$2:$A$500, Result_Database!AF$2:AF$500),
  _xlfn.IFNA(_xlpm.result, "")
)</f>
        <v/>
      </c>
      <c r="AH439" t="str">
        <f>_xlfn.LET(
  _xlpm.result, _xlfn.XLOOKUP($B439, Result_Database!$A$2:$A$500, Result_Database!AG$2:AG$500),
  _xlfn.IFNA(_xlpm.result, "")
)</f>
        <v/>
      </c>
      <c r="AI439" t="str">
        <f>_xlfn.LET(
  _xlpm.result, _xlfn.XLOOKUP($B439, Result_Database!$A$2:$A$500, Result_Database!AH$2:AH$500),
  _xlfn.IFNA(_xlpm.result, "")
)</f>
        <v/>
      </c>
      <c r="AJ439" t="str">
        <f>_xlfn.LET(
  _xlpm.result, _xlfn.XLOOKUP($B439, Result_Database!$A$2:$A$500, Result_Database!AI$2:AI$500),
  _xlfn.IFNA(_xlpm.result, "")
)</f>
        <v/>
      </c>
      <c r="AK439" t="str">
        <f>_xlfn.LET(
  _xlpm.result, _xlfn.XLOOKUP($B439, Result_Database!$A$2:$A$500, Result_Database!AJ$2:AJ$500),
  _xlfn.IFNA(_xlpm.result, "")
)</f>
        <v/>
      </c>
      <c r="AL439" t="str">
        <f>_xlfn.LET(
  _xlpm.result, _xlfn.XLOOKUP($B439, Result_Database!$A$2:$A$500, Result_Database!AK$2:AK$500),
  _xlfn.IFNA(_xlpm.result, "")
)</f>
        <v/>
      </c>
      <c r="AM43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3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3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3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3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3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3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3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3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39" t="str">
        <f>IF(SUM(Table5[[#This Row],[A1]:[C6]])&lt;&gt;0,SUM(Table5[[#This Row],[A1]:[C6]]),"")</f>
        <v/>
      </c>
      <c r="AW439" t="str">
        <f>IF(SUM(Table5[[#This Row],[D7]:[F9]])=0,"",SUM(Table5[[#This Row],[D7]:[F9]]))</f>
        <v/>
      </c>
      <c r="AX43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3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3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3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3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3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39" t="str">
        <f>IF(COUNTIF(Table5[[#This Row],[English Language]:[Electrical/ Electronics]],"WITHHELD")=0,"",COUNTIF(Table5[[#This Row],[English Language]:[Electrical/ Electronics]],"WITHHELD"))</f>
        <v/>
      </c>
      <c r="BE439" t="str">
        <f>IF(SUM(Table5[[#This Row],[NO OF CREDITS]:[BELOW CREDITS]])=0,"",SUM(Table5[[#This Row],[NO OF CREDITS]:[BELOW CREDITS]]))</f>
        <v/>
      </c>
    </row>
    <row r="440" spans="1:57" x14ac:dyDescent="0.3">
      <c r="A440" t="str">
        <f>IF(B440&lt;&gt;"",COUNTA($B$6:B440),"")</f>
        <v/>
      </c>
      <c r="B440" t="str">
        <f>IF(Result_Database!A436="","",Result_Database!A436)</f>
        <v/>
      </c>
      <c r="C440" t="str">
        <f>_xlfn.LET(
_xlpm.result,_xlfn.XLOOKUP($B440,Result_Database!$A$2:$A$500,Result_Database!$B$2:$B$500),
_xlfn.IFNA(_xlpm.result,"")
)</f>
        <v/>
      </c>
      <c r="D440" t="str">
        <f>_xlfn.LET(
  _xlpm.result, _xlfn.XLOOKUP($B440, Result_Database!$A$2:$A$500, Result_Database!C$2:C$500),
  _xlfn.IFNA(_xlpm.result, "")
)</f>
        <v/>
      </c>
      <c r="E440" t="str">
        <f>_xlfn.LET(
  _xlpm.result, _xlfn.XLOOKUP($B440, Result_Database!$A$2:$A$500, Result_Database!D$2:D$500),
  _xlfn.IFNA(_xlpm.result, "")
)</f>
        <v/>
      </c>
      <c r="F440" t="str">
        <f>_xlfn.LET(
  _xlpm.result, _xlfn.XLOOKUP($B440, Result_Database!$A$2:$A$500, Result_Database!E$2:E$500),
  _xlfn.IFNA(_xlpm.result, "")
)</f>
        <v/>
      </c>
      <c r="G440" t="str">
        <f>_xlfn.LET(
  _xlpm.result, _xlfn.XLOOKUP($B440, Result_Database!$A$2:$A$500, Result_Database!F$2:F$500),
  _xlfn.IFNA(_xlpm.result, "")
)</f>
        <v/>
      </c>
      <c r="H440" t="str">
        <f>_xlfn.LET(
  _xlpm.result, _xlfn.XLOOKUP($B440, Result_Database!$A$2:$A$500, Result_Database!G$2:G$500),
  _xlfn.IFNA(_xlpm.result, "")
)</f>
        <v/>
      </c>
      <c r="I440" t="str">
        <f>_xlfn.LET(
  _xlpm.result, _xlfn.XLOOKUP($B440, Result_Database!$A$2:$A$500, Result_Database!H$2:H$500),
  _xlfn.IFNA(_xlpm.result, "")
)</f>
        <v/>
      </c>
      <c r="J440" t="str">
        <f>_xlfn.LET(
  _xlpm.result, _xlfn.XLOOKUP($B440, Result_Database!$A$2:$A$500, Result_Database!I$2:I$500),
  _xlfn.IFNA(_xlpm.result, "")
)</f>
        <v/>
      </c>
      <c r="K440" t="str">
        <f>_xlfn.LET(
  _xlpm.result, _xlfn.XLOOKUP($B440, Result_Database!$A$2:$A$500, Result_Database!J$2:J$500),
  _xlfn.IFNA(_xlpm.result, "")
)</f>
        <v/>
      </c>
      <c r="L440" t="str">
        <f>_xlfn.LET(
  _xlpm.result, _xlfn.XLOOKUP($B440, Result_Database!$A$2:$A$500, Result_Database!K$2:K$500),
  _xlfn.IFNA(_xlpm.result, "")
)</f>
        <v/>
      </c>
      <c r="M440" t="str">
        <f>_xlfn.LET(
  _xlpm.result, _xlfn.XLOOKUP($B440, Result_Database!$A$2:$A$500, Result_Database!L$2:L$500),
  _xlfn.IFNA(_xlpm.result, "")
)</f>
        <v/>
      </c>
      <c r="N440" t="str">
        <f>_xlfn.LET(
  _xlpm.result, _xlfn.XLOOKUP($B440, Result_Database!$A$2:$A$500, Result_Database!M$2:M$500),
  _xlfn.IFNA(_xlpm.result, "")
)</f>
        <v/>
      </c>
      <c r="O440" t="str">
        <f>_xlfn.LET(
  _xlpm.result, _xlfn.XLOOKUP($B440, Result_Database!$A$2:$A$500, Result_Database!N$2:N$500),
  _xlfn.IFNA(_xlpm.result, "")
)</f>
        <v/>
      </c>
      <c r="P440" t="str">
        <f>_xlfn.LET(
  _xlpm.result, _xlfn.XLOOKUP($B440, Result_Database!$A$2:$A$500, Result_Database!O$2:O$500),
  _xlfn.IFNA(_xlpm.result, "")
)</f>
        <v/>
      </c>
      <c r="Q440" t="str">
        <f>_xlfn.LET(
  _xlpm.result, _xlfn.XLOOKUP($B440, Result_Database!$A$2:$A$500, Result_Database!P$2:P$500),
  _xlfn.IFNA(_xlpm.result, "")
)</f>
        <v/>
      </c>
      <c r="R440" t="str">
        <f>_xlfn.LET(
  _xlpm.result, _xlfn.XLOOKUP($B440, Result_Database!$A$2:$A$500, Result_Database!Q$2:Q$500),
  _xlfn.IFNA(_xlpm.result, "")
)</f>
        <v/>
      </c>
      <c r="S440" t="str">
        <f>_xlfn.LET(
  _xlpm.result, _xlfn.XLOOKUP($B440, Result_Database!$A$2:$A$500, Result_Database!R$2:R$500),
  _xlfn.IFNA(_xlpm.result, "")
)</f>
        <v/>
      </c>
      <c r="T440" t="str">
        <f>_xlfn.LET(
  _xlpm.result, _xlfn.XLOOKUP($B440, Result_Database!$A$2:$A$500, Result_Database!S$2:S$500),
  _xlfn.IFNA(_xlpm.result, "")
)</f>
        <v/>
      </c>
      <c r="U440" t="str">
        <f>_xlfn.LET(
  _xlpm.result, _xlfn.XLOOKUP($B440, Result_Database!$A$2:$A$500, Result_Database!T$2:T$500),
  _xlfn.IFNA(_xlpm.result, "")
)</f>
        <v/>
      </c>
      <c r="V440" t="str">
        <f>_xlfn.LET(
  _xlpm.result, _xlfn.XLOOKUP($B440, Result_Database!$A$2:$A$500, Result_Database!U$2:U$500),
  _xlfn.IFNA(_xlpm.result, "")
)</f>
        <v/>
      </c>
      <c r="W440" t="str">
        <f>_xlfn.LET(
  _xlpm.result, _xlfn.XLOOKUP($B440, Result_Database!$A$2:$A$500, Result_Database!V$2:V$500),
  _xlfn.IFNA(_xlpm.result, "")
)</f>
        <v/>
      </c>
      <c r="X440" t="str">
        <f>_xlfn.LET(
  _xlpm.result, _xlfn.XLOOKUP($B440, Result_Database!$A$2:$A$500, Result_Database!W$2:W$500),
  _xlfn.IFNA(_xlpm.result, "")
)</f>
        <v/>
      </c>
      <c r="Y440" t="str">
        <f>_xlfn.LET(
  _xlpm.result, _xlfn.XLOOKUP($B440, Result_Database!$A$2:$A$500, Result_Database!X$2:X$500),
  _xlfn.IFNA(_xlpm.result, "")
)</f>
        <v/>
      </c>
      <c r="Z440" t="str">
        <f>_xlfn.LET(
  _xlpm.result, _xlfn.XLOOKUP($B440, Result_Database!$A$2:$A$500, Result_Database!Y$2:Y$500),
  _xlfn.IFNA(_xlpm.result, "")
)</f>
        <v/>
      </c>
      <c r="AA440" t="str">
        <f>_xlfn.LET(
  _xlpm.result, _xlfn.XLOOKUP($B440, Result_Database!$A$2:$A$500, Result_Database!Z$2:Z$500),
  _xlfn.IFNA(_xlpm.result, "")
)</f>
        <v/>
      </c>
      <c r="AB440" t="str">
        <f>_xlfn.LET(
  _xlpm.result, _xlfn.XLOOKUP($B440, Result_Database!$A$2:$A$500, Result_Database!AA$2:AA$500),
  _xlfn.IFNA(_xlpm.result, "")
)</f>
        <v/>
      </c>
      <c r="AC440" t="str">
        <f>_xlfn.LET(
  _xlpm.result, _xlfn.XLOOKUP($B440, Result_Database!$A$2:$A$500, Result_Database!AB$2:AB$500),
  _xlfn.IFNA(_xlpm.result, "")
)</f>
        <v/>
      </c>
      <c r="AD440" t="str">
        <f>_xlfn.LET(
  _xlpm.result, _xlfn.XLOOKUP($B440, Result_Database!$A$2:$A$500, Result_Database!AC$2:AC$500),
  _xlfn.IFNA(_xlpm.result, "")
)</f>
        <v/>
      </c>
      <c r="AE440" t="str">
        <f>_xlfn.LET(
  _xlpm.result, _xlfn.XLOOKUP($B440, Result_Database!$A$2:$A$500, Result_Database!AD$2:AD$500),
  _xlfn.IFNA(_xlpm.result, "")
)</f>
        <v/>
      </c>
      <c r="AF440" t="str">
        <f>_xlfn.LET(
  _xlpm.result, _xlfn.XLOOKUP($B440, Result_Database!$A$2:$A$500, Result_Database!AE$2:AE$500),
  _xlfn.IFNA(_xlpm.result, "")
)</f>
        <v/>
      </c>
      <c r="AG440" t="str">
        <f>_xlfn.LET(
  _xlpm.result, _xlfn.XLOOKUP($B440, Result_Database!$A$2:$A$500, Result_Database!AF$2:AF$500),
  _xlfn.IFNA(_xlpm.result, "")
)</f>
        <v/>
      </c>
      <c r="AH440" t="str">
        <f>_xlfn.LET(
  _xlpm.result, _xlfn.XLOOKUP($B440, Result_Database!$A$2:$A$500, Result_Database!AG$2:AG$500),
  _xlfn.IFNA(_xlpm.result, "")
)</f>
        <v/>
      </c>
      <c r="AI440" t="str">
        <f>_xlfn.LET(
  _xlpm.result, _xlfn.XLOOKUP($B440, Result_Database!$A$2:$A$500, Result_Database!AH$2:AH$500),
  _xlfn.IFNA(_xlpm.result, "")
)</f>
        <v/>
      </c>
      <c r="AJ440" t="str">
        <f>_xlfn.LET(
  _xlpm.result, _xlfn.XLOOKUP($B440, Result_Database!$A$2:$A$500, Result_Database!AI$2:AI$500),
  _xlfn.IFNA(_xlpm.result, "")
)</f>
        <v/>
      </c>
      <c r="AK440" t="str">
        <f>_xlfn.LET(
  _xlpm.result, _xlfn.XLOOKUP($B440, Result_Database!$A$2:$A$500, Result_Database!AJ$2:AJ$500),
  _xlfn.IFNA(_xlpm.result, "")
)</f>
        <v/>
      </c>
      <c r="AL440" t="str">
        <f>_xlfn.LET(
  _xlpm.result, _xlfn.XLOOKUP($B440, Result_Database!$A$2:$A$500, Result_Database!AK$2:AK$500),
  _xlfn.IFNA(_xlpm.result, "")
)</f>
        <v/>
      </c>
      <c r="AM44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4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4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4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4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4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4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4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4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40" t="str">
        <f>IF(SUM(Table5[[#This Row],[A1]:[C6]])&lt;&gt;0,SUM(Table5[[#This Row],[A1]:[C6]]),"")</f>
        <v/>
      </c>
      <c r="AW440" t="str">
        <f>IF(SUM(Table5[[#This Row],[D7]:[F9]])=0,"",SUM(Table5[[#This Row],[D7]:[F9]]))</f>
        <v/>
      </c>
      <c r="AX44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4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4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4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4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4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40" t="str">
        <f>IF(COUNTIF(Table5[[#This Row],[English Language]:[Electrical/ Electronics]],"WITHHELD")=0,"",COUNTIF(Table5[[#This Row],[English Language]:[Electrical/ Electronics]],"WITHHELD"))</f>
        <v/>
      </c>
      <c r="BE440" t="str">
        <f>IF(SUM(Table5[[#This Row],[NO OF CREDITS]:[BELOW CREDITS]])=0,"",SUM(Table5[[#This Row],[NO OF CREDITS]:[BELOW CREDITS]]))</f>
        <v/>
      </c>
    </row>
    <row r="441" spans="1:57" x14ac:dyDescent="0.3">
      <c r="A441" t="str">
        <f>IF(B441&lt;&gt;"",COUNTA($B$6:B441),"")</f>
        <v/>
      </c>
      <c r="B441" t="str">
        <f>IF(Result_Database!A437="","",Result_Database!A437)</f>
        <v/>
      </c>
      <c r="C441" t="str">
        <f>_xlfn.LET(
_xlpm.result,_xlfn.XLOOKUP($B441,Result_Database!$A$2:$A$500,Result_Database!$B$2:$B$500),
_xlfn.IFNA(_xlpm.result,"")
)</f>
        <v/>
      </c>
      <c r="D441" t="str">
        <f>_xlfn.LET(
  _xlpm.result, _xlfn.XLOOKUP($B441, Result_Database!$A$2:$A$500, Result_Database!C$2:C$500),
  _xlfn.IFNA(_xlpm.result, "")
)</f>
        <v/>
      </c>
      <c r="E441" t="str">
        <f>_xlfn.LET(
  _xlpm.result, _xlfn.XLOOKUP($B441, Result_Database!$A$2:$A$500, Result_Database!D$2:D$500),
  _xlfn.IFNA(_xlpm.result, "")
)</f>
        <v/>
      </c>
      <c r="F441" t="str">
        <f>_xlfn.LET(
  _xlpm.result, _xlfn.XLOOKUP($B441, Result_Database!$A$2:$A$500, Result_Database!E$2:E$500),
  _xlfn.IFNA(_xlpm.result, "")
)</f>
        <v/>
      </c>
      <c r="G441" t="str">
        <f>_xlfn.LET(
  _xlpm.result, _xlfn.XLOOKUP($B441, Result_Database!$A$2:$A$500, Result_Database!F$2:F$500),
  _xlfn.IFNA(_xlpm.result, "")
)</f>
        <v/>
      </c>
      <c r="H441" t="str">
        <f>_xlfn.LET(
  _xlpm.result, _xlfn.XLOOKUP($B441, Result_Database!$A$2:$A$500, Result_Database!G$2:G$500),
  _xlfn.IFNA(_xlpm.result, "")
)</f>
        <v/>
      </c>
      <c r="I441" t="str">
        <f>_xlfn.LET(
  _xlpm.result, _xlfn.XLOOKUP($B441, Result_Database!$A$2:$A$500, Result_Database!H$2:H$500),
  _xlfn.IFNA(_xlpm.result, "")
)</f>
        <v/>
      </c>
      <c r="J441" t="str">
        <f>_xlfn.LET(
  _xlpm.result, _xlfn.XLOOKUP($B441, Result_Database!$A$2:$A$500, Result_Database!I$2:I$500),
  _xlfn.IFNA(_xlpm.result, "")
)</f>
        <v/>
      </c>
      <c r="K441" t="str">
        <f>_xlfn.LET(
  _xlpm.result, _xlfn.XLOOKUP($B441, Result_Database!$A$2:$A$500, Result_Database!J$2:J$500),
  _xlfn.IFNA(_xlpm.result, "")
)</f>
        <v/>
      </c>
      <c r="L441" t="str">
        <f>_xlfn.LET(
  _xlpm.result, _xlfn.XLOOKUP($B441, Result_Database!$A$2:$A$500, Result_Database!K$2:K$500),
  _xlfn.IFNA(_xlpm.result, "")
)</f>
        <v/>
      </c>
      <c r="M441" t="str">
        <f>_xlfn.LET(
  _xlpm.result, _xlfn.XLOOKUP($B441, Result_Database!$A$2:$A$500, Result_Database!L$2:L$500),
  _xlfn.IFNA(_xlpm.result, "")
)</f>
        <v/>
      </c>
      <c r="N441" t="str">
        <f>_xlfn.LET(
  _xlpm.result, _xlfn.XLOOKUP($B441, Result_Database!$A$2:$A$500, Result_Database!M$2:M$500),
  _xlfn.IFNA(_xlpm.result, "")
)</f>
        <v/>
      </c>
      <c r="O441" t="str">
        <f>_xlfn.LET(
  _xlpm.result, _xlfn.XLOOKUP($B441, Result_Database!$A$2:$A$500, Result_Database!N$2:N$500),
  _xlfn.IFNA(_xlpm.result, "")
)</f>
        <v/>
      </c>
      <c r="P441" t="str">
        <f>_xlfn.LET(
  _xlpm.result, _xlfn.XLOOKUP($B441, Result_Database!$A$2:$A$500, Result_Database!O$2:O$500),
  _xlfn.IFNA(_xlpm.result, "")
)</f>
        <v/>
      </c>
      <c r="Q441" t="str">
        <f>_xlfn.LET(
  _xlpm.result, _xlfn.XLOOKUP($B441, Result_Database!$A$2:$A$500, Result_Database!P$2:P$500),
  _xlfn.IFNA(_xlpm.result, "")
)</f>
        <v/>
      </c>
      <c r="R441" t="str">
        <f>_xlfn.LET(
  _xlpm.result, _xlfn.XLOOKUP($B441, Result_Database!$A$2:$A$500, Result_Database!Q$2:Q$500),
  _xlfn.IFNA(_xlpm.result, "")
)</f>
        <v/>
      </c>
      <c r="S441" t="str">
        <f>_xlfn.LET(
  _xlpm.result, _xlfn.XLOOKUP($B441, Result_Database!$A$2:$A$500, Result_Database!R$2:R$500),
  _xlfn.IFNA(_xlpm.result, "")
)</f>
        <v/>
      </c>
      <c r="T441" t="str">
        <f>_xlfn.LET(
  _xlpm.result, _xlfn.XLOOKUP($B441, Result_Database!$A$2:$A$500, Result_Database!S$2:S$500),
  _xlfn.IFNA(_xlpm.result, "")
)</f>
        <v/>
      </c>
      <c r="U441" t="str">
        <f>_xlfn.LET(
  _xlpm.result, _xlfn.XLOOKUP($B441, Result_Database!$A$2:$A$500, Result_Database!T$2:T$500),
  _xlfn.IFNA(_xlpm.result, "")
)</f>
        <v/>
      </c>
      <c r="V441" t="str">
        <f>_xlfn.LET(
  _xlpm.result, _xlfn.XLOOKUP($B441, Result_Database!$A$2:$A$500, Result_Database!U$2:U$500),
  _xlfn.IFNA(_xlpm.result, "")
)</f>
        <v/>
      </c>
      <c r="W441" t="str">
        <f>_xlfn.LET(
  _xlpm.result, _xlfn.XLOOKUP($B441, Result_Database!$A$2:$A$500, Result_Database!V$2:V$500),
  _xlfn.IFNA(_xlpm.result, "")
)</f>
        <v/>
      </c>
      <c r="X441" t="str">
        <f>_xlfn.LET(
  _xlpm.result, _xlfn.XLOOKUP($B441, Result_Database!$A$2:$A$500, Result_Database!W$2:W$500),
  _xlfn.IFNA(_xlpm.result, "")
)</f>
        <v/>
      </c>
      <c r="Y441" t="str">
        <f>_xlfn.LET(
  _xlpm.result, _xlfn.XLOOKUP($B441, Result_Database!$A$2:$A$500, Result_Database!X$2:X$500),
  _xlfn.IFNA(_xlpm.result, "")
)</f>
        <v/>
      </c>
      <c r="Z441" t="str">
        <f>_xlfn.LET(
  _xlpm.result, _xlfn.XLOOKUP($B441, Result_Database!$A$2:$A$500, Result_Database!Y$2:Y$500),
  _xlfn.IFNA(_xlpm.result, "")
)</f>
        <v/>
      </c>
      <c r="AA441" t="str">
        <f>_xlfn.LET(
  _xlpm.result, _xlfn.XLOOKUP($B441, Result_Database!$A$2:$A$500, Result_Database!Z$2:Z$500),
  _xlfn.IFNA(_xlpm.result, "")
)</f>
        <v/>
      </c>
      <c r="AB441" t="str">
        <f>_xlfn.LET(
  _xlpm.result, _xlfn.XLOOKUP($B441, Result_Database!$A$2:$A$500, Result_Database!AA$2:AA$500),
  _xlfn.IFNA(_xlpm.result, "")
)</f>
        <v/>
      </c>
      <c r="AC441" t="str">
        <f>_xlfn.LET(
  _xlpm.result, _xlfn.XLOOKUP($B441, Result_Database!$A$2:$A$500, Result_Database!AB$2:AB$500),
  _xlfn.IFNA(_xlpm.result, "")
)</f>
        <v/>
      </c>
      <c r="AD441" t="str">
        <f>_xlfn.LET(
  _xlpm.result, _xlfn.XLOOKUP($B441, Result_Database!$A$2:$A$500, Result_Database!AC$2:AC$500),
  _xlfn.IFNA(_xlpm.result, "")
)</f>
        <v/>
      </c>
      <c r="AE441" t="str">
        <f>_xlfn.LET(
  _xlpm.result, _xlfn.XLOOKUP($B441, Result_Database!$A$2:$A$500, Result_Database!AD$2:AD$500),
  _xlfn.IFNA(_xlpm.result, "")
)</f>
        <v/>
      </c>
      <c r="AF441" t="str">
        <f>_xlfn.LET(
  _xlpm.result, _xlfn.XLOOKUP($B441, Result_Database!$A$2:$A$500, Result_Database!AE$2:AE$500),
  _xlfn.IFNA(_xlpm.result, "")
)</f>
        <v/>
      </c>
      <c r="AG441" t="str">
        <f>_xlfn.LET(
  _xlpm.result, _xlfn.XLOOKUP($B441, Result_Database!$A$2:$A$500, Result_Database!AF$2:AF$500),
  _xlfn.IFNA(_xlpm.result, "")
)</f>
        <v/>
      </c>
      <c r="AH441" t="str">
        <f>_xlfn.LET(
  _xlpm.result, _xlfn.XLOOKUP($B441, Result_Database!$A$2:$A$500, Result_Database!AG$2:AG$500),
  _xlfn.IFNA(_xlpm.result, "")
)</f>
        <v/>
      </c>
      <c r="AI441" t="str">
        <f>_xlfn.LET(
  _xlpm.result, _xlfn.XLOOKUP($B441, Result_Database!$A$2:$A$500, Result_Database!AH$2:AH$500),
  _xlfn.IFNA(_xlpm.result, "")
)</f>
        <v/>
      </c>
      <c r="AJ441" t="str">
        <f>_xlfn.LET(
  _xlpm.result, _xlfn.XLOOKUP($B441, Result_Database!$A$2:$A$500, Result_Database!AI$2:AI$500),
  _xlfn.IFNA(_xlpm.result, "")
)</f>
        <v/>
      </c>
      <c r="AK441" t="str">
        <f>_xlfn.LET(
  _xlpm.result, _xlfn.XLOOKUP($B441, Result_Database!$A$2:$A$500, Result_Database!AJ$2:AJ$500),
  _xlfn.IFNA(_xlpm.result, "")
)</f>
        <v/>
      </c>
      <c r="AL441" t="str">
        <f>_xlfn.LET(
  _xlpm.result, _xlfn.XLOOKUP($B441, Result_Database!$A$2:$A$500, Result_Database!AK$2:AK$500),
  _xlfn.IFNA(_xlpm.result, "")
)</f>
        <v/>
      </c>
      <c r="AM44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4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4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4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4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4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4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4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4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41" t="str">
        <f>IF(SUM(Table5[[#This Row],[A1]:[C6]])&lt;&gt;0,SUM(Table5[[#This Row],[A1]:[C6]]),"")</f>
        <v/>
      </c>
      <c r="AW441" t="str">
        <f>IF(SUM(Table5[[#This Row],[D7]:[F9]])=0,"",SUM(Table5[[#This Row],[D7]:[F9]]))</f>
        <v/>
      </c>
      <c r="AX44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4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4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4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4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4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41" t="str">
        <f>IF(COUNTIF(Table5[[#This Row],[English Language]:[Electrical/ Electronics]],"WITHHELD")=0,"",COUNTIF(Table5[[#This Row],[English Language]:[Electrical/ Electronics]],"WITHHELD"))</f>
        <v/>
      </c>
      <c r="BE441" t="str">
        <f>IF(SUM(Table5[[#This Row],[NO OF CREDITS]:[BELOW CREDITS]])=0,"",SUM(Table5[[#This Row],[NO OF CREDITS]:[BELOW CREDITS]]))</f>
        <v/>
      </c>
    </row>
    <row r="442" spans="1:57" x14ac:dyDescent="0.3">
      <c r="A442" t="str">
        <f>IF(B442&lt;&gt;"",COUNTA($B$6:B442),"")</f>
        <v/>
      </c>
      <c r="B442" t="str">
        <f>IF(Result_Database!A438="","",Result_Database!A438)</f>
        <v/>
      </c>
      <c r="C442" t="str">
        <f>_xlfn.LET(
_xlpm.result,_xlfn.XLOOKUP($B442,Result_Database!$A$2:$A$500,Result_Database!$B$2:$B$500),
_xlfn.IFNA(_xlpm.result,"")
)</f>
        <v/>
      </c>
      <c r="D442" t="str">
        <f>_xlfn.LET(
  _xlpm.result, _xlfn.XLOOKUP($B442, Result_Database!$A$2:$A$500, Result_Database!C$2:C$500),
  _xlfn.IFNA(_xlpm.result, "")
)</f>
        <v/>
      </c>
      <c r="E442" t="str">
        <f>_xlfn.LET(
  _xlpm.result, _xlfn.XLOOKUP($B442, Result_Database!$A$2:$A$500, Result_Database!D$2:D$500),
  _xlfn.IFNA(_xlpm.result, "")
)</f>
        <v/>
      </c>
      <c r="F442" t="str">
        <f>_xlfn.LET(
  _xlpm.result, _xlfn.XLOOKUP($B442, Result_Database!$A$2:$A$500, Result_Database!E$2:E$500),
  _xlfn.IFNA(_xlpm.result, "")
)</f>
        <v/>
      </c>
      <c r="G442" t="str">
        <f>_xlfn.LET(
  _xlpm.result, _xlfn.XLOOKUP($B442, Result_Database!$A$2:$A$500, Result_Database!F$2:F$500),
  _xlfn.IFNA(_xlpm.result, "")
)</f>
        <v/>
      </c>
      <c r="H442" t="str">
        <f>_xlfn.LET(
  _xlpm.result, _xlfn.XLOOKUP($B442, Result_Database!$A$2:$A$500, Result_Database!G$2:G$500),
  _xlfn.IFNA(_xlpm.result, "")
)</f>
        <v/>
      </c>
      <c r="I442" t="str">
        <f>_xlfn.LET(
  _xlpm.result, _xlfn.XLOOKUP($B442, Result_Database!$A$2:$A$500, Result_Database!H$2:H$500),
  _xlfn.IFNA(_xlpm.result, "")
)</f>
        <v/>
      </c>
      <c r="J442" t="str">
        <f>_xlfn.LET(
  _xlpm.result, _xlfn.XLOOKUP($B442, Result_Database!$A$2:$A$500, Result_Database!I$2:I$500),
  _xlfn.IFNA(_xlpm.result, "")
)</f>
        <v/>
      </c>
      <c r="K442" t="str">
        <f>_xlfn.LET(
  _xlpm.result, _xlfn.XLOOKUP($B442, Result_Database!$A$2:$A$500, Result_Database!J$2:J$500),
  _xlfn.IFNA(_xlpm.result, "")
)</f>
        <v/>
      </c>
      <c r="L442" t="str">
        <f>_xlfn.LET(
  _xlpm.result, _xlfn.XLOOKUP($B442, Result_Database!$A$2:$A$500, Result_Database!K$2:K$500),
  _xlfn.IFNA(_xlpm.result, "")
)</f>
        <v/>
      </c>
      <c r="M442" t="str">
        <f>_xlfn.LET(
  _xlpm.result, _xlfn.XLOOKUP($B442, Result_Database!$A$2:$A$500, Result_Database!L$2:L$500),
  _xlfn.IFNA(_xlpm.result, "")
)</f>
        <v/>
      </c>
      <c r="N442" t="str">
        <f>_xlfn.LET(
  _xlpm.result, _xlfn.XLOOKUP($B442, Result_Database!$A$2:$A$500, Result_Database!M$2:M$500),
  _xlfn.IFNA(_xlpm.result, "")
)</f>
        <v/>
      </c>
      <c r="O442" t="str">
        <f>_xlfn.LET(
  _xlpm.result, _xlfn.XLOOKUP($B442, Result_Database!$A$2:$A$500, Result_Database!N$2:N$500),
  _xlfn.IFNA(_xlpm.result, "")
)</f>
        <v/>
      </c>
      <c r="P442" t="str">
        <f>_xlfn.LET(
  _xlpm.result, _xlfn.XLOOKUP($B442, Result_Database!$A$2:$A$500, Result_Database!O$2:O$500),
  _xlfn.IFNA(_xlpm.result, "")
)</f>
        <v/>
      </c>
      <c r="Q442" t="str">
        <f>_xlfn.LET(
  _xlpm.result, _xlfn.XLOOKUP($B442, Result_Database!$A$2:$A$500, Result_Database!P$2:P$500),
  _xlfn.IFNA(_xlpm.result, "")
)</f>
        <v/>
      </c>
      <c r="R442" t="str">
        <f>_xlfn.LET(
  _xlpm.result, _xlfn.XLOOKUP($B442, Result_Database!$A$2:$A$500, Result_Database!Q$2:Q$500),
  _xlfn.IFNA(_xlpm.result, "")
)</f>
        <v/>
      </c>
      <c r="S442" t="str">
        <f>_xlfn.LET(
  _xlpm.result, _xlfn.XLOOKUP($B442, Result_Database!$A$2:$A$500, Result_Database!R$2:R$500),
  _xlfn.IFNA(_xlpm.result, "")
)</f>
        <v/>
      </c>
      <c r="T442" t="str">
        <f>_xlfn.LET(
  _xlpm.result, _xlfn.XLOOKUP($B442, Result_Database!$A$2:$A$500, Result_Database!S$2:S$500),
  _xlfn.IFNA(_xlpm.result, "")
)</f>
        <v/>
      </c>
      <c r="U442" t="str">
        <f>_xlfn.LET(
  _xlpm.result, _xlfn.XLOOKUP($B442, Result_Database!$A$2:$A$500, Result_Database!T$2:T$500),
  _xlfn.IFNA(_xlpm.result, "")
)</f>
        <v/>
      </c>
      <c r="V442" t="str">
        <f>_xlfn.LET(
  _xlpm.result, _xlfn.XLOOKUP($B442, Result_Database!$A$2:$A$500, Result_Database!U$2:U$500),
  _xlfn.IFNA(_xlpm.result, "")
)</f>
        <v/>
      </c>
      <c r="W442" t="str">
        <f>_xlfn.LET(
  _xlpm.result, _xlfn.XLOOKUP($B442, Result_Database!$A$2:$A$500, Result_Database!V$2:V$500),
  _xlfn.IFNA(_xlpm.result, "")
)</f>
        <v/>
      </c>
      <c r="X442" t="str">
        <f>_xlfn.LET(
  _xlpm.result, _xlfn.XLOOKUP($B442, Result_Database!$A$2:$A$500, Result_Database!W$2:W$500),
  _xlfn.IFNA(_xlpm.result, "")
)</f>
        <v/>
      </c>
      <c r="Y442" t="str">
        <f>_xlfn.LET(
  _xlpm.result, _xlfn.XLOOKUP($B442, Result_Database!$A$2:$A$500, Result_Database!X$2:X$500),
  _xlfn.IFNA(_xlpm.result, "")
)</f>
        <v/>
      </c>
      <c r="Z442" t="str">
        <f>_xlfn.LET(
  _xlpm.result, _xlfn.XLOOKUP($B442, Result_Database!$A$2:$A$500, Result_Database!Y$2:Y$500),
  _xlfn.IFNA(_xlpm.result, "")
)</f>
        <v/>
      </c>
      <c r="AA442" t="str">
        <f>_xlfn.LET(
  _xlpm.result, _xlfn.XLOOKUP($B442, Result_Database!$A$2:$A$500, Result_Database!Z$2:Z$500),
  _xlfn.IFNA(_xlpm.result, "")
)</f>
        <v/>
      </c>
      <c r="AB442" t="str">
        <f>_xlfn.LET(
  _xlpm.result, _xlfn.XLOOKUP($B442, Result_Database!$A$2:$A$500, Result_Database!AA$2:AA$500),
  _xlfn.IFNA(_xlpm.result, "")
)</f>
        <v/>
      </c>
      <c r="AC442" t="str">
        <f>_xlfn.LET(
  _xlpm.result, _xlfn.XLOOKUP($B442, Result_Database!$A$2:$A$500, Result_Database!AB$2:AB$500),
  _xlfn.IFNA(_xlpm.result, "")
)</f>
        <v/>
      </c>
      <c r="AD442" t="str">
        <f>_xlfn.LET(
  _xlpm.result, _xlfn.XLOOKUP($B442, Result_Database!$A$2:$A$500, Result_Database!AC$2:AC$500),
  _xlfn.IFNA(_xlpm.result, "")
)</f>
        <v/>
      </c>
      <c r="AE442" t="str">
        <f>_xlfn.LET(
  _xlpm.result, _xlfn.XLOOKUP($B442, Result_Database!$A$2:$A$500, Result_Database!AD$2:AD$500),
  _xlfn.IFNA(_xlpm.result, "")
)</f>
        <v/>
      </c>
      <c r="AF442" t="str">
        <f>_xlfn.LET(
  _xlpm.result, _xlfn.XLOOKUP($B442, Result_Database!$A$2:$A$500, Result_Database!AE$2:AE$500),
  _xlfn.IFNA(_xlpm.result, "")
)</f>
        <v/>
      </c>
      <c r="AG442" t="str">
        <f>_xlfn.LET(
  _xlpm.result, _xlfn.XLOOKUP($B442, Result_Database!$A$2:$A$500, Result_Database!AF$2:AF$500),
  _xlfn.IFNA(_xlpm.result, "")
)</f>
        <v/>
      </c>
      <c r="AH442" t="str">
        <f>_xlfn.LET(
  _xlpm.result, _xlfn.XLOOKUP($B442, Result_Database!$A$2:$A$500, Result_Database!AG$2:AG$500),
  _xlfn.IFNA(_xlpm.result, "")
)</f>
        <v/>
      </c>
      <c r="AI442" t="str">
        <f>_xlfn.LET(
  _xlpm.result, _xlfn.XLOOKUP($B442, Result_Database!$A$2:$A$500, Result_Database!AH$2:AH$500),
  _xlfn.IFNA(_xlpm.result, "")
)</f>
        <v/>
      </c>
      <c r="AJ442" t="str">
        <f>_xlfn.LET(
  _xlpm.result, _xlfn.XLOOKUP($B442, Result_Database!$A$2:$A$500, Result_Database!AI$2:AI$500),
  _xlfn.IFNA(_xlpm.result, "")
)</f>
        <v/>
      </c>
      <c r="AK442" t="str">
        <f>_xlfn.LET(
  _xlpm.result, _xlfn.XLOOKUP($B442, Result_Database!$A$2:$A$500, Result_Database!AJ$2:AJ$500),
  _xlfn.IFNA(_xlpm.result, "")
)</f>
        <v/>
      </c>
      <c r="AL442" t="str">
        <f>_xlfn.LET(
  _xlpm.result, _xlfn.XLOOKUP($B442, Result_Database!$A$2:$A$500, Result_Database!AK$2:AK$500),
  _xlfn.IFNA(_xlpm.result, "")
)</f>
        <v/>
      </c>
      <c r="AM44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4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4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4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4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4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4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4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4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42" t="str">
        <f>IF(SUM(Table5[[#This Row],[A1]:[C6]])&lt;&gt;0,SUM(Table5[[#This Row],[A1]:[C6]]),"")</f>
        <v/>
      </c>
      <c r="AW442" t="str">
        <f>IF(SUM(Table5[[#This Row],[D7]:[F9]])=0,"",SUM(Table5[[#This Row],[D7]:[F9]]))</f>
        <v/>
      </c>
      <c r="AX44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4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4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4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4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4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42" t="str">
        <f>IF(COUNTIF(Table5[[#This Row],[English Language]:[Electrical/ Electronics]],"WITHHELD")=0,"",COUNTIF(Table5[[#This Row],[English Language]:[Electrical/ Electronics]],"WITHHELD"))</f>
        <v/>
      </c>
      <c r="BE442" t="str">
        <f>IF(SUM(Table5[[#This Row],[NO OF CREDITS]:[BELOW CREDITS]])=0,"",SUM(Table5[[#This Row],[NO OF CREDITS]:[BELOW CREDITS]]))</f>
        <v/>
      </c>
    </row>
    <row r="443" spans="1:57" x14ac:dyDescent="0.3">
      <c r="A443" t="str">
        <f>IF(B443&lt;&gt;"",COUNTA($B$6:B443),"")</f>
        <v/>
      </c>
      <c r="B443" t="str">
        <f>IF(Result_Database!A439="","",Result_Database!A439)</f>
        <v/>
      </c>
      <c r="C443" t="str">
        <f>_xlfn.LET(
_xlpm.result,_xlfn.XLOOKUP($B443,Result_Database!$A$2:$A$500,Result_Database!$B$2:$B$500),
_xlfn.IFNA(_xlpm.result,"")
)</f>
        <v/>
      </c>
      <c r="D443" t="str">
        <f>_xlfn.LET(
  _xlpm.result, _xlfn.XLOOKUP($B443, Result_Database!$A$2:$A$500, Result_Database!C$2:C$500),
  _xlfn.IFNA(_xlpm.result, "")
)</f>
        <v/>
      </c>
      <c r="E443" t="str">
        <f>_xlfn.LET(
  _xlpm.result, _xlfn.XLOOKUP($B443, Result_Database!$A$2:$A$500, Result_Database!D$2:D$500),
  _xlfn.IFNA(_xlpm.result, "")
)</f>
        <v/>
      </c>
      <c r="F443" t="str">
        <f>_xlfn.LET(
  _xlpm.result, _xlfn.XLOOKUP($B443, Result_Database!$A$2:$A$500, Result_Database!E$2:E$500),
  _xlfn.IFNA(_xlpm.result, "")
)</f>
        <v/>
      </c>
      <c r="G443" t="str">
        <f>_xlfn.LET(
  _xlpm.result, _xlfn.XLOOKUP($B443, Result_Database!$A$2:$A$500, Result_Database!F$2:F$500),
  _xlfn.IFNA(_xlpm.result, "")
)</f>
        <v/>
      </c>
      <c r="H443" t="str">
        <f>_xlfn.LET(
  _xlpm.result, _xlfn.XLOOKUP($B443, Result_Database!$A$2:$A$500, Result_Database!G$2:G$500),
  _xlfn.IFNA(_xlpm.result, "")
)</f>
        <v/>
      </c>
      <c r="I443" t="str">
        <f>_xlfn.LET(
  _xlpm.result, _xlfn.XLOOKUP($B443, Result_Database!$A$2:$A$500, Result_Database!H$2:H$500),
  _xlfn.IFNA(_xlpm.result, "")
)</f>
        <v/>
      </c>
      <c r="J443" t="str">
        <f>_xlfn.LET(
  _xlpm.result, _xlfn.XLOOKUP($B443, Result_Database!$A$2:$A$500, Result_Database!I$2:I$500),
  _xlfn.IFNA(_xlpm.result, "")
)</f>
        <v/>
      </c>
      <c r="K443" t="str">
        <f>_xlfn.LET(
  _xlpm.result, _xlfn.XLOOKUP($B443, Result_Database!$A$2:$A$500, Result_Database!J$2:J$500),
  _xlfn.IFNA(_xlpm.result, "")
)</f>
        <v/>
      </c>
      <c r="L443" t="str">
        <f>_xlfn.LET(
  _xlpm.result, _xlfn.XLOOKUP($B443, Result_Database!$A$2:$A$500, Result_Database!K$2:K$500),
  _xlfn.IFNA(_xlpm.result, "")
)</f>
        <v/>
      </c>
      <c r="M443" t="str">
        <f>_xlfn.LET(
  _xlpm.result, _xlfn.XLOOKUP($B443, Result_Database!$A$2:$A$500, Result_Database!L$2:L$500),
  _xlfn.IFNA(_xlpm.result, "")
)</f>
        <v/>
      </c>
      <c r="N443" t="str">
        <f>_xlfn.LET(
  _xlpm.result, _xlfn.XLOOKUP($B443, Result_Database!$A$2:$A$500, Result_Database!M$2:M$500),
  _xlfn.IFNA(_xlpm.result, "")
)</f>
        <v/>
      </c>
      <c r="O443" t="str">
        <f>_xlfn.LET(
  _xlpm.result, _xlfn.XLOOKUP($B443, Result_Database!$A$2:$A$500, Result_Database!N$2:N$500),
  _xlfn.IFNA(_xlpm.result, "")
)</f>
        <v/>
      </c>
      <c r="P443" t="str">
        <f>_xlfn.LET(
  _xlpm.result, _xlfn.XLOOKUP($B443, Result_Database!$A$2:$A$500, Result_Database!O$2:O$500),
  _xlfn.IFNA(_xlpm.result, "")
)</f>
        <v/>
      </c>
      <c r="Q443" t="str">
        <f>_xlfn.LET(
  _xlpm.result, _xlfn.XLOOKUP($B443, Result_Database!$A$2:$A$500, Result_Database!P$2:P$500),
  _xlfn.IFNA(_xlpm.result, "")
)</f>
        <v/>
      </c>
      <c r="R443" t="str">
        <f>_xlfn.LET(
  _xlpm.result, _xlfn.XLOOKUP($B443, Result_Database!$A$2:$A$500, Result_Database!Q$2:Q$500),
  _xlfn.IFNA(_xlpm.result, "")
)</f>
        <v/>
      </c>
      <c r="S443" t="str">
        <f>_xlfn.LET(
  _xlpm.result, _xlfn.XLOOKUP($B443, Result_Database!$A$2:$A$500, Result_Database!R$2:R$500),
  _xlfn.IFNA(_xlpm.result, "")
)</f>
        <v/>
      </c>
      <c r="T443" t="str">
        <f>_xlfn.LET(
  _xlpm.result, _xlfn.XLOOKUP($B443, Result_Database!$A$2:$A$500, Result_Database!S$2:S$500),
  _xlfn.IFNA(_xlpm.result, "")
)</f>
        <v/>
      </c>
      <c r="U443" t="str">
        <f>_xlfn.LET(
  _xlpm.result, _xlfn.XLOOKUP($B443, Result_Database!$A$2:$A$500, Result_Database!T$2:T$500),
  _xlfn.IFNA(_xlpm.result, "")
)</f>
        <v/>
      </c>
      <c r="V443" t="str">
        <f>_xlfn.LET(
  _xlpm.result, _xlfn.XLOOKUP($B443, Result_Database!$A$2:$A$500, Result_Database!U$2:U$500),
  _xlfn.IFNA(_xlpm.result, "")
)</f>
        <v/>
      </c>
      <c r="W443" t="str">
        <f>_xlfn.LET(
  _xlpm.result, _xlfn.XLOOKUP($B443, Result_Database!$A$2:$A$500, Result_Database!V$2:V$500),
  _xlfn.IFNA(_xlpm.result, "")
)</f>
        <v/>
      </c>
      <c r="X443" t="str">
        <f>_xlfn.LET(
  _xlpm.result, _xlfn.XLOOKUP($B443, Result_Database!$A$2:$A$500, Result_Database!W$2:W$500),
  _xlfn.IFNA(_xlpm.result, "")
)</f>
        <v/>
      </c>
      <c r="Y443" t="str">
        <f>_xlfn.LET(
  _xlpm.result, _xlfn.XLOOKUP($B443, Result_Database!$A$2:$A$500, Result_Database!X$2:X$500),
  _xlfn.IFNA(_xlpm.result, "")
)</f>
        <v/>
      </c>
      <c r="Z443" t="str">
        <f>_xlfn.LET(
  _xlpm.result, _xlfn.XLOOKUP($B443, Result_Database!$A$2:$A$500, Result_Database!Y$2:Y$500),
  _xlfn.IFNA(_xlpm.result, "")
)</f>
        <v/>
      </c>
      <c r="AA443" t="str">
        <f>_xlfn.LET(
  _xlpm.result, _xlfn.XLOOKUP($B443, Result_Database!$A$2:$A$500, Result_Database!Z$2:Z$500),
  _xlfn.IFNA(_xlpm.result, "")
)</f>
        <v/>
      </c>
      <c r="AB443" t="str">
        <f>_xlfn.LET(
  _xlpm.result, _xlfn.XLOOKUP($B443, Result_Database!$A$2:$A$500, Result_Database!AA$2:AA$500),
  _xlfn.IFNA(_xlpm.result, "")
)</f>
        <v/>
      </c>
      <c r="AC443" t="str">
        <f>_xlfn.LET(
  _xlpm.result, _xlfn.XLOOKUP($B443, Result_Database!$A$2:$A$500, Result_Database!AB$2:AB$500),
  _xlfn.IFNA(_xlpm.result, "")
)</f>
        <v/>
      </c>
      <c r="AD443" t="str">
        <f>_xlfn.LET(
  _xlpm.result, _xlfn.XLOOKUP($B443, Result_Database!$A$2:$A$500, Result_Database!AC$2:AC$500),
  _xlfn.IFNA(_xlpm.result, "")
)</f>
        <v/>
      </c>
      <c r="AE443" t="str">
        <f>_xlfn.LET(
  _xlpm.result, _xlfn.XLOOKUP($B443, Result_Database!$A$2:$A$500, Result_Database!AD$2:AD$500),
  _xlfn.IFNA(_xlpm.result, "")
)</f>
        <v/>
      </c>
      <c r="AF443" t="str">
        <f>_xlfn.LET(
  _xlpm.result, _xlfn.XLOOKUP($B443, Result_Database!$A$2:$A$500, Result_Database!AE$2:AE$500),
  _xlfn.IFNA(_xlpm.result, "")
)</f>
        <v/>
      </c>
      <c r="AG443" t="str">
        <f>_xlfn.LET(
  _xlpm.result, _xlfn.XLOOKUP($B443, Result_Database!$A$2:$A$500, Result_Database!AF$2:AF$500),
  _xlfn.IFNA(_xlpm.result, "")
)</f>
        <v/>
      </c>
      <c r="AH443" t="str">
        <f>_xlfn.LET(
  _xlpm.result, _xlfn.XLOOKUP($B443, Result_Database!$A$2:$A$500, Result_Database!AG$2:AG$500),
  _xlfn.IFNA(_xlpm.result, "")
)</f>
        <v/>
      </c>
      <c r="AI443" t="str">
        <f>_xlfn.LET(
  _xlpm.result, _xlfn.XLOOKUP($B443, Result_Database!$A$2:$A$500, Result_Database!AH$2:AH$500),
  _xlfn.IFNA(_xlpm.result, "")
)</f>
        <v/>
      </c>
      <c r="AJ443" t="str">
        <f>_xlfn.LET(
  _xlpm.result, _xlfn.XLOOKUP($B443, Result_Database!$A$2:$A$500, Result_Database!AI$2:AI$500),
  _xlfn.IFNA(_xlpm.result, "")
)</f>
        <v/>
      </c>
      <c r="AK443" t="str">
        <f>_xlfn.LET(
  _xlpm.result, _xlfn.XLOOKUP($B443, Result_Database!$A$2:$A$500, Result_Database!AJ$2:AJ$500),
  _xlfn.IFNA(_xlpm.result, "")
)</f>
        <v/>
      </c>
      <c r="AL443" t="str">
        <f>_xlfn.LET(
  _xlpm.result, _xlfn.XLOOKUP($B443, Result_Database!$A$2:$A$500, Result_Database!AK$2:AK$500),
  _xlfn.IFNA(_xlpm.result, "")
)</f>
        <v/>
      </c>
      <c r="AM44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4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4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4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4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4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4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4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4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43" t="str">
        <f>IF(SUM(Table5[[#This Row],[A1]:[C6]])&lt;&gt;0,SUM(Table5[[#This Row],[A1]:[C6]]),"")</f>
        <v/>
      </c>
      <c r="AW443" t="str">
        <f>IF(SUM(Table5[[#This Row],[D7]:[F9]])=0,"",SUM(Table5[[#This Row],[D7]:[F9]]))</f>
        <v/>
      </c>
      <c r="AX44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4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4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4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4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4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43" t="str">
        <f>IF(COUNTIF(Table5[[#This Row],[English Language]:[Electrical/ Electronics]],"WITHHELD")=0,"",COUNTIF(Table5[[#This Row],[English Language]:[Electrical/ Electronics]],"WITHHELD"))</f>
        <v/>
      </c>
      <c r="BE443" t="str">
        <f>IF(SUM(Table5[[#This Row],[NO OF CREDITS]:[BELOW CREDITS]])=0,"",SUM(Table5[[#This Row],[NO OF CREDITS]:[BELOW CREDITS]]))</f>
        <v/>
      </c>
    </row>
    <row r="444" spans="1:57" x14ac:dyDescent="0.3">
      <c r="A444" t="str">
        <f>IF(B444&lt;&gt;"",COUNTA($B$6:B444),"")</f>
        <v/>
      </c>
      <c r="B444" t="str">
        <f>IF(Result_Database!A440="","",Result_Database!A440)</f>
        <v/>
      </c>
      <c r="C444" t="str">
        <f>_xlfn.LET(
_xlpm.result,_xlfn.XLOOKUP($B444,Result_Database!$A$2:$A$500,Result_Database!$B$2:$B$500),
_xlfn.IFNA(_xlpm.result,"")
)</f>
        <v/>
      </c>
      <c r="D444" t="str">
        <f>_xlfn.LET(
  _xlpm.result, _xlfn.XLOOKUP($B444, Result_Database!$A$2:$A$500, Result_Database!C$2:C$500),
  _xlfn.IFNA(_xlpm.result, "")
)</f>
        <v/>
      </c>
      <c r="E444" t="str">
        <f>_xlfn.LET(
  _xlpm.result, _xlfn.XLOOKUP($B444, Result_Database!$A$2:$A$500, Result_Database!D$2:D$500),
  _xlfn.IFNA(_xlpm.result, "")
)</f>
        <v/>
      </c>
      <c r="F444" t="str">
        <f>_xlfn.LET(
  _xlpm.result, _xlfn.XLOOKUP($B444, Result_Database!$A$2:$A$500, Result_Database!E$2:E$500),
  _xlfn.IFNA(_xlpm.result, "")
)</f>
        <v/>
      </c>
      <c r="G444" t="str">
        <f>_xlfn.LET(
  _xlpm.result, _xlfn.XLOOKUP($B444, Result_Database!$A$2:$A$500, Result_Database!F$2:F$500),
  _xlfn.IFNA(_xlpm.result, "")
)</f>
        <v/>
      </c>
      <c r="H444" t="str">
        <f>_xlfn.LET(
  _xlpm.result, _xlfn.XLOOKUP($B444, Result_Database!$A$2:$A$500, Result_Database!G$2:G$500),
  _xlfn.IFNA(_xlpm.result, "")
)</f>
        <v/>
      </c>
      <c r="I444" t="str">
        <f>_xlfn.LET(
  _xlpm.result, _xlfn.XLOOKUP($B444, Result_Database!$A$2:$A$500, Result_Database!H$2:H$500),
  _xlfn.IFNA(_xlpm.result, "")
)</f>
        <v/>
      </c>
      <c r="J444" t="str">
        <f>_xlfn.LET(
  _xlpm.result, _xlfn.XLOOKUP($B444, Result_Database!$A$2:$A$500, Result_Database!I$2:I$500),
  _xlfn.IFNA(_xlpm.result, "")
)</f>
        <v/>
      </c>
      <c r="K444" t="str">
        <f>_xlfn.LET(
  _xlpm.result, _xlfn.XLOOKUP($B444, Result_Database!$A$2:$A$500, Result_Database!J$2:J$500),
  _xlfn.IFNA(_xlpm.result, "")
)</f>
        <v/>
      </c>
      <c r="L444" t="str">
        <f>_xlfn.LET(
  _xlpm.result, _xlfn.XLOOKUP($B444, Result_Database!$A$2:$A$500, Result_Database!K$2:K$500),
  _xlfn.IFNA(_xlpm.result, "")
)</f>
        <v/>
      </c>
      <c r="M444" t="str">
        <f>_xlfn.LET(
  _xlpm.result, _xlfn.XLOOKUP($B444, Result_Database!$A$2:$A$500, Result_Database!L$2:L$500),
  _xlfn.IFNA(_xlpm.result, "")
)</f>
        <v/>
      </c>
      <c r="N444" t="str">
        <f>_xlfn.LET(
  _xlpm.result, _xlfn.XLOOKUP($B444, Result_Database!$A$2:$A$500, Result_Database!M$2:M$500),
  _xlfn.IFNA(_xlpm.result, "")
)</f>
        <v/>
      </c>
      <c r="O444" t="str">
        <f>_xlfn.LET(
  _xlpm.result, _xlfn.XLOOKUP($B444, Result_Database!$A$2:$A$500, Result_Database!N$2:N$500),
  _xlfn.IFNA(_xlpm.result, "")
)</f>
        <v/>
      </c>
      <c r="P444" t="str">
        <f>_xlfn.LET(
  _xlpm.result, _xlfn.XLOOKUP($B444, Result_Database!$A$2:$A$500, Result_Database!O$2:O$500),
  _xlfn.IFNA(_xlpm.result, "")
)</f>
        <v/>
      </c>
      <c r="Q444" t="str">
        <f>_xlfn.LET(
  _xlpm.result, _xlfn.XLOOKUP($B444, Result_Database!$A$2:$A$500, Result_Database!P$2:P$500),
  _xlfn.IFNA(_xlpm.result, "")
)</f>
        <v/>
      </c>
      <c r="R444" t="str">
        <f>_xlfn.LET(
  _xlpm.result, _xlfn.XLOOKUP($B444, Result_Database!$A$2:$A$500, Result_Database!Q$2:Q$500),
  _xlfn.IFNA(_xlpm.result, "")
)</f>
        <v/>
      </c>
      <c r="S444" t="str">
        <f>_xlfn.LET(
  _xlpm.result, _xlfn.XLOOKUP($B444, Result_Database!$A$2:$A$500, Result_Database!R$2:R$500),
  _xlfn.IFNA(_xlpm.result, "")
)</f>
        <v/>
      </c>
      <c r="T444" t="str">
        <f>_xlfn.LET(
  _xlpm.result, _xlfn.XLOOKUP($B444, Result_Database!$A$2:$A$500, Result_Database!S$2:S$500),
  _xlfn.IFNA(_xlpm.result, "")
)</f>
        <v/>
      </c>
      <c r="U444" t="str">
        <f>_xlfn.LET(
  _xlpm.result, _xlfn.XLOOKUP($B444, Result_Database!$A$2:$A$500, Result_Database!T$2:T$500),
  _xlfn.IFNA(_xlpm.result, "")
)</f>
        <v/>
      </c>
      <c r="V444" t="str">
        <f>_xlfn.LET(
  _xlpm.result, _xlfn.XLOOKUP($B444, Result_Database!$A$2:$A$500, Result_Database!U$2:U$500),
  _xlfn.IFNA(_xlpm.result, "")
)</f>
        <v/>
      </c>
      <c r="W444" t="str">
        <f>_xlfn.LET(
  _xlpm.result, _xlfn.XLOOKUP($B444, Result_Database!$A$2:$A$500, Result_Database!V$2:V$500),
  _xlfn.IFNA(_xlpm.result, "")
)</f>
        <v/>
      </c>
      <c r="X444" t="str">
        <f>_xlfn.LET(
  _xlpm.result, _xlfn.XLOOKUP($B444, Result_Database!$A$2:$A$500, Result_Database!W$2:W$500),
  _xlfn.IFNA(_xlpm.result, "")
)</f>
        <v/>
      </c>
      <c r="Y444" t="str">
        <f>_xlfn.LET(
  _xlpm.result, _xlfn.XLOOKUP($B444, Result_Database!$A$2:$A$500, Result_Database!X$2:X$500),
  _xlfn.IFNA(_xlpm.result, "")
)</f>
        <v/>
      </c>
      <c r="Z444" t="str">
        <f>_xlfn.LET(
  _xlpm.result, _xlfn.XLOOKUP($B444, Result_Database!$A$2:$A$500, Result_Database!Y$2:Y$500),
  _xlfn.IFNA(_xlpm.result, "")
)</f>
        <v/>
      </c>
      <c r="AA444" t="str">
        <f>_xlfn.LET(
  _xlpm.result, _xlfn.XLOOKUP($B444, Result_Database!$A$2:$A$500, Result_Database!Z$2:Z$500),
  _xlfn.IFNA(_xlpm.result, "")
)</f>
        <v/>
      </c>
      <c r="AB444" t="str">
        <f>_xlfn.LET(
  _xlpm.result, _xlfn.XLOOKUP($B444, Result_Database!$A$2:$A$500, Result_Database!AA$2:AA$500),
  _xlfn.IFNA(_xlpm.result, "")
)</f>
        <v/>
      </c>
      <c r="AC444" t="str">
        <f>_xlfn.LET(
  _xlpm.result, _xlfn.XLOOKUP($B444, Result_Database!$A$2:$A$500, Result_Database!AB$2:AB$500),
  _xlfn.IFNA(_xlpm.result, "")
)</f>
        <v/>
      </c>
      <c r="AD444" t="str">
        <f>_xlfn.LET(
  _xlpm.result, _xlfn.XLOOKUP($B444, Result_Database!$A$2:$A$500, Result_Database!AC$2:AC$500),
  _xlfn.IFNA(_xlpm.result, "")
)</f>
        <v/>
      </c>
      <c r="AE444" t="str">
        <f>_xlfn.LET(
  _xlpm.result, _xlfn.XLOOKUP($B444, Result_Database!$A$2:$A$500, Result_Database!AD$2:AD$500),
  _xlfn.IFNA(_xlpm.result, "")
)</f>
        <v/>
      </c>
      <c r="AF444" t="str">
        <f>_xlfn.LET(
  _xlpm.result, _xlfn.XLOOKUP($B444, Result_Database!$A$2:$A$500, Result_Database!AE$2:AE$500),
  _xlfn.IFNA(_xlpm.result, "")
)</f>
        <v/>
      </c>
      <c r="AG444" t="str">
        <f>_xlfn.LET(
  _xlpm.result, _xlfn.XLOOKUP($B444, Result_Database!$A$2:$A$500, Result_Database!AF$2:AF$500),
  _xlfn.IFNA(_xlpm.result, "")
)</f>
        <v/>
      </c>
      <c r="AH444" t="str">
        <f>_xlfn.LET(
  _xlpm.result, _xlfn.XLOOKUP($B444, Result_Database!$A$2:$A$500, Result_Database!AG$2:AG$500),
  _xlfn.IFNA(_xlpm.result, "")
)</f>
        <v/>
      </c>
      <c r="AI444" t="str">
        <f>_xlfn.LET(
  _xlpm.result, _xlfn.XLOOKUP($B444, Result_Database!$A$2:$A$500, Result_Database!AH$2:AH$500),
  _xlfn.IFNA(_xlpm.result, "")
)</f>
        <v/>
      </c>
      <c r="AJ444" t="str">
        <f>_xlfn.LET(
  _xlpm.result, _xlfn.XLOOKUP($B444, Result_Database!$A$2:$A$500, Result_Database!AI$2:AI$500),
  _xlfn.IFNA(_xlpm.result, "")
)</f>
        <v/>
      </c>
      <c r="AK444" t="str">
        <f>_xlfn.LET(
  _xlpm.result, _xlfn.XLOOKUP($B444, Result_Database!$A$2:$A$500, Result_Database!AJ$2:AJ$500),
  _xlfn.IFNA(_xlpm.result, "")
)</f>
        <v/>
      </c>
      <c r="AL444" t="str">
        <f>_xlfn.LET(
  _xlpm.result, _xlfn.XLOOKUP($B444, Result_Database!$A$2:$A$500, Result_Database!AK$2:AK$500),
  _xlfn.IFNA(_xlpm.result, "")
)</f>
        <v/>
      </c>
      <c r="AM44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4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4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4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4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4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4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4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4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44" t="str">
        <f>IF(SUM(Table5[[#This Row],[A1]:[C6]])&lt;&gt;0,SUM(Table5[[#This Row],[A1]:[C6]]),"")</f>
        <v/>
      </c>
      <c r="AW444" t="str">
        <f>IF(SUM(Table5[[#This Row],[D7]:[F9]])=0,"",SUM(Table5[[#This Row],[D7]:[F9]]))</f>
        <v/>
      </c>
      <c r="AX44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4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4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4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4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4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44" t="str">
        <f>IF(COUNTIF(Table5[[#This Row],[English Language]:[Electrical/ Electronics]],"WITHHELD")=0,"",COUNTIF(Table5[[#This Row],[English Language]:[Electrical/ Electronics]],"WITHHELD"))</f>
        <v/>
      </c>
      <c r="BE444" t="str">
        <f>IF(SUM(Table5[[#This Row],[NO OF CREDITS]:[BELOW CREDITS]])=0,"",SUM(Table5[[#This Row],[NO OF CREDITS]:[BELOW CREDITS]]))</f>
        <v/>
      </c>
    </row>
    <row r="445" spans="1:57" x14ac:dyDescent="0.3">
      <c r="A445" t="str">
        <f>IF(B445&lt;&gt;"",COUNTA($B$6:B445),"")</f>
        <v/>
      </c>
      <c r="B445" t="str">
        <f>IF(Result_Database!A441="","",Result_Database!A441)</f>
        <v/>
      </c>
      <c r="C445" t="str">
        <f>_xlfn.LET(
_xlpm.result,_xlfn.XLOOKUP($B445,Result_Database!$A$2:$A$500,Result_Database!$B$2:$B$500),
_xlfn.IFNA(_xlpm.result,"")
)</f>
        <v/>
      </c>
      <c r="D445" t="str">
        <f>_xlfn.LET(
  _xlpm.result, _xlfn.XLOOKUP($B445, Result_Database!$A$2:$A$500, Result_Database!C$2:C$500),
  _xlfn.IFNA(_xlpm.result, "")
)</f>
        <v/>
      </c>
      <c r="E445" t="str">
        <f>_xlfn.LET(
  _xlpm.result, _xlfn.XLOOKUP($B445, Result_Database!$A$2:$A$500, Result_Database!D$2:D$500),
  _xlfn.IFNA(_xlpm.result, "")
)</f>
        <v/>
      </c>
      <c r="F445" t="str">
        <f>_xlfn.LET(
  _xlpm.result, _xlfn.XLOOKUP($B445, Result_Database!$A$2:$A$500, Result_Database!E$2:E$500),
  _xlfn.IFNA(_xlpm.result, "")
)</f>
        <v/>
      </c>
      <c r="G445" t="str">
        <f>_xlfn.LET(
  _xlpm.result, _xlfn.XLOOKUP($B445, Result_Database!$A$2:$A$500, Result_Database!F$2:F$500),
  _xlfn.IFNA(_xlpm.result, "")
)</f>
        <v/>
      </c>
      <c r="H445" t="str">
        <f>_xlfn.LET(
  _xlpm.result, _xlfn.XLOOKUP($B445, Result_Database!$A$2:$A$500, Result_Database!G$2:G$500),
  _xlfn.IFNA(_xlpm.result, "")
)</f>
        <v/>
      </c>
      <c r="I445" t="str">
        <f>_xlfn.LET(
  _xlpm.result, _xlfn.XLOOKUP($B445, Result_Database!$A$2:$A$500, Result_Database!H$2:H$500),
  _xlfn.IFNA(_xlpm.result, "")
)</f>
        <v/>
      </c>
      <c r="J445" t="str">
        <f>_xlfn.LET(
  _xlpm.result, _xlfn.XLOOKUP($B445, Result_Database!$A$2:$A$500, Result_Database!I$2:I$500),
  _xlfn.IFNA(_xlpm.result, "")
)</f>
        <v/>
      </c>
      <c r="K445" t="str">
        <f>_xlfn.LET(
  _xlpm.result, _xlfn.XLOOKUP($B445, Result_Database!$A$2:$A$500, Result_Database!J$2:J$500),
  _xlfn.IFNA(_xlpm.result, "")
)</f>
        <v/>
      </c>
      <c r="L445" t="str">
        <f>_xlfn.LET(
  _xlpm.result, _xlfn.XLOOKUP($B445, Result_Database!$A$2:$A$500, Result_Database!K$2:K$500),
  _xlfn.IFNA(_xlpm.result, "")
)</f>
        <v/>
      </c>
      <c r="M445" t="str">
        <f>_xlfn.LET(
  _xlpm.result, _xlfn.XLOOKUP($B445, Result_Database!$A$2:$A$500, Result_Database!L$2:L$500),
  _xlfn.IFNA(_xlpm.result, "")
)</f>
        <v/>
      </c>
      <c r="N445" t="str">
        <f>_xlfn.LET(
  _xlpm.result, _xlfn.XLOOKUP($B445, Result_Database!$A$2:$A$500, Result_Database!M$2:M$500),
  _xlfn.IFNA(_xlpm.result, "")
)</f>
        <v/>
      </c>
      <c r="O445" t="str">
        <f>_xlfn.LET(
  _xlpm.result, _xlfn.XLOOKUP($B445, Result_Database!$A$2:$A$500, Result_Database!N$2:N$500),
  _xlfn.IFNA(_xlpm.result, "")
)</f>
        <v/>
      </c>
      <c r="P445" t="str">
        <f>_xlfn.LET(
  _xlpm.result, _xlfn.XLOOKUP($B445, Result_Database!$A$2:$A$500, Result_Database!O$2:O$500),
  _xlfn.IFNA(_xlpm.result, "")
)</f>
        <v/>
      </c>
      <c r="Q445" t="str">
        <f>_xlfn.LET(
  _xlpm.result, _xlfn.XLOOKUP($B445, Result_Database!$A$2:$A$500, Result_Database!P$2:P$500),
  _xlfn.IFNA(_xlpm.result, "")
)</f>
        <v/>
      </c>
      <c r="R445" t="str">
        <f>_xlfn.LET(
  _xlpm.result, _xlfn.XLOOKUP($B445, Result_Database!$A$2:$A$500, Result_Database!Q$2:Q$500),
  _xlfn.IFNA(_xlpm.result, "")
)</f>
        <v/>
      </c>
      <c r="S445" t="str">
        <f>_xlfn.LET(
  _xlpm.result, _xlfn.XLOOKUP($B445, Result_Database!$A$2:$A$500, Result_Database!R$2:R$500),
  _xlfn.IFNA(_xlpm.result, "")
)</f>
        <v/>
      </c>
      <c r="T445" t="str">
        <f>_xlfn.LET(
  _xlpm.result, _xlfn.XLOOKUP($B445, Result_Database!$A$2:$A$500, Result_Database!S$2:S$500),
  _xlfn.IFNA(_xlpm.result, "")
)</f>
        <v/>
      </c>
      <c r="U445" t="str">
        <f>_xlfn.LET(
  _xlpm.result, _xlfn.XLOOKUP($B445, Result_Database!$A$2:$A$500, Result_Database!T$2:T$500),
  _xlfn.IFNA(_xlpm.result, "")
)</f>
        <v/>
      </c>
      <c r="V445" t="str">
        <f>_xlfn.LET(
  _xlpm.result, _xlfn.XLOOKUP($B445, Result_Database!$A$2:$A$500, Result_Database!U$2:U$500),
  _xlfn.IFNA(_xlpm.result, "")
)</f>
        <v/>
      </c>
      <c r="W445" t="str">
        <f>_xlfn.LET(
  _xlpm.result, _xlfn.XLOOKUP($B445, Result_Database!$A$2:$A$500, Result_Database!V$2:V$500),
  _xlfn.IFNA(_xlpm.result, "")
)</f>
        <v/>
      </c>
      <c r="X445" t="str">
        <f>_xlfn.LET(
  _xlpm.result, _xlfn.XLOOKUP($B445, Result_Database!$A$2:$A$500, Result_Database!W$2:W$500),
  _xlfn.IFNA(_xlpm.result, "")
)</f>
        <v/>
      </c>
      <c r="Y445" t="str">
        <f>_xlfn.LET(
  _xlpm.result, _xlfn.XLOOKUP($B445, Result_Database!$A$2:$A$500, Result_Database!X$2:X$500),
  _xlfn.IFNA(_xlpm.result, "")
)</f>
        <v/>
      </c>
      <c r="Z445" t="str">
        <f>_xlfn.LET(
  _xlpm.result, _xlfn.XLOOKUP($B445, Result_Database!$A$2:$A$500, Result_Database!Y$2:Y$500),
  _xlfn.IFNA(_xlpm.result, "")
)</f>
        <v/>
      </c>
      <c r="AA445" t="str">
        <f>_xlfn.LET(
  _xlpm.result, _xlfn.XLOOKUP($B445, Result_Database!$A$2:$A$500, Result_Database!Z$2:Z$500),
  _xlfn.IFNA(_xlpm.result, "")
)</f>
        <v/>
      </c>
      <c r="AB445" t="str">
        <f>_xlfn.LET(
  _xlpm.result, _xlfn.XLOOKUP($B445, Result_Database!$A$2:$A$500, Result_Database!AA$2:AA$500),
  _xlfn.IFNA(_xlpm.result, "")
)</f>
        <v/>
      </c>
      <c r="AC445" t="str">
        <f>_xlfn.LET(
  _xlpm.result, _xlfn.XLOOKUP($B445, Result_Database!$A$2:$A$500, Result_Database!AB$2:AB$500),
  _xlfn.IFNA(_xlpm.result, "")
)</f>
        <v/>
      </c>
      <c r="AD445" t="str">
        <f>_xlfn.LET(
  _xlpm.result, _xlfn.XLOOKUP($B445, Result_Database!$A$2:$A$500, Result_Database!AC$2:AC$500),
  _xlfn.IFNA(_xlpm.result, "")
)</f>
        <v/>
      </c>
      <c r="AE445" t="str">
        <f>_xlfn.LET(
  _xlpm.result, _xlfn.XLOOKUP($B445, Result_Database!$A$2:$A$500, Result_Database!AD$2:AD$500),
  _xlfn.IFNA(_xlpm.result, "")
)</f>
        <v/>
      </c>
      <c r="AF445" t="str">
        <f>_xlfn.LET(
  _xlpm.result, _xlfn.XLOOKUP($B445, Result_Database!$A$2:$A$500, Result_Database!AE$2:AE$500),
  _xlfn.IFNA(_xlpm.result, "")
)</f>
        <v/>
      </c>
      <c r="AG445" t="str">
        <f>_xlfn.LET(
  _xlpm.result, _xlfn.XLOOKUP($B445, Result_Database!$A$2:$A$500, Result_Database!AF$2:AF$500),
  _xlfn.IFNA(_xlpm.result, "")
)</f>
        <v/>
      </c>
      <c r="AH445" t="str">
        <f>_xlfn.LET(
  _xlpm.result, _xlfn.XLOOKUP($B445, Result_Database!$A$2:$A$500, Result_Database!AG$2:AG$500),
  _xlfn.IFNA(_xlpm.result, "")
)</f>
        <v/>
      </c>
      <c r="AI445" t="str">
        <f>_xlfn.LET(
  _xlpm.result, _xlfn.XLOOKUP($B445, Result_Database!$A$2:$A$500, Result_Database!AH$2:AH$500),
  _xlfn.IFNA(_xlpm.result, "")
)</f>
        <v/>
      </c>
      <c r="AJ445" t="str">
        <f>_xlfn.LET(
  _xlpm.result, _xlfn.XLOOKUP($B445, Result_Database!$A$2:$A$500, Result_Database!AI$2:AI$500),
  _xlfn.IFNA(_xlpm.result, "")
)</f>
        <v/>
      </c>
      <c r="AK445" t="str">
        <f>_xlfn.LET(
  _xlpm.result, _xlfn.XLOOKUP($B445, Result_Database!$A$2:$A$500, Result_Database!AJ$2:AJ$500),
  _xlfn.IFNA(_xlpm.result, "")
)</f>
        <v/>
      </c>
      <c r="AL445" t="str">
        <f>_xlfn.LET(
  _xlpm.result, _xlfn.XLOOKUP($B445, Result_Database!$A$2:$A$500, Result_Database!AK$2:AK$500),
  _xlfn.IFNA(_xlpm.result, "")
)</f>
        <v/>
      </c>
      <c r="AM44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4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4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4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4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4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4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4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4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45" t="str">
        <f>IF(SUM(Table5[[#This Row],[A1]:[C6]])&lt;&gt;0,SUM(Table5[[#This Row],[A1]:[C6]]),"")</f>
        <v/>
      </c>
      <c r="AW445" t="str">
        <f>IF(SUM(Table5[[#This Row],[D7]:[F9]])=0,"",SUM(Table5[[#This Row],[D7]:[F9]]))</f>
        <v/>
      </c>
      <c r="AX44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4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4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4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4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4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45" t="str">
        <f>IF(COUNTIF(Table5[[#This Row],[English Language]:[Electrical/ Electronics]],"WITHHELD")=0,"",COUNTIF(Table5[[#This Row],[English Language]:[Electrical/ Electronics]],"WITHHELD"))</f>
        <v/>
      </c>
      <c r="BE445" t="str">
        <f>IF(SUM(Table5[[#This Row],[NO OF CREDITS]:[BELOW CREDITS]])=0,"",SUM(Table5[[#This Row],[NO OF CREDITS]:[BELOW CREDITS]]))</f>
        <v/>
      </c>
    </row>
    <row r="446" spans="1:57" x14ac:dyDescent="0.3">
      <c r="A446" t="str">
        <f>IF(B446&lt;&gt;"",COUNTA($B$6:B446),"")</f>
        <v/>
      </c>
      <c r="B446" t="str">
        <f>IF(Result_Database!A442="","",Result_Database!A442)</f>
        <v/>
      </c>
      <c r="C446" t="str">
        <f>_xlfn.LET(
_xlpm.result,_xlfn.XLOOKUP($B446,Result_Database!$A$2:$A$500,Result_Database!$B$2:$B$500),
_xlfn.IFNA(_xlpm.result,"")
)</f>
        <v/>
      </c>
      <c r="D446" t="str">
        <f>_xlfn.LET(
  _xlpm.result, _xlfn.XLOOKUP($B446, Result_Database!$A$2:$A$500, Result_Database!C$2:C$500),
  _xlfn.IFNA(_xlpm.result, "")
)</f>
        <v/>
      </c>
      <c r="E446" t="str">
        <f>_xlfn.LET(
  _xlpm.result, _xlfn.XLOOKUP($B446, Result_Database!$A$2:$A$500, Result_Database!D$2:D$500),
  _xlfn.IFNA(_xlpm.result, "")
)</f>
        <v/>
      </c>
      <c r="F446" t="str">
        <f>_xlfn.LET(
  _xlpm.result, _xlfn.XLOOKUP($B446, Result_Database!$A$2:$A$500, Result_Database!E$2:E$500),
  _xlfn.IFNA(_xlpm.result, "")
)</f>
        <v/>
      </c>
      <c r="G446" t="str">
        <f>_xlfn.LET(
  _xlpm.result, _xlfn.XLOOKUP($B446, Result_Database!$A$2:$A$500, Result_Database!F$2:F$500),
  _xlfn.IFNA(_xlpm.result, "")
)</f>
        <v/>
      </c>
      <c r="H446" t="str">
        <f>_xlfn.LET(
  _xlpm.result, _xlfn.XLOOKUP($B446, Result_Database!$A$2:$A$500, Result_Database!G$2:G$500),
  _xlfn.IFNA(_xlpm.result, "")
)</f>
        <v/>
      </c>
      <c r="I446" t="str">
        <f>_xlfn.LET(
  _xlpm.result, _xlfn.XLOOKUP($B446, Result_Database!$A$2:$A$500, Result_Database!H$2:H$500),
  _xlfn.IFNA(_xlpm.result, "")
)</f>
        <v/>
      </c>
      <c r="J446" t="str">
        <f>_xlfn.LET(
  _xlpm.result, _xlfn.XLOOKUP($B446, Result_Database!$A$2:$A$500, Result_Database!I$2:I$500),
  _xlfn.IFNA(_xlpm.result, "")
)</f>
        <v/>
      </c>
      <c r="K446" t="str">
        <f>_xlfn.LET(
  _xlpm.result, _xlfn.XLOOKUP($B446, Result_Database!$A$2:$A$500, Result_Database!J$2:J$500),
  _xlfn.IFNA(_xlpm.result, "")
)</f>
        <v/>
      </c>
      <c r="L446" t="str">
        <f>_xlfn.LET(
  _xlpm.result, _xlfn.XLOOKUP($B446, Result_Database!$A$2:$A$500, Result_Database!K$2:K$500),
  _xlfn.IFNA(_xlpm.result, "")
)</f>
        <v/>
      </c>
      <c r="M446" t="str">
        <f>_xlfn.LET(
  _xlpm.result, _xlfn.XLOOKUP($B446, Result_Database!$A$2:$A$500, Result_Database!L$2:L$500),
  _xlfn.IFNA(_xlpm.result, "")
)</f>
        <v/>
      </c>
      <c r="N446" t="str">
        <f>_xlfn.LET(
  _xlpm.result, _xlfn.XLOOKUP($B446, Result_Database!$A$2:$A$500, Result_Database!M$2:M$500),
  _xlfn.IFNA(_xlpm.result, "")
)</f>
        <v/>
      </c>
      <c r="O446" t="str">
        <f>_xlfn.LET(
  _xlpm.result, _xlfn.XLOOKUP($B446, Result_Database!$A$2:$A$500, Result_Database!N$2:N$500),
  _xlfn.IFNA(_xlpm.result, "")
)</f>
        <v/>
      </c>
      <c r="P446" t="str">
        <f>_xlfn.LET(
  _xlpm.result, _xlfn.XLOOKUP($B446, Result_Database!$A$2:$A$500, Result_Database!O$2:O$500),
  _xlfn.IFNA(_xlpm.result, "")
)</f>
        <v/>
      </c>
      <c r="Q446" t="str">
        <f>_xlfn.LET(
  _xlpm.result, _xlfn.XLOOKUP($B446, Result_Database!$A$2:$A$500, Result_Database!P$2:P$500),
  _xlfn.IFNA(_xlpm.result, "")
)</f>
        <v/>
      </c>
      <c r="R446" t="str">
        <f>_xlfn.LET(
  _xlpm.result, _xlfn.XLOOKUP($B446, Result_Database!$A$2:$A$500, Result_Database!Q$2:Q$500),
  _xlfn.IFNA(_xlpm.result, "")
)</f>
        <v/>
      </c>
      <c r="S446" t="str">
        <f>_xlfn.LET(
  _xlpm.result, _xlfn.XLOOKUP($B446, Result_Database!$A$2:$A$500, Result_Database!R$2:R$500),
  _xlfn.IFNA(_xlpm.result, "")
)</f>
        <v/>
      </c>
      <c r="T446" t="str">
        <f>_xlfn.LET(
  _xlpm.result, _xlfn.XLOOKUP($B446, Result_Database!$A$2:$A$500, Result_Database!S$2:S$500),
  _xlfn.IFNA(_xlpm.result, "")
)</f>
        <v/>
      </c>
      <c r="U446" t="str">
        <f>_xlfn.LET(
  _xlpm.result, _xlfn.XLOOKUP($B446, Result_Database!$A$2:$A$500, Result_Database!T$2:T$500),
  _xlfn.IFNA(_xlpm.result, "")
)</f>
        <v/>
      </c>
      <c r="V446" t="str">
        <f>_xlfn.LET(
  _xlpm.result, _xlfn.XLOOKUP($B446, Result_Database!$A$2:$A$500, Result_Database!U$2:U$500),
  _xlfn.IFNA(_xlpm.result, "")
)</f>
        <v/>
      </c>
      <c r="W446" t="str">
        <f>_xlfn.LET(
  _xlpm.result, _xlfn.XLOOKUP($B446, Result_Database!$A$2:$A$500, Result_Database!V$2:V$500),
  _xlfn.IFNA(_xlpm.result, "")
)</f>
        <v/>
      </c>
      <c r="X446" t="str">
        <f>_xlfn.LET(
  _xlpm.result, _xlfn.XLOOKUP($B446, Result_Database!$A$2:$A$500, Result_Database!W$2:W$500),
  _xlfn.IFNA(_xlpm.result, "")
)</f>
        <v/>
      </c>
      <c r="Y446" t="str">
        <f>_xlfn.LET(
  _xlpm.result, _xlfn.XLOOKUP($B446, Result_Database!$A$2:$A$500, Result_Database!X$2:X$500),
  _xlfn.IFNA(_xlpm.result, "")
)</f>
        <v/>
      </c>
      <c r="Z446" t="str">
        <f>_xlfn.LET(
  _xlpm.result, _xlfn.XLOOKUP($B446, Result_Database!$A$2:$A$500, Result_Database!Y$2:Y$500),
  _xlfn.IFNA(_xlpm.result, "")
)</f>
        <v/>
      </c>
      <c r="AA446" t="str">
        <f>_xlfn.LET(
  _xlpm.result, _xlfn.XLOOKUP($B446, Result_Database!$A$2:$A$500, Result_Database!Z$2:Z$500),
  _xlfn.IFNA(_xlpm.result, "")
)</f>
        <v/>
      </c>
      <c r="AB446" t="str">
        <f>_xlfn.LET(
  _xlpm.result, _xlfn.XLOOKUP($B446, Result_Database!$A$2:$A$500, Result_Database!AA$2:AA$500),
  _xlfn.IFNA(_xlpm.result, "")
)</f>
        <v/>
      </c>
      <c r="AC446" t="str">
        <f>_xlfn.LET(
  _xlpm.result, _xlfn.XLOOKUP($B446, Result_Database!$A$2:$A$500, Result_Database!AB$2:AB$500),
  _xlfn.IFNA(_xlpm.result, "")
)</f>
        <v/>
      </c>
      <c r="AD446" t="str">
        <f>_xlfn.LET(
  _xlpm.result, _xlfn.XLOOKUP($B446, Result_Database!$A$2:$A$500, Result_Database!AC$2:AC$500),
  _xlfn.IFNA(_xlpm.result, "")
)</f>
        <v/>
      </c>
      <c r="AE446" t="str">
        <f>_xlfn.LET(
  _xlpm.result, _xlfn.XLOOKUP($B446, Result_Database!$A$2:$A$500, Result_Database!AD$2:AD$500),
  _xlfn.IFNA(_xlpm.result, "")
)</f>
        <v/>
      </c>
      <c r="AF446" t="str">
        <f>_xlfn.LET(
  _xlpm.result, _xlfn.XLOOKUP($B446, Result_Database!$A$2:$A$500, Result_Database!AE$2:AE$500),
  _xlfn.IFNA(_xlpm.result, "")
)</f>
        <v/>
      </c>
      <c r="AG446" t="str">
        <f>_xlfn.LET(
  _xlpm.result, _xlfn.XLOOKUP($B446, Result_Database!$A$2:$A$500, Result_Database!AF$2:AF$500),
  _xlfn.IFNA(_xlpm.result, "")
)</f>
        <v/>
      </c>
      <c r="AH446" t="str">
        <f>_xlfn.LET(
  _xlpm.result, _xlfn.XLOOKUP($B446, Result_Database!$A$2:$A$500, Result_Database!AG$2:AG$500),
  _xlfn.IFNA(_xlpm.result, "")
)</f>
        <v/>
      </c>
      <c r="AI446" t="str">
        <f>_xlfn.LET(
  _xlpm.result, _xlfn.XLOOKUP($B446, Result_Database!$A$2:$A$500, Result_Database!AH$2:AH$500),
  _xlfn.IFNA(_xlpm.result, "")
)</f>
        <v/>
      </c>
      <c r="AJ446" t="str">
        <f>_xlfn.LET(
  _xlpm.result, _xlfn.XLOOKUP($B446, Result_Database!$A$2:$A$500, Result_Database!AI$2:AI$500),
  _xlfn.IFNA(_xlpm.result, "")
)</f>
        <v/>
      </c>
      <c r="AK446" t="str">
        <f>_xlfn.LET(
  _xlpm.result, _xlfn.XLOOKUP($B446, Result_Database!$A$2:$A$500, Result_Database!AJ$2:AJ$500),
  _xlfn.IFNA(_xlpm.result, "")
)</f>
        <v/>
      </c>
      <c r="AL446" t="str">
        <f>_xlfn.LET(
  _xlpm.result, _xlfn.XLOOKUP($B446, Result_Database!$A$2:$A$500, Result_Database!AK$2:AK$500),
  _xlfn.IFNA(_xlpm.result, "")
)</f>
        <v/>
      </c>
      <c r="AM44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4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4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4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4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4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4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4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4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46" t="str">
        <f>IF(SUM(Table5[[#This Row],[A1]:[C6]])&lt;&gt;0,SUM(Table5[[#This Row],[A1]:[C6]]),"")</f>
        <v/>
      </c>
      <c r="AW446" t="str">
        <f>IF(SUM(Table5[[#This Row],[D7]:[F9]])=0,"",SUM(Table5[[#This Row],[D7]:[F9]]))</f>
        <v/>
      </c>
      <c r="AX44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4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4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4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4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4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46" t="str">
        <f>IF(COUNTIF(Table5[[#This Row],[English Language]:[Electrical/ Electronics]],"WITHHELD")=0,"",COUNTIF(Table5[[#This Row],[English Language]:[Electrical/ Electronics]],"WITHHELD"))</f>
        <v/>
      </c>
      <c r="BE446" t="str">
        <f>IF(SUM(Table5[[#This Row],[NO OF CREDITS]:[BELOW CREDITS]])=0,"",SUM(Table5[[#This Row],[NO OF CREDITS]:[BELOW CREDITS]]))</f>
        <v/>
      </c>
    </row>
    <row r="447" spans="1:57" x14ac:dyDescent="0.3">
      <c r="A447" t="str">
        <f>IF(B447&lt;&gt;"",COUNTA($B$6:B447),"")</f>
        <v/>
      </c>
      <c r="B447" t="str">
        <f>IF(Result_Database!A443="","",Result_Database!A443)</f>
        <v/>
      </c>
      <c r="C447" t="str">
        <f>_xlfn.LET(
_xlpm.result,_xlfn.XLOOKUP($B447,Result_Database!$A$2:$A$500,Result_Database!$B$2:$B$500),
_xlfn.IFNA(_xlpm.result,"")
)</f>
        <v/>
      </c>
      <c r="D447" t="str">
        <f>_xlfn.LET(
  _xlpm.result, _xlfn.XLOOKUP($B447, Result_Database!$A$2:$A$500, Result_Database!C$2:C$500),
  _xlfn.IFNA(_xlpm.result, "")
)</f>
        <v/>
      </c>
      <c r="E447" t="str">
        <f>_xlfn.LET(
  _xlpm.result, _xlfn.XLOOKUP($B447, Result_Database!$A$2:$A$500, Result_Database!D$2:D$500),
  _xlfn.IFNA(_xlpm.result, "")
)</f>
        <v/>
      </c>
      <c r="F447" t="str">
        <f>_xlfn.LET(
  _xlpm.result, _xlfn.XLOOKUP($B447, Result_Database!$A$2:$A$500, Result_Database!E$2:E$500),
  _xlfn.IFNA(_xlpm.result, "")
)</f>
        <v/>
      </c>
      <c r="G447" t="str">
        <f>_xlfn.LET(
  _xlpm.result, _xlfn.XLOOKUP($B447, Result_Database!$A$2:$A$500, Result_Database!F$2:F$500),
  _xlfn.IFNA(_xlpm.result, "")
)</f>
        <v/>
      </c>
      <c r="H447" t="str">
        <f>_xlfn.LET(
  _xlpm.result, _xlfn.XLOOKUP($B447, Result_Database!$A$2:$A$500, Result_Database!G$2:G$500),
  _xlfn.IFNA(_xlpm.result, "")
)</f>
        <v/>
      </c>
      <c r="I447" t="str">
        <f>_xlfn.LET(
  _xlpm.result, _xlfn.XLOOKUP($B447, Result_Database!$A$2:$A$500, Result_Database!H$2:H$500),
  _xlfn.IFNA(_xlpm.result, "")
)</f>
        <v/>
      </c>
      <c r="J447" t="str">
        <f>_xlfn.LET(
  _xlpm.result, _xlfn.XLOOKUP($B447, Result_Database!$A$2:$A$500, Result_Database!I$2:I$500),
  _xlfn.IFNA(_xlpm.result, "")
)</f>
        <v/>
      </c>
      <c r="K447" t="str">
        <f>_xlfn.LET(
  _xlpm.result, _xlfn.XLOOKUP($B447, Result_Database!$A$2:$A$500, Result_Database!J$2:J$500),
  _xlfn.IFNA(_xlpm.result, "")
)</f>
        <v/>
      </c>
      <c r="L447" t="str">
        <f>_xlfn.LET(
  _xlpm.result, _xlfn.XLOOKUP($B447, Result_Database!$A$2:$A$500, Result_Database!K$2:K$500),
  _xlfn.IFNA(_xlpm.result, "")
)</f>
        <v/>
      </c>
      <c r="M447" t="str">
        <f>_xlfn.LET(
  _xlpm.result, _xlfn.XLOOKUP($B447, Result_Database!$A$2:$A$500, Result_Database!L$2:L$500),
  _xlfn.IFNA(_xlpm.result, "")
)</f>
        <v/>
      </c>
      <c r="N447" t="str">
        <f>_xlfn.LET(
  _xlpm.result, _xlfn.XLOOKUP($B447, Result_Database!$A$2:$A$500, Result_Database!M$2:M$500),
  _xlfn.IFNA(_xlpm.result, "")
)</f>
        <v/>
      </c>
      <c r="O447" t="str">
        <f>_xlfn.LET(
  _xlpm.result, _xlfn.XLOOKUP($B447, Result_Database!$A$2:$A$500, Result_Database!N$2:N$500),
  _xlfn.IFNA(_xlpm.result, "")
)</f>
        <v/>
      </c>
      <c r="P447" t="str">
        <f>_xlfn.LET(
  _xlpm.result, _xlfn.XLOOKUP($B447, Result_Database!$A$2:$A$500, Result_Database!O$2:O$500),
  _xlfn.IFNA(_xlpm.result, "")
)</f>
        <v/>
      </c>
      <c r="Q447" t="str">
        <f>_xlfn.LET(
  _xlpm.result, _xlfn.XLOOKUP($B447, Result_Database!$A$2:$A$500, Result_Database!P$2:P$500),
  _xlfn.IFNA(_xlpm.result, "")
)</f>
        <v/>
      </c>
      <c r="R447" t="str">
        <f>_xlfn.LET(
  _xlpm.result, _xlfn.XLOOKUP($B447, Result_Database!$A$2:$A$500, Result_Database!Q$2:Q$500),
  _xlfn.IFNA(_xlpm.result, "")
)</f>
        <v/>
      </c>
      <c r="S447" t="str">
        <f>_xlfn.LET(
  _xlpm.result, _xlfn.XLOOKUP($B447, Result_Database!$A$2:$A$500, Result_Database!R$2:R$500),
  _xlfn.IFNA(_xlpm.result, "")
)</f>
        <v/>
      </c>
      <c r="T447" t="str">
        <f>_xlfn.LET(
  _xlpm.result, _xlfn.XLOOKUP($B447, Result_Database!$A$2:$A$500, Result_Database!S$2:S$500),
  _xlfn.IFNA(_xlpm.result, "")
)</f>
        <v/>
      </c>
      <c r="U447" t="str">
        <f>_xlfn.LET(
  _xlpm.result, _xlfn.XLOOKUP($B447, Result_Database!$A$2:$A$500, Result_Database!T$2:T$500),
  _xlfn.IFNA(_xlpm.result, "")
)</f>
        <v/>
      </c>
      <c r="V447" t="str">
        <f>_xlfn.LET(
  _xlpm.result, _xlfn.XLOOKUP($B447, Result_Database!$A$2:$A$500, Result_Database!U$2:U$500),
  _xlfn.IFNA(_xlpm.result, "")
)</f>
        <v/>
      </c>
      <c r="W447" t="str">
        <f>_xlfn.LET(
  _xlpm.result, _xlfn.XLOOKUP($B447, Result_Database!$A$2:$A$500, Result_Database!V$2:V$500),
  _xlfn.IFNA(_xlpm.result, "")
)</f>
        <v/>
      </c>
      <c r="X447" t="str">
        <f>_xlfn.LET(
  _xlpm.result, _xlfn.XLOOKUP($B447, Result_Database!$A$2:$A$500, Result_Database!W$2:W$500),
  _xlfn.IFNA(_xlpm.result, "")
)</f>
        <v/>
      </c>
      <c r="Y447" t="str">
        <f>_xlfn.LET(
  _xlpm.result, _xlfn.XLOOKUP($B447, Result_Database!$A$2:$A$500, Result_Database!X$2:X$500),
  _xlfn.IFNA(_xlpm.result, "")
)</f>
        <v/>
      </c>
      <c r="Z447" t="str">
        <f>_xlfn.LET(
  _xlpm.result, _xlfn.XLOOKUP($B447, Result_Database!$A$2:$A$500, Result_Database!Y$2:Y$500),
  _xlfn.IFNA(_xlpm.result, "")
)</f>
        <v/>
      </c>
      <c r="AA447" t="str">
        <f>_xlfn.LET(
  _xlpm.result, _xlfn.XLOOKUP($B447, Result_Database!$A$2:$A$500, Result_Database!Z$2:Z$500),
  _xlfn.IFNA(_xlpm.result, "")
)</f>
        <v/>
      </c>
      <c r="AB447" t="str">
        <f>_xlfn.LET(
  _xlpm.result, _xlfn.XLOOKUP($B447, Result_Database!$A$2:$A$500, Result_Database!AA$2:AA$500),
  _xlfn.IFNA(_xlpm.result, "")
)</f>
        <v/>
      </c>
      <c r="AC447" t="str">
        <f>_xlfn.LET(
  _xlpm.result, _xlfn.XLOOKUP($B447, Result_Database!$A$2:$A$500, Result_Database!AB$2:AB$500),
  _xlfn.IFNA(_xlpm.result, "")
)</f>
        <v/>
      </c>
      <c r="AD447" t="str">
        <f>_xlfn.LET(
  _xlpm.result, _xlfn.XLOOKUP($B447, Result_Database!$A$2:$A$500, Result_Database!AC$2:AC$500),
  _xlfn.IFNA(_xlpm.result, "")
)</f>
        <v/>
      </c>
      <c r="AE447" t="str">
        <f>_xlfn.LET(
  _xlpm.result, _xlfn.XLOOKUP($B447, Result_Database!$A$2:$A$500, Result_Database!AD$2:AD$500),
  _xlfn.IFNA(_xlpm.result, "")
)</f>
        <v/>
      </c>
      <c r="AF447" t="str">
        <f>_xlfn.LET(
  _xlpm.result, _xlfn.XLOOKUP($B447, Result_Database!$A$2:$A$500, Result_Database!AE$2:AE$500),
  _xlfn.IFNA(_xlpm.result, "")
)</f>
        <v/>
      </c>
      <c r="AG447" t="str">
        <f>_xlfn.LET(
  _xlpm.result, _xlfn.XLOOKUP($B447, Result_Database!$A$2:$A$500, Result_Database!AF$2:AF$500),
  _xlfn.IFNA(_xlpm.result, "")
)</f>
        <v/>
      </c>
      <c r="AH447" t="str">
        <f>_xlfn.LET(
  _xlpm.result, _xlfn.XLOOKUP($B447, Result_Database!$A$2:$A$500, Result_Database!AG$2:AG$500),
  _xlfn.IFNA(_xlpm.result, "")
)</f>
        <v/>
      </c>
      <c r="AI447" t="str">
        <f>_xlfn.LET(
  _xlpm.result, _xlfn.XLOOKUP($B447, Result_Database!$A$2:$A$500, Result_Database!AH$2:AH$500),
  _xlfn.IFNA(_xlpm.result, "")
)</f>
        <v/>
      </c>
      <c r="AJ447" t="str">
        <f>_xlfn.LET(
  _xlpm.result, _xlfn.XLOOKUP($B447, Result_Database!$A$2:$A$500, Result_Database!AI$2:AI$500),
  _xlfn.IFNA(_xlpm.result, "")
)</f>
        <v/>
      </c>
      <c r="AK447" t="str">
        <f>_xlfn.LET(
  _xlpm.result, _xlfn.XLOOKUP($B447, Result_Database!$A$2:$A$500, Result_Database!AJ$2:AJ$500),
  _xlfn.IFNA(_xlpm.result, "")
)</f>
        <v/>
      </c>
      <c r="AL447" t="str">
        <f>_xlfn.LET(
  _xlpm.result, _xlfn.XLOOKUP($B447, Result_Database!$A$2:$A$500, Result_Database!AK$2:AK$500),
  _xlfn.IFNA(_xlpm.result, "")
)</f>
        <v/>
      </c>
      <c r="AM44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4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4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4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4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4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4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4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4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47" t="str">
        <f>IF(SUM(Table5[[#This Row],[A1]:[C6]])&lt;&gt;0,SUM(Table5[[#This Row],[A1]:[C6]]),"")</f>
        <v/>
      </c>
      <c r="AW447" t="str">
        <f>IF(SUM(Table5[[#This Row],[D7]:[F9]])=0,"",SUM(Table5[[#This Row],[D7]:[F9]]))</f>
        <v/>
      </c>
      <c r="AX44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4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4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4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4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4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47" t="str">
        <f>IF(COUNTIF(Table5[[#This Row],[English Language]:[Electrical/ Electronics]],"WITHHELD")=0,"",COUNTIF(Table5[[#This Row],[English Language]:[Electrical/ Electronics]],"WITHHELD"))</f>
        <v/>
      </c>
      <c r="BE447" t="str">
        <f>IF(SUM(Table5[[#This Row],[NO OF CREDITS]:[BELOW CREDITS]])=0,"",SUM(Table5[[#This Row],[NO OF CREDITS]:[BELOW CREDITS]]))</f>
        <v/>
      </c>
    </row>
    <row r="448" spans="1:57" x14ac:dyDescent="0.3">
      <c r="A448" t="str">
        <f>IF(B448&lt;&gt;"",COUNTA($B$6:B448),"")</f>
        <v/>
      </c>
      <c r="B448" t="str">
        <f>IF(Result_Database!A444="","",Result_Database!A444)</f>
        <v/>
      </c>
      <c r="C448" t="str">
        <f>_xlfn.LET(
_xlpm.result,_xlfn.XLOOKUP($B448,Result_Database!$A$2:$A$500,Result_Database!$B$2:$B$500),
_xlfn.IFNA(_xlpm.result,"")
)</f>
        <v/>
      </c>
      <c r="D448" t="str">
        <f>_xlfn.LET(
  _xlpm.result, _xlfn.XLOOKUP($B448, Result_Database!$A$2:$A$500, Result_Database!C$2:C$500),
  _xlfn.IFNA(_xlpm.result, "")
)</f>
        <v/>
      </c>
      <c r="E448" t="str">
        <f>_xlfn.LET(
  _xlpm.result, _xlfn.XLOOKUP($B448, Result_Database!$A$2:$A$500, Result_Database!D$2:D$500),
  _xlfn.IFNA(_xlpm.result, "")
)</f>
        <v/>
      </c>
      <c r="F448" t="str">
        <f>_xlfn.LET(
  _xlpm.result, _xlfn.XLOOKUP($B448, Result_Database!$A$2:$A$500, Result_Database!E$2:E$500),
  _xlfn.IFNA(_xlpm.result, "")
)</f>
        <v/>
      </c>
      <c r="G448" t="str">
        <f>_xlfn.LET(
  _xlpm.result, _xlfn.XLOOKUP($B448, Result_Database!$A$2:$A$500, Result_Database!F$2:F$500),
  _xlfn.IFNA(_xlpm.result, "")
)</f>
        <v/>
      </c>
      <c r="H448" t="str">
        <f>_xlfn.LET(
  _xlpm.result, _xlfn.XLOOKUP($B448, Result_Database!$A$2:$A$500, Result_Database!G$2:G$500),
  _xlfn.IFNA(_xlpm.result, "")
)</f>
        <v/>
      </c>
      <c r="I448" t="str">
        <f>_xlfn.LET(
  _xlpm.result, _xlfn.XLOOKUP($B448, Result_Database!$A$2:$A$500, Result_Database!H$2:H$500),
  _xlfn.IFNA(_xlpm.result, "")
)</f>
        <v/>
      </c>
      <c r="J448" t="str">
        <f>_xlfn.LET(
  _xlpm.result, _xlfn.XLOOKUP($B448, Result_Database!$A$2:$A$500, Result_Database!I$2:I$500),
  _xlfn.IFNA(_xlpm.result, "")
)</f>
        <v/>
      </c>
      <c r="K448" t="str">
        <f>_xlfn.LET(
  _xlpm.result, _xlfn.XLOOKUP($B448, Result_Database!$A$2:$A$500, Result_Database!J$2:J$500),
  _xlfn.IFNA(_xlpm.result, "")
)</f>
        <v/>
      </c>
      <c r="L448" t="str">
        <f>_xlfn.LET(
  _xlpm.result, _xlfn.XLOOKUP($B448, Result_Database!$A$2:$A$500, Result_Database!K$2:K$500),
  _xlfn.IFNA(_xlpm.result, "")
)</f>
        <v/>
      </c>
      <c r="M448" t="str">
        <f>_xlfn.LET(
  _xlpm.result, _xlfn.XLOOKUP($B448, Result_Database!$A$2:$A$500, Result_Database!L$2:L$500),
  _xlfn.IFNA(_xlpm.result, "")
)</f>
        <v/>
      </c>
      <c r="N448" t="str">
        <f>_xlfn.LET(
  _xlpm.result, _xlfn.XLOOKUP($B448, Result_Database!$A$2:$A$500, Result_Database!M$2:M$500),
  _xlfn.IFNA(_xlpm.result, "")
)</f>
        <v/>
      </c>
      <c r="O448" t="str">
        <f>_xlfn.LET(
  _xlpm.result, _xlfn.XLOOKUP($B448, Result_Database!$A$2:$A$500, Result_Database!N$2:N$500),
  _xlfn.IFNA(_xlpm.result, "")
)</f>
        <v/>
      </c>
      <c r="P448" t="str">
        <f>_xlfn.LET(
  _xlpm.result, _xlfn.XLOOKUP($B448, Result_Database!$A$2:$A$500, Result_Database!O$2:O$500),
  _xlfn.IFNA(_xlpm.result, "")
)</f>
        <v/>
      </c>
      <c r="Q448" t="str">
        <f>_xlfn.LET(
  _xlpm.result, _xlfn.XLOOKUP($B448, Result_Database!$A$2:$A$500, Result_Database!P$2:P$500),
  _xlfn.IFNA(_xlpm.result, "")
)</f>
        <v/>
      </c>
      <c r="R448" t="str">
        <f>_xlfn.LET(
  _xlpm.result, _xlfn.XLOOKUP($B448, Result_Database!$A$2:$A$500, Result_Database!Q$2:Q$500),
  _xlfn.IFNA(_xlpm.result, "")
)</f>
        <v/>
      </c>
      <c r="S448" t="str">
        <f>_xlfn.LET(
  _xlpm.result, _xlfn.XLOOKUP($B448, Result_Database!$A$2:$A$500, Result_Database!R$2:R$500),
  _xlfn.IFNA(_xlpm.result, "")
)</f>
        <v/>
      </c>
      <c r="T448" t="str">
        <f>_xlfn.LET(
  _xlpm.result, _xlfn.XLOOKUP($B448, Result_Database!$A$2:$A$500, Result_Database!S$2:S$500),
  _xlfn.IFNA(_xlpm.result, "")
)</f>
        <v/>
      </c>
      <c r="U448" t="str">
        <f>_xlfn.LET(
  _xlpm.result, _xlfn.XLOOKUP($B448, Result_Database!$A$2:$A$500, Result_Database!T$2:T$500),
  _xlfn.IFNA(_xlpm.result, "")
)</f>
        <v/>
      </c>
      <c r="V448" t="str">
        <f>_xlfn.LET(
  _xlpm.result, _xlfn.XLOOKUP($B448, Result_Database!$A$2:$A$500, Result_Database!U$2:U$500),
  _xlfn.IFNA(_xlpm.result, "")
)</f>
        <v/>
      </c>
      <c r="W448" t="str">
        <f>_xlfn.LET(
  _xlpm.result, _xlfn.XLOOKUP($B448, Result_Database!$A$2:$A$500, Result_Database!V$2:V$500),
  _xlfn.IFNA(_xlpm.result, "")
)</f>
        <v/>
      </c>
      <c r="X448" t="str">
        <f>_xlfn.LET(
  _xlpm.result, _xlfn.XLOOKUP($B448, Result_Database!$A$2:$A$500, Result_Database!W$2:W$500),
  _xlfn.IFNA(_xlpm.result, "")
)</f>
        <v/>
      </c>
      <c r="Y448" t="str">
        <f>_xlfn.LET(
  _xlpm.result, _xlfn.XLOOKUP($B448, Result_Database!$A$2:$A$500, Result_Database!X$2:X$500),
  _xlfn.IFNA(_xlpm.result, "")
)</f>
        <v/>
      </c>
      <c r="Z448" t="str">
        <f>_xlfn.LET(
  _xlpm.result, _xlfn.XLOOKUP($B448, Result_Database!$A$2:$A$500, Result_Database!Y$2:Y$500),
  _xlfn.IFNA(_xlpm.result, "")
)</f>
        <v/>
      </c>
      <c r="AA448" t="str">
        <f>_xlfn.LET(
  _xlpm.result, _xlfn.XLOOKUP($B448, Result_Database!$A$2:$A$500, Result_Database!Z$2:Z$500),
  _xlfn.IFNA(_xlpm.result, "")
)</f>
        <v/>
      </c>
      <c r="AB448" t="str">
        <f>_xlfn.LET(
  _xlpm.result, _xlfn.XLOOKUP($B448, Result_Database!$A$2:$A$500, Result_Database!AA$2:AA$500),
  _xlfn.IFNA(_xlpm.result, "")
)</f>
        <v/>
      </c>
      <c r="AC448" t="str">
        <f>_xlfn.LET(
  _xlpm.result, _xlfn.XLOOKUP($B448, Result_Database!$A$2:$A$500, Result_Database!AB$2:AB$500),
  _xlfn.IFNA(_xlpm.result, "")
)</f>
        <v/>
      </c>
      <c r="AD448" t="str">
        <f>_xlfn.LET(
  _xlpm.result, _xlfn.XLOOKUP($B448, Result_Database!$A$2:$A$500, Result_Database!AC$2:AC$500),
  _xlfn.IFNA(_xlpm.result, "")
)</f>
        <v/>
      </c>
      <c r="AE448" t="str">
        <f>_xlfn.LET(
  _xlpm.result, _xlfn.XLOOKUP($B448, Result_Database!$A$2:$A$500, Result_Database!AD$2:AD$500),
  _xlfn.IFNA(_xlpm.result, "")
)</f>
        <v/>
      </c>
      <c r="AF448" t="str">
        <f>_xlfn.LET(
  _xlpm.result, _xlfn.XLOOKUP($B448, Result_Database!$A$2:$A$500, Result_Database!AE$2:AE$500),
  _xlfn.IFNA(_xlpm.result, "")
)</f>
        <v/>
      </c>
      <c r="AG448" t="str">
        <f>_xlfn.LET(
  _xlpm.result, _xlfn.XLOOKUP($B448, Result_Database!$A$2:$A$500, Result_Database!AF$2:AF$500),
  _xlfn.IFNA(_xlpm.result, "")
)</f>
        <v/>
      </c>
      <c r="AH448" t="str">
        <f>_xlfn.LET(
  _xlpm.result, _xlfn.XLOOKUP($B448, Result_Database!$A$2:$A$500, Result_Database!AG$2:AG$500),
  _xlfn.IFNA(_xlpm.result, "")
)</f>
        <v/>
      </c>
      <c r="AI448" t="str">
        <f>_xlfn.LET(
  _xlpm.result, _xlfn.XLOOKUP($B448, Result_Database!$A$2:$A$500, Result_Database!AH$2:AH$500),
  _xlfn.IFNA(_xlpm.result, "")
)</f>
        <v/>
      </c>
      <c r="AJ448" t="str">
        <f>_xlfn.LET(
  _xlpm.result, _xlfn.XLOOKUP($B448, Result_Database!$A$2:$A$500, Result_Database!AI$2:AI$500),
  _xlfn.IFNA(_xlpm.result, "")
)</f>
        <v/>
      </c>
      <c r="AK448" t="str">
        <f>_xlfn.LET(
  _xlpm.result, _xlfn.XLOOKUP($B448, Result_Database!$A$2:$A$500, Result_Database!AJ$2:AJ$500),
  _xlfn.IFNA(_xlpm.result, "")
)</f>
        <v/>
      </c>
      <c r="AL448" t="str">
        <f>_xlfn.LET(
  _xlpm.result, _xlfn.XLOOKUP($B448, Result_Database!$A$2:$A$500, Result_Database!AK$2:AK$500),
  _xlfn.IFNA(_xlpm.result, "")
)</f>
        <v/>
      </c>
      <c r="AM44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4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4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4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4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4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4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4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4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48" t="str">
        <f>IF(SUM(Table5[[#This Row],[A1]:[C6]])&lt;&gt;0,SUM(Table5[[#This Row],[A1]:[C6]]),"")</f>
        <v/>
      </c>
      <c r="AW448" t="str">
        <f>IF(SUM(Table5[[#This Row],[D7]:[F9]])=0,"",SUM(Table5[[#This Row],[D7]:[F9]]))</f>
        <v/>
      </c>
      <c r="AX44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4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4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4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4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4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48" t="str">
        <f>IF(COUNTIF(Table5[[#This Row],[English Language]:[Electrical/ Electronics]],"WITHHELD")=0,"",COUNTIF(Table5[[#This Row],[English Language]:[Electrical/ Electronics]],"WITHHELD"))</f>
        <v/>
      </c>
      <c r="BE448" t="str">
        <f>IF(SUM(Table5[[#This Row],[NO OF CREDITS]:[BELOW CREDITS]])=0,"",SUM(Table5[[#This Row],[NO OF CREDITS]:[BELOW CREDITS]]))</f>
        <v/>
      </c>
    </row>
    <row r="449" spans="1:57" x14ac:dyDescent="0.3">
      <c r="A449" t="str">
        <f>IF(B449&lt;&gt;"",COUNTA($B$6:B449),"")</f>
        <v/>
      </c>
      <c r="B449" t="str">
        <f>IF(Result_Database!A445="","",Result_Database!A445)</f>
        <v/>
      </c>
      <c r="C449" t="str">
        <f>_xlfn.LET(
_xlpm.result,_xlfn.XLOOKUP($B449,Result_Database!$A$2:$A$500,Result_Database!$B$2:$B$500),
_xlfn.IFNA(_xlpm.result,"")
)</f>
        <v/>
      </c>
      <c r="D449" t="str">
        <f>_xlfn.LET(
  _xlpm.result, _xlfn.XLOOKUP($B449, Result_Database!$A$2:$A$500, Result_Database!C$2:C$500),
  _xlfn.IFNA(_xlpm.result, "")
)</f>
        <v/>
      </c>
      <c r="E449" t="str">
        <f>_xlfn.LET(
  _xlpm.result, _xlfn.XLOOKUP($B449, Result_Database!$A$2:$A$500, Result_Database!D$2:D$500),
  _xlfn.IFNA(_xlpm.result, "")
)</f>
        <v/>
      </c>
      <c r="F449" t="str">
        <f>_xlfn.LET(
  _xlpm.result, _xlfn.XLOOKUP($B449, Result_Database!$A$2:$A$500, Result_Database!E$2:E$500),
  _xlfn.IFNA(_xlpm.result, "")
)</f>
        <v/>
      </c>
      <c r="G449" t="str">
        <f>_xlfn.LET(
  _xlpm.result, _xlfn.XLOOKUP($B449, Result_Database!$A$2:$A$500, Result_Database!F$2:F$500),
  _xlfn.IFNA(_xlpm.result, "")
)</f>
        <v/>
      </c>
      <c r="H449" t="str">
        <f>_xlfn.LET(
  _xlpm.result, _xlfn.XLOOKUP($B449, Result_Database!$A$2:$A$500, Result_Database!G$2:G$500),
  _xlfn.IFNA(_xlpm.result, "")
)</f>
        <v/>
      </c>
      <c r="I449" t="str">
        <f>_xlfn.LET(
  _xlpm.result, _xlfn.XLOOKUP($B449, Result_Database!$A$2:$A$500, Result_Database!H$2:H$500),
  _xlfn.IFNA(_xlpm.result, "")
)</f>
        <v/>
      </c>
      <c r="J449" t="str">
        <f>_xlfn.LET(
  _xlpm.result, _xlfn.XLOOKUP($B449, Result_Database!$A$2:$A$500, Result_Database!I$2:I$500),
  _xlfn.IFNA(_xlpm.result, "")
)</f>
        <v/>
      </c>
      <c r="K449" t="str">
        <f>_xlfn.LET(
  _xlpm.result, _xlfn.XLOOKUP($B449, Result_Database!$A$2:$A$500, Result_Database!J$2:J$500),
  _xlfn.IFNA(_xlpm.result, "")
)</f>
        <v/>
      </c>
      <c r="L449" t="str">
        <f>_xlfn.LET(
  _xlpm.result, _xlfn.XLOOKUP($B449, Result_Database!$A$2:$A$500, Result_Database!K$2:K$500),
  _xlfn.IFNA(_xlpm.result, "")
)</f>
        <v/>
      </c>
      <c r="M449" t="str">
        <f>_xlfn.LET(
  _xlpm.result, _xlfn.XLOOKUP($B449, Result_Database!$A$2:$A$500, Result_Database!L$2:L$500),
  _xlfn.IFNA(_xlpm.result, "")
)</f>
        <v/>
      </c>
      <c r="N449" t="str">
        <f>_xlfn.LET(
  _xlpm.result, _xlfn.XLOOKUP($B449, Result_Database!$A$2:$A$500, Result_Database!M$2:M$500),
  _xlfn.IFNA(_xlpm.result, "")
)</f>
        <v/>
      </c>
      <c r="O449" t="str">
        <f>_xlfn.LET(
  _xlpm.result, _xlfn.XLOOKUP($B449, Result_Database!$A$2:$A$500, Result_Database!N$2:N$500),
  _xlfn.IFNA(_xlpm.result, "")
)</f>
        <v/>
      </c>
      <c r="P449" t="str">
        <f>_xlfn.LET(
  _xlpm.result, _xlfn.XLOOKUP($B449, Result_Database!$A$2:$A$500, Result_Database!O$2:O$500),
  _xlfn.IFNA(_xlpm.result, "")
)</f>
        <v/>
      </c>
      <c r="Q449" t="str">
        <f>_xlfn.LET(
  _xlpm.result, _xlfn.XLOOKUP($B449, Result_Database!$A$2:$A$500, Result_Database!P$2:P$500),
  _xlfn.IFNA(_xlpm.result, "")
)</f>
        <v/>
      </c>
      <c r="R449" t="str">
        <f>_xlfn.LET(
  _xlpm.result, _xlfn.XLOOKUP($B449, Result_Database!$A$2:$A$500, Result_Database!Q$2:Q$500),
  _xlfn.IFNA(_xlpm.result, "")
)</f>
        <v/>
      </c>
      <c r="S449" t="str">
        <f>_xlfn.LET(
  _xlpm.result, _xlfn.XLOOKUP($B449, Result_Database!$A$2:$A$500, Result_Database!R$2:R$500),
  _xlfn.IFNA(_xlpm.result, "")
)</f>
        <v/>
      </c>
      <c r="T449" t="str">
        <f>_xlfn.LET(
  _xlpm.result, _xlfn.XLOOKUP($B449, Result_Database!$A$2:$A$500, Result_Database!S$2:S$500),
  _xlfn.IFNA(_xlpm.result, "")
)</f>
        <v/>
      </c>
      <c r="U449" t="str">
        <f>_xlfn.LET(
  _xlpm.result, _xlfn.XLOOKUP($B449, Result_Database!$A$2:$A$500, Result_Database!T$2:T$500),
  _xlfn.IFNA(_xlpm.result, "")
)</f>
        <v/>
      </c>
      <c r="V449" t="str">
        <f>_xlfn.LET(
  _xlpm.result, _xlfn.XLOOKUP($B449, Result_Database!$A$2:$A$500, Result_Database!U$2:U$500),
  _xlfn.IFNA(_xlpm.result, "")
)</f>
        <v/>
      </c>
      <c r="W449" t="str">
        <f>_xlfn.LET(
  _xlpm.result, _xlfn.XLOOKUP($B449, Result_Database!$A$2:$A$500, Result_Database!V$2:V$500),
  _xlfn.IFNA(_xlpm.result, "")
)</f>
        <v/>
      </c>
      <c r="X449" t="str">
        <f>_xlfn.LET(
  _xlpm.result, _xlfn.XLOOKUP($B449, Result_Database!$A$2:$A$500, Result_Database!W$2:W$500),
  _xlfn.IFNA(_xlpm.result, "")
)</f>
        <v/>
      </c>
      <c r="Y449" t="str">
        <f>_xlfn.LET(
  _xlpm.result, _xlfn.XLOOKUP($B449, Result_Database!$A$2:$A$500, Result_Database!X$2:X$500),
  _xlfn.IFNA(_xlpm.result, "")
)</f>
        <v/>
      </c>
      <c r="Z449" t="str">
        <f>_xlfn.LET(
  _xlpm.result, _xlfn.XLOOKUP($B449, Result_Database!$A$2:$A$500, Result_Database!Y$2:Y$500),
  _xlfn.IFNA(_xlpm.result, "")
)</f>
        <v/>
      </c>
      <c r="AA449" t="str">
        <f>_xlfn.LET(
  _xlpm.result, _xlfn.XLOOKUP($B449, Result_Database!$A$2:$A$500, Result_Database!Z$2:Z$500),
  _xlfn.IFNA(_xlpm.result, "")
)</f>
        <v/>
      </c>
      <c r="AB449" t="str">
        <f>_xlfn.LET(
  _xlpm.result, _xlfn.XLOOKUP($B449, Result_Database!$A$2:$A$500, Result_Database!AA$2:AA$500),
  _xlfn.IFNA(_xlpm.result, "")
)</f>
        <v/>
      </c>
      <c r="AC449" t="str">
        <f>_xlfn.LET(
  _xlpm.result, _xlfn.XLOOKUP($B449, Result_Database!$A$2:$A$500, Result_Database!AB$2:AB$500),
  _xlfn.IFNA(_xlpm.result, "")
)</f>
        <v/>
      </c>
      <c r="AD449" t="str">
        <f>_xlfn.LET(
  _xlpm.result, _xlfn.XLOOKUP($B449, Result_Database!$A$2:$A$500, Result_Database!AC$2:AC$500),
  _xlfn.IFNA(_xlpm.result, "")
)</f>
        <v/>
      </c>
      <c r="AE449" t="str">
        <f>_xlfn.LET(
  _xlpm.result, _xlfn.XLOOKUP($B449, Result_Database!$A$2:$A$500, Result_Database!AD$2:AD$500),
  _xlfn.IFNA(_xlpm.result, "")
)</f>
        <v/>
      </c>
      <c r="AF449" t="str">
        <f>_xlfn.LET(
  _xlpm.result, _xlfn.XLOOKUP($B449, Result_Database!$A$2:$A$500, Result_Database!AE$2:AE$500),
  _xlfn.IFNA(_xlpm.result, "")
)</f>
        <v/>
      </c>
      <c r="AG449" t="str">
        <f>_xlfn.LET(
  _xlpm.result, _xlfn.XLOOKUP($B449, Result_Database!$A$2:$A$500, Result_Database!AF$2:AF$500),
  _xlfn.IFNA(_xlpm.result, "")
)</f>
        <v/>
      </c>
      <c r="AH449" t="str">
        <f>_xlfn.LET(
  _xlpm.result, _xlfn.XLOOKUP($B449, Result_Database!$A$2:$A$500, Result_Database!AG$2:AG$500),
  _xlfn.IFNA(_xlpm.result, "")
)</f>
        <v/>
      </c>
      <c r="AI449" t="str">
        <f>_xlfn.LET(
  _xlpm.result, _xlfn.XLOOKUP($B449, Result_Database!$A$2:$A$500, Result_Database!AH$2:AH$500),
  _xlfn.IFNA(_xlpm.result, "")
)</f>
        <v/>
      </c>
      <c r="AJ449" t="str">
        <f>_xlfn.LET(
  _xlpm.result, _xlfn.XLOOKUP($B449, Result_Database!$A$2:$A$500, Result_Database!AI$2:AI$500),
  _xlfn.IFNA(_xlpm.result, "")
)</f>
        <v/>
      </c>
      <c r="AK449" t="str">
        <f>_xlfn.LET(
  _xlpm.result, _xlfn.XLOOKUP($B449, Result_Database!$A$2:$A$500, Result_Database!AJ$2:AJ$500),
  _xlfn.IFNA(_xlpm.result, "")
)</f>
        <v/>
      </c>
      <c r="AL449" t="str">
        <f>_xlfn.LET(
  _xlpm.result, _xlfn.XLOOKUP($B449, Result_Database!$A$2:$A$500, Result_Database!AK$2:AK$500),
  _xlfn.IFNA(_xlpm.result, "")
)</f>
        <v/>
      </c>
      <c r="AM44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4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4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4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4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4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4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4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4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49" t="str">
        <f>IF(SUM(Table5[[#This Row],[A1]:[C6]])&lt;&gt;0,SUM(Table5[[#This Row],[A1]:[C6]]),"")</f>
        <v/>
      </c>
      <c r="AW449" t="str">
        <f>IF(SUM(Table5[[#This Row],[D7]:[F9]])=0,"",SUM(Table5[[#This Row],[D7]:[F9]]))</f>
        <v/>
      </c>
      <c r="AX44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4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4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4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4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4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49" t="str">
        <f>IF(COUNTIF(Table5[[#This Row],[English Language]:[Electrical/ Electronics]],"WITHHELD")=0,"",COUNTIF(Table5[[#This Row],[English Language]:[Electrical/ Electronics]],"WITHHELD"))</f>
        <v/>
      </c>
      <c r="BE449" t="str">
        <f>IF(SUM(Table5[[#This Row],[NO OF CREDITS]:[BELOW CREDITS]])=0,"",SUM(Table5[[#This Row],[NO OF CREDITS]:[BELOW CREDITS]]))</f>
        <v/>
      </c>
    </row>
    <row r="450" spans="1:57" x14ac:dyDescent="0.3">
      <c r="A450" t="str">
        <f>IF(B450&lt;&gt;"",COUNTA($B$6:B450),"")</f>
        <v/>
      </c>
      <c r="B450" t="str">
        <f>IF(Result_Database!A446="","",Result_Database!A446)</f>
        <v/>
      </c>
      <c r="C450" t="str">
        <f>_xlfn.LET(
_xlpm.result,_xlfn.XLOOKUP($B450,Result_Database!$A$2:$A$500,Result_Database!$B$2:$B$500),
_xlfn.IFNA(_xlpm.result,"")
)</f>
        <v/>
      </c>
      <c r="D450" t="str">
        <f>_xlfn.LET(
  _xlpm.result, _xlfn.XLOOKUP($B450, Result_Database!$A$2:$A$500, Result_Database!C$2:C$500),
  _xlfn.IFNA(_xlpm.result, "")
)</f>
        <v/>
      </c>
      <c r="E450" t="str">
        <f>_xlfn.LET(
  _xlpm.result, _xlfn.XLOOKUP($B450, Result_Database!$A$2:$A$500, Result_Database!D$2:D$500),
  _xlfn.IFNA(_xlpm.result, "")
)</f>
        <v/>
      </c>
      <c r="F450" t="str">
        <f>_xlfn.LET(
  _xlpm.result, _xlfn.XLOOKUP($B450, Result_Database!$A$2:$A$500, Result_Database!E$2:E$500),
  _xlfn.IFNA(_xlpm.result, "")
)</f>
        <v/>
      </c>
      <c r="G450" t="str">
        <f>_xlfn.LET(
  _xlpm.result, _xlfn.XLOOKUP($B450, Result_Database!$A$2:$A$500, Result_Database!F$2:F$500),
  _xlfn.IFNA(_xlpm.result, "")
)</f>
        <v/>
      </c>
      <c r="H450" t="str">
        <f>_xlfn.LET(
  _xlpm.result, _xlfn.XLOOKUP($B450, Result_Database!$A$2:$A$500, Result_Database!G$2:G$500),
  _xlfn.IFNA(_xlpm.result, "")
)</f>
        <v/>
      </c>
      <c r="I450" t="str">
        <f>_xlfn.LET(
  _xlpm.result, _xlfn.XLOOKUP($B450, Result_Database!$A$2:$A$500, Result_Database!H$2:H$500),
  _xlfn.IFNA(_xlpm.result, "")
)</f>
        <v/>
      </c>
      <c r="J450" t="str">
        <f>_xlfn.LET(
  _xlpm.result, _xlfn.XLOOKUP($B450, Result_Database!$A$2:$A$500, Result_Database!I$2:I$500),
  _xlfn.IFNA(_xlpm.result, "")
)</f>
        <v/>
      </c>
      <c r="K450" t="str">
        <f>_xlfn.LET(
  _xlpm.result, _xlfn.XLOOKUP($B450, Result_Database!$A$2:$A$500, Result_Database!J$2:J$500),
  _xlfn.IFNA(_xlpm.result, "")
)</f>
        <v/>
      </c>
      <c r="L450" t="str">
        <f>_xlfn.LET(
  _xlpm.result, _xlfn.XLOOKUP($B450, Result_Database!$A$2:$A$500, Result_Database!K$2:K$500),
  _xlfn.IFNA(_xlpm.result, "")
)</f>
        <v/>
      </c>
      <c r="M450" t="str">
        <f>_xlfn.LET(
  _xlpm.result, _xlfn.XLOOKUP($B450, Result_Database!$A$2:$A$500, Result_Database!L$2:L$500),
  _xlfn.IFNA(_xlpm.result, "")
)</f>
        <v/>
      </c>
      <c r="N450" t="str">
        <f>_xlfn.LET(
  _xlpm.result, _xlfn.XLOOKUP($B450, Result_Database!$A$2:$A$500, Result_Database!M$2:M$500),
  _xlfn.IFNA(_xlpm.result, "")
)</f>
        <v/>
      </c>
      <c r="O450" t="str">
        <f>_xlfn.LET(
  _xlpm.result, _xlfn.XLOOKUP($B450, Result_Database!$A$2:$A$500, Result_Database!N$2:N$500),
  _xlfn.IFNA(_xlpm.result, "")
)</f>
        <v/>
      </c>
      <c r="P450" t="str">
        <f>_xlfn.LET(
  _xlpm.result, _xlfn.XLOOKUP($B450, Result_Database!$A$2:$A$500, Result_Database!O$2:O$500),
  _xlfn.IFNA(_xlpm.result, "")
)</f>
        <v/>
      </c>
      <c r="Q450" t="str">
        <f>_xlfn.LET(
  _xlpm.result, _xlfn.XLOOKUP($B450, Result_Database!$A$2:$A$500, Result_Database!P$2:P$500),
  _xlfn.IFNA(_xlpm.result, "")
)</f>
        <v/>
      </c>
      <c r="R450" t="str">
        <f>_xlfn.LET(
  _xlpm.result, _xlfn.XLOOKUP($B450, Result_Database!$A$2:$A$500, Result_Database!Q$2:Q$500),
  _xlfn.IFNA(_xlpm.result, "")
)</f>
        <v/>
      </c>
      <c r="S450" t="str">
        <f>_xlfn.LET(
  _xlpm.result, _xlfn.XLOOKUP($B450, Result_Database!$A$2:$A$500, Result_Database!R$2:R$500),
  _xlfn.IFNA(_xlpm.result, "")
)</f>
        <v/>
      </c>
      <c r="T450" t="str">
        <f>_xlfn.LET(
  _xlpm.result, _xlfn.XLOOKUP($B450, Result_Database!$A$2:$A$500, Result_Database!S$2:S$500),
  _xlfn.IFNA(_xlpm.result, "")
)</f>
        <v/>
      </c>
      <c r="U450" t="str">
        <f>_xlfn.LET(
  _xlpm.result, _xlfn.XLOOKUP($B450, Result_Database!$A$2:$A$500, Result_Database!T$2:T$500),
  _xlfn.IFNA(_xlpm.result, "")
)</f>
        <v/>
      </c>
      <c r="V450" t="str">
        <f>_xlfn.LET(
  _xlpm.result, _xlfn.XLOOKUP($B450, Result_Database!$A$2:$A$500, Result_Database!U$2:U$500),
  _xlfn.IFNA(_xlpm.result, "")
)</f>
        <v/>
      </c>
      <c r="W450" t="str">
        <f>_xlfn.LET(
  _xlpm.result, _xlfn.XLOOKUP($B450, Result_Database!$A$2:$A$500, Result_Database!V$2:V$500),
  _xlfn.IFNA(_xlpm.result, "")
)</f>
        <v/>
      </c>
      <c r="X450" t="str">
        <f>_xlfn.LET(
  _xlpm.result, _xlfn.XLOOKUP($B450, Result_Database!$A$2:$A$500, Result_Database!W$2:W$500),
  _xlfn.IFNA(_xlpm.result, "")
)</f>
        <v/>
      </c>
      <c r="Y450" t="str">
        <f>_xlfn.LET(
  _xlpm.result, _xlfn.XLOOKUP($B450, Result_Database!$A$2:$A$500, Result_Database!X$2:X$500),
  _xlfn.IFNA(_xlpm.result, "")
)</f>
        <v/>
      </c>
      <c r="Z450" t="str">
        <f>_xlfn.LET(
  _xlpm.result, _xlfn.XLOOKUP($B450, Result_Database!$A$2:$A$500, Result_Database!Y$2:Y$500),
  _xlfn.IFNA(_xlpm.result, "")
)</f>
        <v/>
      </c>
      <c r="AA450" t="str">
        <f>_xlfn.LET(
  _xlpm.result, _xlfn.XLOOKUP($B450, Result_Database!$A$2:$A$500, Result_Database!Z$2:Z$500),
  _xlfn.IFNA(_xlpm.result, "")
)</f>
        <v/>
      </c>
      <c r="AB450" t="str">
        <f>_xlfn.LET(
  _xlpm.result, _xlfn.XLOOKUP($B450, Result_Database!$A$2:$A$500, Result_Database!AA$2:AA$500),
  _xlfn.IFNA(_xlpm.result, "")
)</f>
        <v/>
      </c>
      <c r="AC450" t="str">
        <f>_xlfn.LET(
  _xlpm.result, _xlfn.XLOOKUP($B450, Result_Database!$A$2:$A$500, Result_Database!AB$2:AB$500),
  _xlfn.IFNA(_xlpm.result, "")
)</f>
        <v/>
      </c>
      <c r="AD450" t="str">
        <f>_xlfn.LET(
  _xlpm.result, _xlfn.XLOOKUP($B450, Result_Database!$A$2:$A$500, Result_Database!AC$2:AC$500),
  _xlfn.IFNA(_xlpm.result, "")
)</f>
        <v/>
      </c>
      <c r="AE450" t="str">
        <f>_xlfn.LET(
  _xlpm.result, _xlfn.XLOOKUP($B450, Result_Database!$A$2:$A$500, Result_Database!AD$2:AD$500),
  _xlfn.IFNA(_xlpm.result, "")
)</f>
        <v/>
      </c>
      <c r="AF450" t="str">
        <f>_xlfn.LET(
  _xlpm.result, _xlfn.XLOOKUP($B450, Result_Database!$A$2:$A$500, Result_Database!AE$2:AE$500),
  _xlfn.IFNA(_xlpm.result, "")
)</f>
        <v/>
      </c>
      <c r="AG450" t="str">
        <f>_xlfn.LET(
  _xlpm.result, _xlfn.XLOOKUP($B450, Result_Database!$A$2:$A$500, Result_Database!AF$2:AF$500),
  _xlfn.IFNA(_xlpm.result, "")
)</f>
        <v/>
      </c>
      <c r="AH450" t="str">
        <f>_xlfn.LET(
  _xlpm.result, _xlfn.XLOOKUP($B450, Result_Database!$A$2:$A$500, Result_Database!AG$2:AG$500),
  _xlfn.IFNA(_xlpm.result, "")
)</f>
        <v/>
      </c>
      <c r="AI450" t="str">
        <f>_xlfn.LET(
  _xlpm.result, _xlfn.XLOOKUP($B450, Result_Database!$A$2:$A$500, Result_Database!AH$2:AH$500),
  _xlfn.IFNA(_xlpm.result, "")
)</f>
        <v/>
      </c>
      <c r="AJ450" t="str">
        <f>_xlfn.LET(
  _xlpm.result, _xlfn.XLOOKUP($B450, Result_Database!$A$2:$A$500, Result_Database!AI$2:AI$500),
  _xlfn.IFNA(_xlpm.result, "")
)</f>
        <v/>
      </c>
      <c r="AK450" t="str">
        <f>_xlfn.LET(
  _xlpm.result, _xlfn.XLOOKUP($B450, Result_Database!$A$2:$A$500, Result_Database!AJ$2:AJ$500),
  _xlfn.IFNA(_xlpm.result, "")
)</f>
        <v/>
      </c>
      <c r="AL450" t="str">
        <f>_xlfn.LET(
  _xlpm.result, _xlfn.XLOOKUP($B450, Result_Database!$A$2:$A$500, Result_Database!AK$2:AK$500),
  _xlfn.IFNA(_xlpm.result, "")
)</f>
        <v/>
      </c>
      <c r="AM45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5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5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5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5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5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5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5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5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50" t="str">
        <f>IF(SUM(Table5[[#This Row],[A1]:[C6]])&lt;&gt;0,SUM(Table5[[#This Row],[A1]:[C6]]),"")</f>
        <v/>
      </c>
      <c r="AW450" t="str">
        <f>IF(SUM(Table5[[#This Row],[D7]:[F9]])=0,"",SUM(Table5[[#This Row],[D7]:[F9]]))</f>
        <v/>
      </c>
      <c r="AX45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5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5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5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5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5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50" t="str">
        <f>IF(COUNTIF(Table5[[#This Row],[English Language]:[Electrical/ Electronics]],"WITHHELD")=0,"",COUNTIF(Table5[[#This Row],[English Language]:[Electrical/ Electronics]],"WITHHELD"))</f>
        <v/>
      </c>
      <c r="BE450" t="str">
        <f>IF(SUM(Table5[[#This Row],[NO OF CREDITS]:[BELOW CREDITS]])=0,"",SUM(Table5[[#This Row],[NO OF CREDITS]:[BELOW CREDITS]]))</f>
        <v/>
      </c>
    </row>
    <row r="451" spans="1:57" x14ac:dyDescent="0.3">
      <c r="A451" t="str">
        <f>IF(B451&lt;&gt;"",COUNTA($B$6:B451),"")</f>
        <v/>
      </c>
      <c r="B451" t="str">
        <f>IF(Result_Database!A447="","",Result_Database!A447)</f>
        <v/>
      </c>
      <c r="C451" t="str">
        <f>_xlfn.LET(
_xlpm.result,_xlfn.XLOOKUP($B451,Result_Database!$A$2:$A$500,Result_Database!$B$2:$B$500),
_xlfn.IFNA(_xlpm.result,"")
)</f>
        <v/>
      </c>
      <c r="D451" t="str">
        <f>_xlfn.LET(
  _xlpm.result, _xlfn.XLOOKUP($B451, Result_Database!$A$2:$A$500, Result_Database!C$2:C$500),
  _xlfn.IFNA(_xlpm.result, "")
)</f>
        <v/>
      </c>
      <c r="E451" t="str">
        <f>_xlfn.LET(
  _xlpm.result, _xlfn.XLOOKUP($B451, Result_Database!$A$2:$A$500, Result_Database!D$2:D$500),
  _xlfn.IFNA(_xlpm.result, "")
)</f>
        <v/>
      </c>
      <c r="F451" t="str">
        <f>_xlfn.LET(
  _xlpm.result, _xlfn.XLOOKUP($B451, Result_Database!$A$2:$A$500, Result_Database!E$2:E$500),
  _xlfn.IFNA(_xlpm.result, "")
)</f>
        <v/>
      </c>
      <c r="G451" t="str">
        <f>_xlfn.LET(
  _xlpm.result, _xlfn.XLOOKUP($B451, Result_Database!$A$2:$A$500, Result_Database!F$2:F$500),
  _xlfn.IFNA(_xlpm.result, "")
)</f>
        <v/>
      </c>
      <c r="H451" t="str">
        <f>_xlfn.LET(
  _xlpm.result, _xlfn.XLOOKUP($B451, Result_Database!$A$2:$A$500, Result_Database!G$2:G$500),
  _xlfn.IFNA(_xlpm.result, "")
)</f>
        <v/>
      </c>
      <c r="I451" t="str">
        <f>_xlfn.LET(
  _xlpm.result, _xlfn.XLOOKUP($B451, Result_Database!$A$2:$A$500, Result_Database!H$2:H$500),
  _xlfn.IFNA(_xlpm.result, "")
)</f>
        <v/>
      </c>
      <c r="J451" t="str">
        <f>_xlfn.LET(
  _xlpm.result, _xlfn.XLOOKUP($B451, Result_Database!$A$2:$A$500, Result_Database!I$2:I$500),
  _xlfn.IFNA(_xlpm.result, "")
)</f>
        <v/>
      </c>
      <c r="K451" t="str">
        <f>_xlfn.LET(
  _xlpm.result, _xlfn.XLOOKUP($B451, Result_Database!$A$2:$A$500, Result_Database!J$2:J$500),
  _xlfn.IFNA(_xlpm.result, "")
)</f>
        <v/>
      </c>
      <c r="L451" t="str">
        <f>_xlfn.LET(
  _xlpm.result, _xlfn.XLOOKUP($B451, Result_Database!$A$2:$A$500, Result_Database!K$2:K$500),
  _xlfn.IFNA(_xlpm.result, "")
)</f>
        <v/>
      </c>
      <c r="M451" t="str">
        <f>_xlfn.LET(
  _xlpm.result, _xlfn.XLOOKUP($B451, Result_Database!$A$2:$A$500, Result_Database!L$2:L$500),
  _xlfn.IFNA(_xlpm.result, "")
)</f>
        <v/>
      </c>
      <c r="N451" t="str">
        <f>_xlfn.LET(
  _xlpm.result, _xlfn.XLOOKUP($B451, Result_Database!$A$2:$A$500, Result_Database!M$2:M$500),
  _xlfn.IFNA(_xlpm.result, "")
)</f>
        <v/>
      </c>
      <c r="O451" t="str">
        <f>_xlfn.LET(
  _xlpm.result, _xlfn.XLOOKUP($B451, Result_Database!$A$2:$A$500, Result_Database!N$2:N$500),
  _xlfn.IFNA(_xlpm.result, "")
)</f>
        <v/>
      </c>
      <c r="P451" t="str">
        <f>_xlfn.LET(
  _xlpm.result, _xlfn.XLOOKUP($B451, Result_Database!$A$2:$A$500, Result_Database!O$2:O$500),
  _xlfn.IFNA(_xlpm.result, "")
)</f>
        <v/>
      </c>
      <c r="Q451" t="str">
        <f>_xlfn.LET(
  _xlpm.result, _xlfn.XLOOKUP($B451, Result_Database!$A$2:$A$500, Result_Database!P$2:P$500),
  _xlfn.IFNA(_xlpm.result, "")
)</f>
        <v/>
      </c>
      <c r="R451" t="str">
        <f>_xlfn.LET(
  _xlpm.result, _xlfn.XLOOKUP($B451, Result_Database!$A$2:$A$500, Result_Database!Q$2:Q$500),
  _xlfn.IFNA(_xlpm.result, "")
)</f>
        <v/>
      </c>
      <c r="S451" t="str">
        <f>_xlfn.LET(
  _xlpm.result, _xlfn.XLOOKUP($B451, Result_Database!$A$2:$A$500, Result_Database!R$2:R$500),
  _xlfn.IFNA(_xlpm.result, "")
)</f>
        <v/>
      </c>
      <c r="T451" t="str">
        <f>_xlfn.LET(
  _xlpm.result, _xlfn.XLOOKUP($B451, Result_Database!$A$2:$A$500, Result_Database!S$2:S$500),
  _xlfn.IFNA(_xlpm.result, "")
)</f>
        <v/>
      </c>
      <c r="U451" t="str">
        <f>_xlfn.LET(
  _xlpm.result, _xlfn.XLOOKUP($B451, Result_Database!$A$2:$A$500, Result_Database!T$2:T$500),
  _xlfn.IFNA(_xlpm.result, "")
)</f>
        <v/>
      </c>
      <c r="V451" t="str">
        <f>_xlfn.LET(
  _xlpm.result, _xlfn.XLOOKUP($B451, Result_Database!$A$2:$A$500, Result_Database!U$2:U$500),
  _xlfn.IFNA(_xlpm.result, "")
)</f>
        <v/>
      </c>
      <c r="W451" t="str">
        <f>_xlfn.LET(
  _xlpm.result, _xlfn.XLOOKUP($B451, Result_Database!$A$2:$A$500, Result_Database!V$2:V$500),
  _xlfn.IFNA(_xlpm.result, "")
)</f>
        <v/>
      </c>
      <c r="X451" t="str">
        <f>_xlfn.LET(
  _xlpm.result, _xlfn.XLOOKUP($B451, Result_Database!$A$2:$A$500, Result_Database!W$2:W$500),
  _xlfn.IFNA(_xlpm.result, "")
)</f>
        <v/>
      </c>
      <c r="Y451" t="str">
        <f>_xlfn.LET(
  _xlpm.result, _xlfn.XLOOKUP($B451, Result_Database!$A$2:$A$500, Result_Database!X$2:X$500),
  _xlfn.IFNA(_xlpm.result, "")
)</f>
        <v/>
      </c>
      <c r="Z451" t="str">
        <f>_xlfn.LET(
  _xlpm.result, _xlfn.XLOOKUP($B451, Result_Database!$A$2:$A$500, Result_Database!Y$2:Y$500),
  _xlfn.IFNA(_xlpm.result, "")
)</f>
        <v/>
      </c>
      <c r="AA451" t="str">
        <f>_xlfn.LET(
  _xlpm.result, _xlfn.XLOOKUP($B451, Result_Database!$A$2:$A$500, Result_Database!Z$2:Z$500),
  _xlfn.IFNA(_xlpm.result, "")
)</f>
        <v/>
      </c>
      <c r="AB451" t="str">
        <f>_xlfn.LET(
  _xlpm.result, _xlfn.XLOOKUP($B451, Result_Database!$A$2:$A$500, Result_Database!AA$2:AA$500),
  _xlfn.IFNA(_xlpm.result, "")
)</f>
        <v/>
      </c>
      <c r="AC451" t="str">
        <f>_xlfn.LET(
  _xlpm.result, _xlfn.XLOOKUP($B451, Result_Database!$A$2:$A$500, Result_Database!AB$2:AB$500),
  _xlfn.IFNA(_xlpm.result, "")
)</f>
        <v/>
      </c>
      <c r="AD451" t="str">
        <f>_xlfn.LET(
  _xlpm.result, _xlfn.XLOOKUP($B451, Result_Database!$A$2:$A$500, Result_Database!AC$2:AC$500),
  _xlfn.IFNA(_xlpm.result, "")
)</f>
        <v/>
      </c>
      <c r="AE451" t="str">
        <f>_xlfn.LET(
  _xlpm.result, _xlfn.XLOOKUP($B451, Result_Database!$A$2:$A$500, Result_Database!AD$2:AD$500),
  _xlfn.IFNA(_xlpm.result, "")
)</f>
        <v/>
      </c>
      <c r="AF451" t="str">
        <f>_xlfn.LET(
  _xlpm.result, _xlfn.XLOOKUP($B451, Result_Database!$A$2:$A$500, Result_Database!AE$2:AE$500),
  _xlfn.IFNA(_xlpm.result, "")
)</f>
        <v/>
      </c>
      <c r="AG451" t="str">
        <f>_xlfn.LET(
  _xlpm.result, _xlfn.XLOOKUP($B451, Result_Database!$A$2:$A$500, Result_Database!AF$2:AF$500),
  _xlfn.IFNA(_xlpm.result, "")
)</f>
        <v/>
      </c>
      <c r="AH451" t="str">
        <f>_xlfn.LET(
  _xlpm.result, _xlfn.XLOOKUP($B451, Result_Database!$A$2:$A$500, Result_Database!AG$2:AG$500),
  _xlfn.IFNA(_xlpm.result, "")
)</f>
        <v/>
      </c>
      <c r="AI451" t="str">
        <f>_xlfn.LET(
  _xlpm.result, _xlfn.XLOOKUP($B451, Result_Database!$A$2:$A$500, Result_Database!AH$2:AH$500),
  _xlfn.IFNA(_xlpm.result, "")
)</f>
        <v/>
      </c>
      <c r="AJ451" t="str">
        <f>_xlfn.LET(
  _xlpm.result, _xlfn.XLOOKUP($B451, Result_Database!$A$2:$A$500, Result_Database!AI$2:AI$500),
  _xlfn.IFNA(_xlpm.result, "")
)</f>
        <v/>
      </c>
      <c r="AK451" t="str">
        <f>_xlfn.LET(
  _xlpm.result, _xlfn.XLOOKUP($B451, Result_Database!$A$2:$A$500, Result_Database!AJ$2:AJ$500),
  _xlfn.IFNA(_xlpm.result, "")
)</f>
        <v/>
      </c>
      <c r="AL451" t="str">
        <f>_xlfn.LET(
  _xlpm.result, _xlfn.XLOOKUP($B451, Result_Database!$A$2:$A$500, Result_Database!AK$2:AK$500),
  _xlfn.IFNA(_xlpm.result, "")
)</f>
        <v/>
      </c>
      <c r="AM45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5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5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5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5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5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5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5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5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51" t="str">
        <f>IF(SUM(Table5[[#This Row],[A1]:[C6]])&lt;&gt;0,SUM(Table5[[#This Row],[A1]:[C6]]),"")</f>
        <v/>
      </c>
      <c r="AW451" t="str">
        <f>IF(SUM(Table5[[#This Row],[D7]:[F9]])=0,"",SUM(Table5[[#This Row],[D7]:[F9]]))</f>
        <v/>
      </c>
      <c r="AX45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5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5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5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5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5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51" t="str">
        <f>IF(COUNTIF(Table5[[#This Row],[English Language]:[Electrical/ Electronics]],"WITHHELD")=0,"",COUNTIF(Table5[[#This Row],[English Language]:[Electrical/ Electronics]],"WITHHELD"))</f>
        <v/>
      </c>
      <c r="BE451" t="str">
        <f>IF(SUM(Table5[[#This Row],[NO OF CREDITS]:[BELOW CREDITS]])=0,"",SUM(Table5[[#This Row],[NO OF CREDITS]:[BELOW CREDITS]]))</f>
        <v/>
      </c>
    </row>
    <row r="452" spans="1:57" x14ac:dyDescent="0.3">
      <c r="A452" t="str">
        <f>IF(B452&lt;&gt;"",COUNTA($B$6:B452),"")</f>
        <v/>
      </c>
      <c r="B452" t="str">
        <f>IF(Result_Database!A448="","",Result_Database!A448)</f>
        <v/>
      </c>
      <c r="C452" t="str">
        <f>_xlfn.LET(
_xlpm.result,_xlfn.XLOOKUP($B452,Result_Database!$A$2:$A$500,Result_Database!$B$2:$B$500),
_xlfn.IFNA(_xlpm.result,"")
)</f>
        <v/>
      </c>
      <c r="D452" t="str">
        <f>_xlfn.LET(
  _xlpm.result, _xlfn.XLOOKUP($B452, Result_Database!$A$2:$A$500, Result_Database!C$2:C$500),
  _xlfn.IFNA(_xlpm.result, "")
)</f>
        <v/>
      </c>
      <c r="E452" t="str">
        <f>_xlfn.LET(
  _xlpm.result, _xlfn.XLOOKUP($B452, Result_Database!$A$2:$A$500, Result_Database!D$2:D$500),
  _xlfn.IFNA(_xlpm.result, "")
)</f>
        <v/>
      </c>
      <c r="F452" t="str">
        <f>_xlfn.LET(
  _xlpm.result, _xlfn.XLOOKUP($B452, Result_Database!$A$2:$A$500, Result_Database!E$2:E$500),
  _xlfn.IFNA(_xlpm.result, "")
)</f>
        <v/>
      </c>
      <c r="G452" t="str">
        <f>_xlfn.LET(
  _xlpm.result, _xlfn.XLOOKUP($B452, Result_Database!$A$2:$A$500, Result_Database!F$2:F$500),
  _xlfn.IFNA(_xlpm.result, "")
)</f>
        <v/>
      </c>
      <c r="H452" t="str">
        <f>_xlfn.LET(
  _xlpm.result, _xlfn.XLOOKUP($B452, Result_Database!$A$2:$A$500, Result_Database!G$2:G$500),
  _xlfn.IFNA(_xlpm.result, "")
)</f>
        <v/>
      </c>
      <c r="I452" t="str">
        <f>_xlfn.LET(
  _xlpm.result, _xlfn.XLOOKUP($B452, Result_Database!$A$2:$A$500, Result_Database!H$2:H$500),
  _xlfn.IFNA(_xlpm.result, "")
)</f>
        <v/>
      </c>
      <c r="J452" t="str">
        <f>_xlfn.LET(
  _xlpm.result, _xlfn.XLOOKUP($B452, Result_Database!$A$2:$A$500, Result_Database!I$2:I$500),
  _xlfn.IFNA(_xlpm.result, "")
)</f>
        <v/>
      </c>
      <c r="K452" t="str">
        <f>_xlfn.LET(
  _xlpm.result, _xlfn.XLOOKUP($B452, Result_Database!$A$2:$A$500, Result_Database!J$2:J$500),
  _xlfn.IFNA(_xlpm.result, "")
)</f>
        <v/>
      </c>
      <c r="L452" t="str">
        <f>_xlfn.LET(
  _xlpm.result, _xlfn.XLOOKUP($B452, Result_Database!$A$2:$A$500, Result_Database!K$2:K$500),
  _xlfn.IFNA(_xlpm.result, "")
)</f>
        <v/>
      </c>
      <c r="M452" t="str">
        <f>_xlfn.LET(
  _xlpm.result, _xlfn.XLOOKUP($B452, Result_Database!$A$2:$A$500, Result_Database!L$2:L$500),
  _xlfn.IFNA(_xlpm.result, "")
)</f>
        <v/>
      </c>
      <c r="N452" t="str">
        <f>_xlfn.LET(
  _xlpm.result, _xlfn.XLOOKUP($B452, Result_Database!$A$2:$A$500, Result_Database!M$2:M$500),
  _xlfn.IFNA(_xlpm.result, "")
)</f>
        <v/>
      </c>
      <c r="O452" t="str">
        <f>_xlfn.LET(
  _xlpm.result, _xlfn.XLOOKUP($B452, Result_Database!$A$2:$A$500, Result_Database!N$2:N$500),
  _xlfn.IFNA(_xlpm.result, "")
)</f>
        <v/>
      </c>
      <c r="P452" t="str">
        <f>_xlfn.LET(
  _xlpm.result, _xlfn.XLOOKUP($B452, Result_Database!$A$2:$A$500, Result_Database!O$2:O$500),
  _xlfn.IFNA(_xlpm.result, "")
)</f>
        <v/>
      </c>
      <c r="Q452" t="str">
        <f>_xlfn.LET(
  _xlpm.result, _xlfn.XLOOKUP($B452, Result_Database!$A$2:$A$500, Result_Database!P$2:P$500),
  _xlfn.IFNA(_xlpm.result, "")
)</f>
        <v/>
      </c>
      <c r="R452" t="str">
        <f>_xlfn.LET(
  _xlpm.result, _xlfn.XLOOKUP($B452, Result_Database!$A$2:$A$500, Result_Database!Q$2:Q$500),
  _xlfn.IFNA(_xlpm.result, "")
)</f>
        <v/>
      </c>
      <c r="S452" t="str">
        <f>_xlfn.LET(
  _xlpm.result, _xlfn.XLOOKUP($B452, Result_Database!$A$2:$A$500, Result_Database!R$2:R$500),
  _xlfn.IFNA(_xlpm.result, "")
)</f>
        <v/>
      </c>
      <c r="T452" t="str">
        <f>_xlfn.LET(
  _xlpm.result, _xlfn.XLOOKUP($B452, Result_Database!$A$2:$A$500, Result_Database!S$2:S$500),
  _xlfn.IFNA(_xlpm.result, "")
)</f>
        <v/>
      </c>
      <c r="U452" t="str">
        <f>_xlfn.LET(
  _xlpm.result, _xlfn.XLOOKUP($B452, Result_Database!$A$2:$A$500, Result_Database!T$2:T$500),
  _xlfn.IFNA(_xlpm.result, "")
)</f>
        <v/>
      </c>
      <c r="V452" t="str">
        <f>_xlfn.LET(
  _xlpm.result, _xlfn.XLOOKUP($B452, Result_Database!$A$2:$A$500, Result_Database!U$2:U$500),
  _xlfn.IFNA(_xlpm.result, "")
)</f>
        <v/>
      </c>
      <c r="W452" t="str">
        <f>_xlfn.LET(
  _xlpm.result, _xlfn.XLOOKUP($B452, Result_Database!$A$2:$A$500, Result_Database!V$2:V$500),
  _xlfn.IFNA(_xlpm.result, "")
)</f>
        <v/>
      </c>
      <c r="X452" t="str">
        <f>_xlfn.LET(
  _xlpm.result, _xlfn.XLOOKUP($B452, Result_Database!$A$2:$A$500, Result_Database!W$2:W$500),
  _xlfn.IFNA(_xlpm.result, "")
)</f>
        <v/>
      </c>
      <c r="Y452" t="str">
        <f>_xlfn.LET(
  _xlpm.result, _xlfn.XLOOKUP($B452, Result_Database!$A$2:$A$500, Result_Database!X$2:X$500),
  _xlfn.IFNA(_xlpm.result, "")
)</f>
        <v/>
      </c>
      <c r="Z452" t="str">
        <f>_xlfn.LET(
  _xlpm.result, _xlfn.XLOOKUP($B452, Result_Database!$A$2:$A$500, Result_Database!Y$2:Y$500),
  _xlfn.IFNA(_xlpm.result, "")
)</f>
        <v/>
      </c>
      <c r="AA452" t="str">
        <f>_xlfn.LET(
  _xlpm.result, _xlfn.XLOOKUP($B452, Result_Database!$A$2:$A$500, Result_Database!Z$2:Z$500),
  _xlfn.IFNA(_xlpm.result, "")
)</f>
        <v/>
      </c>
      <c r="AB452" t="str">
        <f>_xlfn.LET(
  _xlpm.result, _xlfn.XLOOKUP($B452, Result_Database!$A$2:$A$500, Result_Database!AA$2:AA$500),
  _xlfn.IFNA(_xlpm.result, "")
)</f>
        <v/>
      </c>
      <c r="AC452" t="str">
        <f>_xlfn.LET(
  _xlpm.result, _xlfn.XLOOKUP($B452, Result_Database!$A$2:$A$500, Result_Database!AB$2:AB$500),
  _xlfn.IFNA(_xlpm.result, "")
)</f>
        <v/>
      </c>
      <c r="AD452" t="str">
        <f>_xlfn.LET(
  _xlpm.result, _xlfn.XLOOKUP($B452, Result_Database!$A$2:$A$500, Result_Database!AC$2:AC$500),
  _xlfn.IFNA(_xlpm.result, "")
)</f>
        <v/>
      </c>
      <c r="AE452" t="str">
        <f>_xlfn.LET(
  _xlpm.result, _xlfn.XLOOKUP($B452, Result_Database!$A$2:$A$500, Result_Database!AD$2:AD$500),
  _xlfn.IFNA(_xlpm.result, "")
)</f>
        <v/>
      </c>
      <c r="AF452" t="str">
        <f>_xlfn.LET(
  _xlpm.result, _xlfn.XLOOKUP($B452, Result_Database!$A$2:$A$500, Result_Database!AE$2:AE$500),
  _xlfn.IFNA(_xlpm.result, "")
)</f>
        <v/>
      </c>
      <c r="AG452" t="str">
        <f>_xlfn.LET(
  _xlpm.result, _xlfn.XLOOKUP($B452, Result_Database!$A$2:$A$500, Result_Database!AF$2:AF$500),
  _xlfn.IFNA(_xlpm.result, "")
)</f>
        <v/>
      </c>
      <c r="AH452" t="str">
        <f>_xlfn.LET(
  _xlpm.result, _xlfn.XLOOKUP($B452, Result_Database!$A$2:$A$500, Result_Database!AG$2:AG$500),
  _xlfn.IFNA(_xlpm.result, "")
)</f>
        <v/>
      </c>
      <c r="AI452" t="str">
        <f>_xlfn.LET(
  _xlpm.result, _xlfn.XLOOKUP($B452, Result_Database!$A$2:$A$500, Result_Database!AH$2:AH$500),
  _xlfn.IFNA(_xlpm.result, "")
)</f>
        <v/>
      </c>
      <c r="AJ452" t="str">
        <f>_xlfn.LET(
  _xlpm.result, _xlfn.XLOOKUP($B452, Result_Database!$A$2:$A$500, Result_Database!AI$2:AI$500),
  _xlfn.IFNA(_xlpm.result, "")
)</f>
        <v/>
      </c>
      <c r="AK452" t="str">
        <f>_xlfn.LET(
  _xlpm.result, _xlfn.XLOOKUP($B452, Result_Database!$A$2:$A$500, Result_Database!AJ$2:AJ$500),
  _xlfn.IFNA(_xlpm.result, "")
)</f>
        <v/>
      </c>
      <c r="AL452" t="str">
        <f>_xlfn.LET(
  _xlpm.result, _xlfn.XLOOKUP($B452, Result_Database!$A$2:$A$500, Result_Database!AK$2:AK$500),
  _xlfn.IFNA(_xlpm.result, "")
)</f>
        <v/>
      </c>
      <c r="AM45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5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5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5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5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5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5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5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5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52" t="str">
        <f>IF(SUM(Table5[[#This Row],[A1]:[C6]])&lt;&gt;0,SUM(Table5[[#This Row],[A1]:[C6]]),"")</f>
        <v/>
      </c>
      <c r="AW452" t="str">
        <f>IF(SUM(Table5[[#This Row],[D7]:[F9]])=0,"",SUM(Table5[[#This Row],[D7]:[F9]]))</f>
        <v/>
      </c>
      <c r="AX45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5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5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5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5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5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52" t="str">
        <f>IF(COUNTIF(Table5[[#This Row],[English Language]:[Electrical/ Electronics]],"WITHHELD")=0,"",COUNTIF(Table5[[#This Row],[English Language]:[Electrical/ Electronics]],"WITHHELD"))</f>
        <v/>
      </c>
      <c r="BE452" t="str">
        <f>IF(SUM(Table5[[#This Row],[NO OF CREDITS]:[BELOW CREDITS]])=0,"",SUM(Table5[[#This Row],[NO OF CREDITS]:[BELOW CREDITS]]))</f>
        <v/>
      </c>
    </row>
    <row r="453" spans="1:57" x14ac:dyDescent="0.3">
      <c r="A453" t="str">
        <f>IF(B453&lt;&gt;"",COUNTA($B$6:B453),"")</f>
        <v/>
      </c>
      <c r="B453" t="str">
        <f>IF(Result_Database!A449="","",Result_Database!A449)</f>
        <v/>
      </c>
      <c r="C453" t="str">
        <f>_xlfn.LET(
_xlpm.result,_xlfn.XLOOKUP($B453,Result_Database!$A$2:$A$500,Result_Database!$B$2:$B$500),
_xlfn.IFNA(_xlpm.result,"")
)</f>
        <v/>
      </c>
      <c r="D453" t="str">
        <f>_xlfn.LET(
  _xlpm.result, _xlfn.XLOOKUP($B453, Result_Database!$A$2:$A$500, Result_Database!C$2:C$500),
  _xlfn.IFNA(_xlpm.result, "")
)</f>
        <v/>
      </c>
      <c r="E453" t="str">
        <f>_xlfn.LET(
  _xlpm.result, _xlfn.XLOOKUP($B453, Result_Database!$A$2:$A$500, Result_Database!D$2:D$500),
  _xlfn.IFNA(_xlpm.result, "")
)</f>
        <v/>
      </c>
      <c r="F453" t="str">
        <f>_xlfn.LET(
  _xlpm.result, _xlfn.XLOOKUP($B453, Result_Database!$A$2:$A$500, Result_Database!E$2:E$500),
  _xlfn.IFNA(_xlpm.result, "")
)</f>
        <v/>
      </c>
      <c r="G453" t="str">
        <f>_xlfn.LET(
  _xlpm.result, _xlfn.XLOOKUP($B453, Result_Database!$A$2:$A$500, Result_Database!F$2:F$500),
  _xlfn.IFNA(_xlpm.result, "")
)</f>
        <v/>
      </c>
      <c r="H453" t="str">
        <f>_xlfn.LET(
  _xlpm.result, _xlfn.XLOOKUP($B453, Result_Database!$A$2:$A$500, Result_Database!G$2:G$500),
  _xlfn.IFNA(_xlpm.result, "")
)</f>
        <v/>
      </c>
      <c r="I453" t="str">
        <f>_xlfn.LET(
  _xlpm.result, _xlfn.XLOOKUP($B453, Result_Database!$A$2:$A$500, Result_Database!H$2:H$500),
  _xlfn.IFNA(_xlpm.result, "")
)</f>
        <v/>
      </c>
      <c r="J453" t="str">
        <f>_xlfn.LET(
  _xlpm.result, _xlfn.XLOOKUP($B453, Result_Database!$A$2:$A$500, Result_Database!I$2:I$500),
  _xlfn.IFNA(_xlpm.result, "")
)</f>
        <v/>
      </c>
      <c r="K453" t="str">
        <f>_xlfn.LET(
  _xlpm.result, _xlfn.XLOOKUP($B453, Result_Database!$A$2:$A$500, Result_Database!J$2:J$500),
  _xlfn.IFNA(_xlpm.result, "")
)</f>
        <v/>
      </c>
      <c r="L453" t="str">
        <f>_xlfn.LET(
  _xlpm.result, _xlfn.XLOOKUP($B453, Result_Database!$A$2:$A$500, Result_Database!K$2:K$500),
  _xlfn.IFNA(_xlpm.result, "")
)</f>
        <v/>
      </c>
      <c r="M453" t="str">
        <f>_xlfn.LET(
  _xlpm.result, _xlfn.XLOOKUP($B453, Result_Database!$A$2:$A$500, Result_Database!L$2:L$500),
  _xlfn.IFNA(_xlpm.result, "")
)</f>
        <v/>
      </c>
      <c r="N453" t="str">
        <f>_xlfn.LET(
  _xlpm.result, _xlfn.XLOOKUP($B453, Result_Database!$A$2:$A$500, Result_Database!M$2:M$500),
  _xlfn.IFNA(_xlpm.result, "")
)</f>
        <v/>
      </c>
      <c r="O453" t="str">
        <f>_xlfn.LET(
  _xlpm.result, _xlfn.XLOOKUP($B453, Result_Database!$A$2:$A$500, Result_Database!N$2:N$500),
  _xlfn.IFNA(_xlpm.result, "")
)</f>
        <v/>
      </c>
      <c r="P453" t="str">
        <f>_xlfn.LET(
  _xlpm.result, _xlfn.XLOOKUP($B453, Result_Database!$A$2:$A$500, Result_Database!O$2:O$500),
  _xlfn.IFNA(_xlpm.result, "")
)</f>
        <v/>
      </c>
      <c r="Q453" t="str">
        <f>_xlfn.LET(
  _xlpm.result, _xlfn.XLOOKUP($B453, Result_Database!$A$2:$A$500, Result_Database!P$2:P$500),
  _xlfn.IFNA(_xlpm.result, "")
)</f>
        <v/>
      </c>
      <c r="R453" t="str">
        <f>_xlfn.LET(
  _xlpm.result, _xlfn.XLOOKUP($B453, Result_Database!$A$2:$A$500, Result_Database!Q$2:Q$500),
  _xlfn.IFNA(_xlpm.result, "")
)</f>
        <v/>
      </c>
      <c r="S453" t="str">
        <f>_xlfn.LET(
  _xlpm.result, _xlfn.XLOOKUP($B453, Result_Database!$A$2:$A$500, Result_Database!R$2:R$500),
  _xlfn.IFNA(_xlpm.result, "")
)</f>
        <v/>
      </c>
      <c r="T453" t="str">
        <f>_xlfn.LET(
  _xlpm.result, _xlfn.XLOOKUP($B453, Result_Database!$A$2:$A$500, Result_Database!S$2:S$500),
  _xlfn.IFNA(_xlpm.result, "")
)</f>
        <v/>
      </c>
      <c r="U453" t="str">
        <f>_xlfn.LET(
  _xlpm.result, _xlfn.XLOOKUP($B453, Result_Database!$A$2:$A$500, Result_Database!T$2:T$500),
  _xlfn.IFNA(_xlpm.result, "")
)</f>
        <v/>
      </c>
      <c r="V453" t="str">
        <f>_xlfn.LET(
  _xlpm.result, _xlfn.XLOOKUP($B453, Result_Database!$A$2:$A$500, Result_Database!U$2:U$500),
  _xlfn.IFNA(_xlpm.result, "")
)</f>
        <v/>
      </c>
      <c r="W453" t="str">
        <f>_xlfn.LET(
  _xlpm.result, _xlfn.XLOOKUP($B453, Result_Database!$A$2:$A$500, Result_Database!V$2:V$500),
  _xlfn.IFNA(_xlpm.result, "")
)</f>
        <v/>
      </c>
      <c r="X453" t="str">
        <f>_xlfn.LET(
  _xlpm.result, _xlfn.XLOOKUP($B453, Result_Database!$A$2:$A$500, Result_Database!W$2:W$500),
  _xlfn.IFNA(_xlpm.result, "")
)</f>
        <v/>
      </c>
      <c r="Y453" t="str">
        <f>_xlfn.LET(
  _xlpm.result, _xlfn.XLOOKUP($B453, Result_Database!$A$2:$A$500, Result_Database!X$2:X$500),
  _xlfn.IFNA(_xlpm.result, "")
)</f>
        <v/>
      </c>
      <c r="Z453" t="str">
        <f>_xlfn.LET(
  _xlpm.result, _xlfn.XLOOKUP($B453, Result_Database!$A$2:$A$500, Result_Database!Y$2:Y$500),
  _xlfn.IFNA(_xlpm.result, "")
)</f>
        <v/>
      </c>
      <c r="AA453" t="str">
        <f>_xlfn.LET(
  _xlpm.result, _xlfn.XLOOKUP($B453, Result_Database!$A$2:$A$500, Result_Database!Z$2:Z$500),
  _xlfn.IFNA(_xlpm.result, "")
)</f>
        <v/>
      </c>
      <c r="AB453" t="str">
        <f>_xlfn.LET(
  _xlpm.result, _xlfn.XLOOKUP($B453, Result_Database!$A$2:$A$500, Result_Database!AA$2:AA$500),
  _xlfn.IFNA(_xlpm.result, "")
)</f>
        <v/>
      </c>
      <c r="AC453" t="str">
        <f>_xlfn.LET(
  _xlpm.result, _xlfn.XLOOKUP($B453, Result_Database!$A$2:$A$500, Result_Database!AB$2:AB$500),
  _xlfn.IFNA(_xlpm.result, "")
)</f>
        <v/>
      </c>
      <c r="AD453" t="str">
        <f>_xlfn.LET(
  _xlpm.result, _xlfn.XLOOKUP($B453, Result_Database!$A$2:$A$500, Result_Database!AC$2:AC$500),
  _xlfn.IFNA(_xlpm.result, "")
)</f>
        <v/>
      </c>
      <c r="AE453" t="str">
        <f>_xlfn.LET(
  _xlpm.result, _xlfn.XLOOKUP($B453, Result_Database!$A$2:$A$500, Result_Database!AD$2:AD$500),
  _xlfn.IFNA(_xlpm.result, "")
)</f>
        <v/>
      </c>
      <c r="AF453" t="str">
        <f>_xlfn.LET(
  _xlpm.result, _xlfn.XLOOKUP($B453, Result_Database!$A$2:$A$500, Result_Database!AE$2:AE$500),
  _xlfn.IFNA(_xlpm.result, "")
)</f>
        <v/>
      </c>
      <c r="AG453" t="str">
        <f>_xlfn.LET(
  _xlpm.result, _xlfn.XLOOKUP($B453, Result_Database!$A$2:$A$500, Result_Database!AF$2:AF$500),
  _xlfn.IFNA(_xlpm.result, "")
)</f>
        <v/>
      </c>
      <c r="AH453" t="str">
        <f>_xlfn.LET(
  _xlpm.result, _xlfn.XLOOKUP($B453, Result_Database!$A$2:$A$500, Result_Database!AG$2:AG$500),
  _xlfn.IFNA(_xlpm.result, "")
)</f>
        <v/>
      </c>
      <c r="AI453" t="str">
        <f>_xlfn.LET(
  _xlpm.result, _xlfn.XLOOKUP($B453, Result_Database!$A$2:$A$500, Result_Database!AH$2:AH$500),
  _xlfn.IFNA(_xlpm.result, "")
)</f>
        <v/>
      </c>
      <c r="AJ453" t="str">
        <f>_xlfn.LET(
  _xlpm.result, _xlfn.XLOOKUP($B453, Result_Database!$A$2:$A$500, Result_Database!AI$2:AI$500),
  _xlfn.IFNA(_xlpm.result, "")
)</f>
        <v/>
      </c>
      <c r="AK453" t="str">
        <f>_xlfn.LET(
  _xlpm.result, _xlfn.XLOOKUP($B453, Result_Database!$A$2:$A$500, Result_Database!AJ$2:AJ$500),
  _xlfn.IFNA(_xlpm.result, "")
)</f>
        <v/>
      </c>
      <c r="AL453" t="str">
        <f>_xlfn.LET(
  _xlpm.result, _xlfn.XLOOKUP($B453, Result_Database!$A$2:$A$500, Result_Database!AK$2:AK$500),
  _xlfn.IFNA(_xlpm.result, "")
)</f>
        <v/>
      </c>
      <c r="AM45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5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5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5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5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5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5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5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5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53" t="str">
        <f>IF(SUM(Table5[[#This Row],[A1]:[C6]])&lt;&gt;0,SUM(Table5[[#This Row],[A1]:[C6]]),"")</f>
        <v/>
      </c>
      <c r="AW453" t="str">
        <f>IF(SUM(Table5[[#This Row],[D7]:[F9]])=0,"",SUM(Table5[[#This Row],[D7]:[F9]]))</f>
        <v/>
      </c>
      <c r="AX45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5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5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5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5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5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53" t="str">
        <f>IF(COUNTIF(Table5[[#This Row],[English Language]:[Electrical/ Electronics]],"WITHHELD")=0,"",COUNTIF(Table5[[#This Row],[English Language]:[Electrical/ Electronics]],"WITHHELD"))</f>
        <v/>
      </c>
      <c r="BE453" t="str">
        <f>IF(SUM(Table5[[#This Row],[NO OF CREDITS]:[BELOW CREDITS]])=0,"",SUM(Table5[[#This Row],[NO OF CREDITS]:[BELOW CREDITS]]))</f>
        <v/>
      </c>
    </row>
    <row r="454" spans="1:57" x14ac:dyDescent="0.3">
      <c r="A454" t="str">
        <f>IF(B454&lt;&gt;"",COUNTA($B$6:B454),"")</f>
        <v/>
      </c>
      <c r="B454" t="str">
        <f>IF(Result_Database!A450="","",Result_Database!A450)</f>
        <v/>
      </c>
      <c r="C454" t="str">
        <f>_xlfn.LET(
_xlpm.result,_xlfn.XLOOKUP($B454,Result_Database!$A$2:$A$500,Result_Database!$B$2:$B$500),
_xlfn.IFNA(_xlpm.result,"")
)</f>
        <v/>
      </c>
      <c r="D454" t="str">
        <f>_xlfn.LET(
  _xlpm.result, _xlfn.XLOOKUP($B454, Result_Database!$A$2:$A$500, Result_Database!C$2:C$500),
  _xlfn.IFNA(_xlpm.result, "")
)</f>
        <v/>
      </c>
      <c r="E454" t="str">
        <f>_xlfn.LET(
  _xlpm.result, _xlfn.XLOOKUP($B454, Result_Database!$A$2:$A$500, Result_Database!D$2:D$500),
  _xlfn.IFNA(_xlpm.result, "")
)</f>
        <v/>
      </c>
      <c r="F454" t="str">
        <f>_xlfn.LET(
  _xlpm.result, _xlfn.XLOOKUP($B454, Result_Database!$A$2:$A$500, Result_Database!E$2:E$500),
  _xlfn.IFNA(_xlpm.result, "")
)</f>
        <v/>
      </c>
      <c r="G454" t="str">
        <f>_xlfn.LET(
  _xlpm.result, _xlfn.XLOOKUP($B454, Result_Database!$A$2:$A$500, Result_Database!F$2:F$500),
  _xlfn.IFNA(_xlpm.result, "")
)</f>
        <v/>
      </c>
      <c r="H454" t="str">
        <f>_xlfn.LET(
  _xlpm.result, _xlfn.XLOOKUP($B454, Result_Database!$A$2:$A$500, Result_Database!G$2:G$500),
  _xlfn.IFNA(_xlpm.result, "")
)</f>
        <v/>
      </c>
      <c r="I454" t="str">
        <f>_xlfn.LET(
  _xlpm.result, _xlfn.XLOOKUP($B454, Result_Database!$A$2:$A$500, Result_Database!H$2:H$500),
  _xlfn.IFNA(_xlpm.result, "")
)</f>
        <v/>
      </c>
      <c r="J454" t="str">
        <f>_xlfn.LET(
  _xlpm.result, _xlfn.XLOOKUP($B454, Result_Database!$A$2:$A$500, Result_Database!I$2:I$500),
  _xlfn.IFNA(_xlpm.result, "")
)</f>
        <v/>
      </c>
      <c r="K454" t="str">
        <f>_xlfn.LET(
  _xlpm.result, _xlfn.XLOOKUP($B454, Result_Database!$A$2:$A$500, Result_Database!J$2:J$500),
  _xlfn.IFNA(_xlpm.result, "")
)</f>
        <v/>
      </c>
      <c r="L454" t="str">
        <f>_xlfn.LET(
  _xlpm.result, _xlfn.XLOOKUP($B454, Result_Database!$A$2:$A$500, Result_Database!K$2:K$500),
  _xlfn.IFNA(_xlpm.result, "")
)</f>
        <v/>
      </c>
      <c r="M454" t="str">
        <f>_xlfn.LET(
  _xlpm.result, _xlfn.XLOOKUP($B454, Result_Database!$A$2:$A$500, Result_Database!L$2:L$500),
  _xlfn.IFNA(_xlpm.result, "")
)</f>
        <v/>
      </c>
      <c r="N454" t="str">
        <f>_xlfn.LET(
  _xlpm.result, _xlfn.XLOOKUP($B454, Result_Database!$A$2:$A$500, Result_Database!M$2:M$500),
  _xlfn.IFNA(_xlpm.result, "")
)</f>
        <v/>
      </c>
      <c r="O454" t="str">
        <f>_xlfn.LET(
  _xlpm.result, _xlfn.XLOOKUP($B454, Result_Database!$A$2:$A$500, Result_Database!N$2:N$500),
  _xlfn.IFNA(_xlpm.result, "")
)</f>
        <v/>
      </c>
      <c r="P454" t="str">
        <f>_xlfn.LET(
  _xlpm.result, _xlfn.XLOOKUP($B454, Result_Database!$A$2:$A$500, Result_Database!O$2:O$500),
  _xlfn.IFNA(_xlpm.result, "")
)</f>
        <v/>
      </c>
      <c r="Q454" t="str">
        <f>_xlfn.LET(
  _xlpm.result, _xlfn.XLOOKUP($B454, Result_Database!$A$2:$A$500, Result_Database!P$2:P$500),
  _xlfn.IFNA(_xlpm.result, "")
)</f>
        <v/>
      </c>
      <c r="R454" t="str">
        <f>_xlfn.LET(
  _xlpm.result, _xlfn.XLOOKUP($B454, Result_Database!$A$2:$A$500, Result_Database!Q$2:Q$500),
  _xlfn.IFNA(_xlpm.result, "")
)</f>
        <v/>
      </c>
      <c r="S454" t="str">
        <f>_xlfn.LET(
  _xlpm.result, _xlfn.XLOOKUP($B454, Result_Database!$A$2:$A$500, Result_Database!R$2:R$500),
  _xlfn.IFNA(_xlpm.result, "")
)</f>
        <v/>
      </c>
      <c r="T454" t="str">
        <f>_xlfn.LET(
  _xlpm.result, _xlfn.XLOOKUP($B454, Result_Database!$A$2:$A$500, Result_Database!S$2:S$500),
  _xlfn.IFNA(_xlpm.result, "")
)</f>
        <v/>
      </c>
      <c r="U454" t="str">
        <f>_xlfn.LET(
  _xlpm.result, _xlfn.XLOOKUP($B454, Result_Database!$A$2:$A$500, Result_Database!T$2:T$500),
  _xlfn.IFNA(_xlpm.result, "")
)</f>
        <v/>
      </c>
      <c r="V454" t="str">
        <f>_xlfn.LET(
  _xlpm.result, _xlfn.XLOOKUP($B454, Result_Database!$A$2:$A$500, Result_Database!U$2:U$500),
  _xlfn.IFNA(_xlpm.result, "")
)</f>
        <v/>
      </c>
      <c r="W454" t="str">
        <f>_xlfn.LET(
  _xlpm.result, _xlfn.XLOOKUP($B454, Result_Database!$A$2:$A$500, Result_Database!V$2:V$500),
  _xlfn.IFNA(_xlpm.result, "")
)</f>
        <v/>
      </c>
      <c r="X454" t="str">
        <f>_xlfn.LET(
  _xlpm.result, _xlfn.XLOOKUP($B454, Result_Database!$A$2:$A$500, Result_Database!W$2:W$500),
  _xlfn.IFNA(_xlpm.result, "")
)</f>
        <v/>
      </c>
      <c r="Y454" t="str">
        <f>_xlfn.LET(
  _xlpm.result, _xlfn.XLOOKUP($B454, Result_Database!$A$2:$A$500, Result_Database!X$2:X$500),
  _xlfn.IFNA(_xlpm.result, "")
)</f>
        <v/>
      </c>
      <c r="Z454" t="str">
        <f>_xlfn.LET(
  _xlpm.result, _xlfn.XLOOKUP($B454, Result_Database!$A$2:$A$500, Result_Database!Y$2:Y$500),
  _xlfn.IFNA(_xlpm.result, "")
)</f>
        <v/>
      </c>
      <c r="AA454" t="str">
        <f>_xlfn.LET(
  _xlpm.result, _xlfn.XLOOKUP($B454, Result_Database!$A$2:$A$500, Result_Database!Z$2:Z$500),
  _xlfn.IFNA(_xlpm.result, "")
)</f>
        <v/>
      </c>
      <c r="AB454" t="str">
        <f>_xlfn.LET(
  _xlpm.result, _xlfn.XLOOKUP($B454, Result_Database!$A$2:$A$500, Result_Database!AA$2:AA$500),
  _xlfn.IFNA(_xlpm.result, "")
)</f>
        <v/>
      </c>
      <c r="AC454" t="str">
        <f>_xlfn.LET(
  _xlpm.result, _xlfn.XLOOKUP($B454, Result_Database!$A$2:$A$500, Result_Database!AB$2:AB$500),
  _xlfn.IFNA(_xlpm.result, "")
)</f>
        <v/>
      </c>
      <c r="AD454" t="str">
        <f>_xlfn.LET(
  _xlpm.result, _xlfn.XLOOKUP($B454, Result_Database!$A$2:$A$500, Result_Database!AC$2:AC$500),
  _xlfn.IFNA(_xlpm.result, "")
)</f>
        <v/>
      </c>
      <c r="AE454" t="str">
        <f>_xlfn.LET(
  _xlpm.result, _xlfn.XLOOKUP($B454, Result_Database!$A$2:$A$500, Result_Database!AD$2:AD$500),
  _xlfn.IFNA(_xlpm.result, "")
)</f>
        <v/>
      </c>
      <c r="AF454" t="str">
        <f>_xlfn.LET(
  _xlpm.result, _xlfn.XLOOKUP($B454, Result_Database!$A$2:$A$500, Result_Database!AE$2:AE$500),
  _xlfn.IFNA(_xlpm.result, "")
)</f>
        <v/>
      </c>
      <c r="AG454" t="str">
        <f>_xlfn.LET(
  _xlpm.result, _xlfn.XLOOKUP($B454, Result_Database!$A$2:$A$500, Result_Database!AF$2:AF$500),
  _xlfn.IFNA(_xlpm.result, "")
)</f>
        <v/>
      </c>
      <c r="AH454" t="str">
        <f>_xlfn.LET(
  _xlpm.result, _xlfn.XLOOKUP($B454, Result_Database!$A$2:$A$500, Result_Database!AG$2:AG$500),
  _xlfn.IFNA(_xlpm.result, "")
)</f>
        <v/>
      </c>
      <c r="AI454" t="str">
        <f>_xlfn.LET(
  _xlpm.result, _xlfn.XLOOKUP($B454, Result_Database!$A$2:$A$500, Result_Database!AH$2:AH$500),
  _xlfn.IFNA(_xlpm.result, "")
)</f>
        <v/>
      </c>
      <c r="AJ454" t="str">
        <f>_xlfn.LET(
  _xlpm.result, _xlfn.XLOOKUP($B454, Result_Database!$A$2:$A$500, Result_Database!AI$2:AI$500),
  _xlfn.IFNA(_xlpm.result, "")
)</f>
        <v/>
      </c>
      <c r="AK454" t="str">
        <f>_xlfn.LET(
  _xlpm.result, _xlfn.XLOOKUP($B454, Result_Database!$A$2:$A$500, Result_Database!AJ$2:AJ$500),
  _xlfn.IFNA(_xlpm.result, "")
)</f>
        <v/>
      </c>
      <c r="AL454" t="str">
        <f>_xlfn.LET(
  _xlpm.result, _xlfn.XLOOKUP($B454, Result_Database!$A$2:$A$500, Result_Database!AK$2:AK$500),
  _xlfn.IFNA(_xlpm.result, "")
)</f>
        <v/>
      </c>
      <c r="AM45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5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5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5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5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5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5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5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5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54" t="str">
        <f>IF(SUM(Table5[[#This Row],[A1]:[C6]])&lt;&gt;0,SUM(Table5[[#This Row],[A1]:[C6]]),"")</f>
        <v/>
      </c>
      <c r="AW454" t="str">
        <f>IF(SUM(Table5[[#This Row],[D7]:[F9]])=0,"",SUM(Table5[[#This Row],[D7]:[F9]]))</f>
        <v/>
      </c>
      <c r="AX45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5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5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5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5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5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54" t="str">
        <f>IF(COUNTIF(Table5[[#This Row],[English Language]:[Electrical/ Electronics]],"WITHHELD")=0,"",COUNTIF(Table5[[#This Row],[English Language]:[Electrical/ Electronics]],"WITHHELD"))</f>
        <v/>
      </c>
      <c r="BE454" t="str">
        <f>IF(SUM(Table5[[#This Row],[NO OF CREDITS]:[BELOW CREDITS]])=0,"",SUM(Table5[[#This Row],[NO OF CREDITS]:[BELOW CREDITS]]))</f>
        <v/>
      </c>
    </row>
    <row r="455" spans="1:57" x14ac:dyDescent="0.3">
      <c r="A455" t="str">
        <f>IF(B455&lt;&gt;"",COUNTA($B$6:B455),"")</f>
        <v/>
      </c>
      <c r="B455" t="str">
        <f>IF(Result_Database!A451="","",Result_Database!A451)</f>
        <v/>
      </c>
      <c r="C455" t="str">
        <f>_xlfn.LET(
_xlpm.result,_xlfn.XLOOKUP($B455,Result_Database!$A$2:$A$500,Result_Database!$B$2:$B$500),
_xlfn.IFNA(_xlpm.result,"")
)</f>
        <v/>
      </c>
      <c r="D455" t="str">
        <f>_xlfn.LET(
  _xlpm.result, _xlfn.XLOOKUP($B455, Result_Database!$A$2:$A$500, Result_Database!C$2:C$500),
  _xlfn.IFNA(_xlpm.result, "")
)</f>
        <v/>
      </c>
      <c r="E455" t="str">
        <f>_xlfn.LET(
  _xlpm.result, _xlfn.XLOOKUP($B455, Result_Database!$A$2:$A$500, Result_Database!D$2:D$500),
  _xlfn.IFNA(_xlpm.result, "")
)</f>
        <v/>
      </c>
      <c r="F455" t="str">
        <f>_xlfn.LET(
  _xlpm.result, _xlfn.XLOOKUP($B455, Result_Database!$A$2:$A$500, Result_Database!E$2:E$500),
  _xlfn.IFNA(_xlpm.result, "")
)</f>
        <v/>
      </c>
      <c r="G455" t="str">
        <f>_xlfn.LET(
  _xlpm.result, _xlfn.XLOOKUP($B455, Result_Database!$A$2:$A$500, Result_Database!F$2:F$500),
  _xlfn.IFNA(_xlpm.result, "")
)</f>
        <v/>
      </c>
      <c r="H455" t="str">
        <f>_xlfn.LET(
  _xlpm.result, _xlfn.XLOOKUP($B455, Result_Database!$A$2:$A$500, Result_Database!G$2:G$500),
  _xlfn.IFNA(_xlpm.result, "")
)</f>
        <v/>
      </c>
      <c r="I455" t="str">
        <f>_xlfn.LET(
  _xlpm.result, _xlfn.XLOOKUP($B455, Result_Database!$A$2:$A$500, Result_Database!H$2:H$500),
  _xlfn.IFNA(_xlpm.result, "")
)</f>
        <v/>
      </c>
      <c r="J455" t="str">
        <f>_xlfn.LET(
  _xlpm.result, _xlfn.XLOOKUP($B455, Result_Database!$A$2:$A$500, Result_Database!I$2:I$500),
  _xlfn.IFNA(_xlpm.result, "")
)</f>
        <v/>
      </c>
      <c r="K455" t="str">
        <f>_xlfn.LET(
  _xlpm.result, _xlfn.XLOOKUP($B455, Result_Database!$A$2:$A$500, Result_Database!J$2:J$500),
  _xlfn.IFNA(_xlpm.result, "")
)</f>
        <v/>
      </c>
      <c r="L455" t="str">
        <f>_xlfn.LET(
  _xlpm.result, _xlfn.XLOOKUP($B455, Result_Database!$A$2:$A$500, Result_Database!K$2:K$500),
  _xlfn.IFNA(_xlpm.result, "")
)</f>
        <v/>
      </c>
      <c r="M455" t="str">
        <f>_xlfn.LET(
  _xlpm.result, _xlfn.XLOOKUP($B455, Result_Database!$A$2:$A$500, Result_Database!L$2:L$500),
  _xlfn.IFNA(_xlpm.result, "")
)</f>
        <v/>
      </c>
      <c r="N455" t="str">
        <f>_xlfn.LET(
  _xlpm.result, _xlfn.XLOOKUP($B455, Result_Database!$A$2:$A$500, Result_Database!M$2:M$500),
  _xlfn.IFNA(_xlpm.result, "")
)</f>
        <v/>
      </c>
      <c r="O455" t="str">
        <f>_xlfn.LET(
  _xlpm.result, _xlfn.XLOOKUP($B455, Result_Database!$A$2:$A$500, Result_Database!N$2:N$500),
  _xlfn.IFNA(_xlpm.result, "")
)</f>
        <v/>
      </c>
      <c r="P455" t="str">
        <f>_xlfn.LET(
  _xlpm.result, _xlfn.XLOOKUP($B455, Result_Database!$A$2:$A$500, Result_Database!O$2:O$500),
  _xlfn.IFNA(_xlpm.result, "")
)</f>
        <v/>
      </c>
      <c r="Q455" t="str">
        <f>_xlfn.LET(
  _xlpm.result, _xlfn.XLOOKUP($B455, Result_Database!$A$2:$A$500, Result_Database!P$2:P$500),
  _xlfn.IFNA(_xlpm.result, "")
)</f>
        <v/>
      </c>
      <c r="R455" t="str">
        <f>_xlfn.LET(
  _xlpm.result, _xlfn.XLOOKUP($B455, Result_Database!$A$2:$A$500, Result_Database!Q$2:Q$500),
  _xlfn.IFNA(_xlpm.result, "")
)</f>
        <v/>
      </c>
      <c r="S455" t="str">
        <f>_xlfn.LET(
  _xlpm.result, _xlfn.XLOOKUP($B455, Result_Database!$A$2:$A$500, Result_Database!R$2:R$500),
  _xlfn.IFNA(_xlpm.result, "")
)</f>
        <v/>
      </c>
      <c r="T455" t="str">
        <f>_xlfn.LET(
  _xlpm.result, _xlfn.XLOOKUP($B455, Result_Database!$A$2:$A$500, Result_Database!S$2:S$500),
  _xlfn.IFNA(_xlpm.result, "")
)</f>
        <v/>
      </c>
      <c r="U455" t="str">
        <f>_xlfn.LET(
  _xlpm.result, _xlfn.XLOOKUP($B455, Result_Database!$A$2:$A$500, Result_Database!T$2:T$500),
  _xlfn.IFNA(_xlpm.result, "")
)</f>
        <v/>
      </c>
      <c r="V455" t="str">
        <f>_xlfn.LET(
  _xlpm.result, _xlfn.XLOOKUP($B455, Result_Database!$A$2:$A$500, Result_Database!U$2:U$500),
  _xlfn.IFNA(_xlpm.result, "")
)</f>
        <v/>
      </c>
      <c r="W455" t="str">
        <f>_xlfn.LET(
  _xlpm.result, _xlfn.XLOOKUP($B455, Result_Database!$A$2:$A$500, Result_Database!V$2:V$500),
  _xlfn.IFNA(_xlpm.result, "")
)</f>
        <v/>
      </c>
      <c r="X455" t="str">
        <f>_xlfn.LET(
  _xlpm.result, _xlfn.XLOOKUP($B455, Result_Database!$A$2:$A$500, Result_Database!W$2:W$500),
  _xlfn.IFNA(_xlpm.result, "")
)</f>
        <v/>
      </c>
      <c r="Y455" t="str">
        <f>_xlfn.LET(
  _xlpm.result, _xlfn.XLOOKUP($B455, Result_Database!$A$2:$A$500, Result_Database!X$2:X$500),
  _xlfn.IFNA(_xlpm.result, "")
)</f>
        <v/>
      </c>
      <c r="Z455" t="str">
        <f>_xlfn.LET(
  _xlpm.result, _xlfn.XLOOKUP($B455, Result_Database!$A$2:$A$500, Result_Database!Y$2:Y$500),
  _xlfn.IFNA(_xlpm.result, "")
)</f>
        <v/>
      </c>
      <c r="AA455" t="str">
        <f>_xlfn.LET(
  _xlpm.result, _xlfn.XLOOKUP($B455, Result_Database!$A$2:$A$500, Result_Database!Z$2:Z$500),
  _xlfn.IFNA(_xlpm.result, "")
)</f>
        <v/>
      </c>
      <c r="AB455" t="str">
        <f>_xlfn.LET(
  _xlpm.result, _xlfn.XLOOKUP($B455, Result_Database!$A$2:$A$500, Result_Database!AA$2:AA$500),
  _xlfn.IFNA(_xlpm.result, "")
)</f>
        <v/>
      </c>
      <c r="AC455" t="str">
        <f>_xlfn.LET(
  _xlpm.result, _xlfn.XLOOKUP($B455, Result_Database!$A$2:$A$500, Result_Database!AB$2:AB$500),
  _xlfn.IFNA(_xlpm.result, "")
)</f>
        <v/>
      </c>
      <c r="AD455" t="str">
        <f>_xlfn.LET(
  _xlpm.result, _xlfn.XLOOKUP($B455, Result_Database!$A$2:$A$500, Result_Database!AC$2:AC$500),
  _xlfn.IFNA(_xlpm.result, "")
)</f>
        <v/>
      </c>
      <c r="AE455" t="str">
        <f>_xlfn.LET(
  _xlpm.result, _xlfn.XLOOKUP($B455, Result_Database!$A$2:$A$500, Result_Database!AD$2:AD$500),
  _xlfn.IFNA(_xlpm.result, "")
)</f>
        <v/>
      </c>
      <c r="AF455" t="str">
        <f>_xlfn.LET(
  _xlpm.result, _xlfn.XLOOKUP($B455, Result_Database!$A$2:$A$500, Result_Database!AE$2:AE$500),
  _xlfn.IFNA(_xlpm.result, "")
)</f>
        <v/>
      </c>
      <c r="AG455" t="str">
        <f>_xlfn.LET(
  _xlpm.result, _xlfn.XLOOKUP($B455, Result_Database!$A$2:$A$500, Result_Database!AF$2:AF$500),
  _xlfn.IFNA(_xlpm.result, "")
)</f>
        <v/>
      </c>
      <c r="AH455" t="str">
        <f>_xlfn.LET(
  _xlpm.result, _xlfn.XLOOKUP($B455, Result_Database!$A$2:$A$500, Result_Database!AG$2:AG$500),
  _xlfn.IFNA(_xlpm.result, "")
)</f>
        <v/>
      </c>
      <c r="AI455" t="str">
        <f>_xlfn.LET(
  _xlpm.result, _xlfn.XLOOKUP($B455, Result_Database!$A$2:$A$500, Result_Database!AH$2:AH$500),
  _xlfn.IFNA(_xlpm.result, "")
)</f>
        <v/>
      </c>
      <c r="AJ455" t="str">
        <f>_xlfn.LET(
  _xlpm.result, _xlfn.XLOOKUP($B455, Result_Database!$A$2:$A$500, Result_Database!AI$2:AI$500),
  _xlfn.IFNA(_xlpm.result, "")
)</f>
        <v/>
      </c>
      <c r="AK455" t="str">
        <f>_xlfn.LET(
  _xlpm.result, _xlfn.XLOOKUP($B455, Result_Database!$A$2:$A$500, Result_Database!AJ$2:AJ$500),
  _xlfn.IFNA(_xlpm.result, "")
)</f>
        <v/>
      </c>
      <c r="AL455" t="str">
        <f>_xlfn.LET(
  _xlpm.result, _xlfn.XLOOKUP($B455, Result_Database!$A$2:$A$500, Result_Database!AK$2:AK$500),
  _xlfn.IFNA(_xlpm.result, "")
)</f>
        <v/>
      </c>
      <c r="AM45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5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5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5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5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5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5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5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5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55" t="str">
        <f>IF(SUM(Table5[[#This Row],[A1]:[C6]])&lt;&gt;0,SUM(Table5[[#This Row],[A1]:[C6]]),"")</f>
        <v/>
      </c>
      <c r="AW455" t="str">
        <f>IF(SUM(Table5[[#This Row],[D7]:[F9]])=0,"",SUM(Table5[[#This Row],[D7]:[F9]]))</f>
        <v/>
      </c>
      <c r="AX45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5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5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5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5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5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55" t="str">
        <f>IF(COUNTIF(Table5[[#This Row],[English Language]:[Electrical/ Electronics]],"WITHHELD")=0,"",COUNTIF(Table5[[#This Row],[English Language]:[Electrical/ Electronics]],"WITHHELD"))</f>
        <v/>
      </c>
      <c r="BE455" t="str">
        <f>IF(SUM(Table5[[#This Row],[NO OF CREDITS]:[BELOW CREDITS]])=0,"",SUM(Table5[[#This Row],[NO OF CREDITS]:[BELOW CREDITS]]))</f>
        <v/>
      </c>
    </row>
    <row r="456" spans="1:57" x14ac:dyDescent="0.3">
      <c r="A456" t="str">
        <f>IF(B456&lt;&gt;"",COUNTA($B$6:B456),"")</f>
        <v/>
      </c>
      <c r="B456" t="str">
        <f>IF(Result_Database!A452="","",Result_Database!A452)</f>
        <v/>
      </c>
      <c r="C456" t="str">
        <f>_xlfn.LET(
_xlpm.result,_xlfn.XLOOKUP($B456,Result_Database!$A$2:$A$500,Result_Database!$B$2:$B$500),
_xlfn.IFNA(_xlpm.result,"")
)</f>
        <v/>
      </c>
      <c r="D456" t="str">
        <f>_xlfn.LET(
  _xlpm.result, _xlfn.XLOOKUP($B456, Result_Database!$A$2:$A$500, Result_Database!C$2:C$500),
  _xlfn.IFNA(_xlpm.result, "")
)</f>
        <v/>
      </c>
      <c r="E456" t="str">
        <f>_xlfn.LET(
  _xlpm.result, _xlfn.XLOOKUP($B456, Result_Database!$A$2:$A$500, Result_Database!D$2:D$500),
  _xlfn.IFNA(_xlpm.result, "")
)</f>
        <v/>
      </c>
      <c r="F456" t="str">
        <f>_xlfn.LET(
  _xlpm.result, _xlfn.XLOOKUP($B456, Result_Database!$A$2:$A$500, Result_Database!E$2:E$500),
  _xlfn.IFNA(_xlpm.result, "")
)</f>
        <v/>
      </c>
      <c r="G456" t="str">
        <f>_xlfn.LET(
  _xlpm.result, _xlfn.XLOOKUP($B456, Result_Database!$A$2:$A$500, Result_Database!F$2:F$500),
  _xlfn.IFNA(_xlpm.result, "")
)</f>
        <v/>
      </c>
      <c r="H456" t="str">
        <f>_xlfn.LET(
  _xlpm.result, _xlfn.XLOOKUP($B456, Result_Database!$A$2:$A$500, Result_Database!G$2:G$500),
  _xlfn.IFNA(_xlpm.result, "")
)</f>
        <v/>
      </c>
      <c r="I456" t="str">
        <f>_xlfn.LET(
  _xlpm.result, _xlfn.XLOOKUP($B456, Result_Database!$A$2:$A$500, Result_Database!H$2:H$500),
  _xlfn.IFNA(_xlpm.result, "")
)</f>
        <v/>
      </c>
      <c r="J456" t="str">
        <f>_xlfn.LET(
  _xlpm.result, _xlfn.XLOOKUP($B456, Result_Database!$A$2:$A$500, Result_Database!I$2:I$500),
  _xlfn.IFNA(_xlpm.result, "")
)</f>
        <v/>
      </c>
      <c r="K456" t="str">
        <f>_xlfn.LET(
  _xlpm.result, _xlfn.XLOOKUP($B456, Result_Database!$A$2:$A$500, Result_Database!J$2:J$500),
  _xlfn.IFNA(_xlpm.result, "")
)</f>
        <v/>
      </c>
      <c r="L456" t="str">
        <f>_xlfn.LET(
  _xlpm.result, _xlfn.XLOOKUP($B456, Result_Database!$A$2:$A$500, Result_Database!K$2:K$500),
  _xlfn.IFNA(_xlpm.result, "")
)</f>
        <v/>
      </c>
      <c r="M456" t="str">
        <f>_xlfn.LET(
  _xlpm.result, _xlfn.XLOOKUP($B456, Result_Database!$A$2:$A$500, Result_Database!L$2:L$500),
  _xlfn.IFNA(_xlpm.result, "")
)</f>
        <v/>
      </c>
      <c r="N456" t="str">
        <f>_xlfn.LET(
  _xlpm.result, _xlfn.XLOOKUP($B456, Result_Database!$A$2:$A$500, Result_Database!M$2:M$500),
  _xlfn.IFNA(_xlpm.result, "")
)</f>
        <v/>
      </c>
      <c r="O456" t="str">
        <f>_xlfn.LET(
  _xlpm.result, _xlfn.XLOOKUP($B456, Result_Database!$A$2:$A$500, Result_Database!N$2:N$500),
  _xlfn.IFNA(_xlpm.result, "")
)</f>
        <v/>
      </c>
      <c r="P456" t="str">
        <f>_xlfn.LET(
  _xlpm.result, _xlfn.XLOOKUP($B456, Result_Database!$A$2:$A$500, Result_Database!O$2:O$500),
  _xlfn.IFNA(_xlpm.result, "")
)</f>
        <v/>
      </c>
      <c r="Q456" t="str">
        <f>_xlfn.LET(
  _xlpm.result, _xlfn.XLOOKUP($B456, Result_Database!$A$2:$A$500, Result_Database!P$2:P$500),
  _xlfn.IFNA(_xlpm.result, "")
)</f>
        <v/>
      </c>
      <c r="R456" t="str">
        <f>_xlfn.LET(
  _xlpm.result, _xlfn.XLOOKUP($B456, Result_Database!$A$2:$A$500, Result_Database!Q$2:Q$500),
  _xlfn.IFNA(_xlpm.result, "")
)</f>
        <v/>
      </c>
      <c r="S456" t="str">
        <f>_xlfn.LET(
  _xlpm.result, _xlfn.XLOOKUP($B456, Result_Database!$A$2:$A$500, Result_Database!R$2:R$500),
  _xlfn.IFNA(_xlpm.result, "")
)</f>
        <v/>
      </c>
      <c r="T456" t="str">
        <f>_xlfn.LET(
  _xlpm.result, _xlfn.XLOOKUP($B456, Result_Database!$A$2:$A$500, Result_Database!S$2:S$500),
  _xlfn.IFNA(_xlpm.result, "")
)</f>
        <v/>
      </c>
      <c r="U456" t="str">
        <f>_xlfn.LET(
  _xlpm.result, _xlfn.XLOOKUP($B456, Result_Database!$A$2:$A$500, Result_Database!T$2:T$500),
  _xlfn.IFNA(_xlpm.result, "")
)</f>
        <v/>
      </c>
      <c r="V456" t="str">
        <f>_xlfn.LET(
  _xlpm.result, _xlfn.XLOOKUP($B456, Result_Database!$A$2:$A$500, Result_Database!U$2:U$500),
  _xlfn.IFNA(_xlpm.result, "")
)</f>
        <v/>
      </c>
      <c r="W456" t="str">
        <f>_xlfn.LET(
  _xlpm.result, _xlfn.XLOOKUP($B456, Result_Database!$A$2:$A$500, Result_Database!V$2:V$500),
  _xlfn.IFNA(_xlpm.result, "")
)</f>
        <v/>
      </c>
      <c r="X456" t="str">
        <f>_xlfn.LET(
  _xlpm.result, _xlfn.XLOOKUP($B456, Result_Database!$A$2:$A$500, Result_Database!W$2:W$500),
  _xlfn.IFNA(_xlpm.result, "")
)</f>
        <v/>
      </c>
      <c r="Y456" t="str">
        <f>_xlfn.LET(
  _xlpm.result, _xlfn.XLOOKUP($B456, Result_Database!$A$2:$A$500, Result_Database!X$2:X$500),
  _xlfn.IFNA(_xlpm.result, "")
)</f>
        <v/>
      </c>
      <c r="Z456" t="str">
        <f>_xlfn.LET(
  _xlpm.result, _xlfn.XLOOKUP($B456, Result_Database!$A$2:$A$500, Result_Database!Y$2:Y$500),
  _xlfn.IFNA(_xlpm.result, "")
)</f>
        <v/>
      </c>
      <c r="AA456" t="str">
        <f>_xlfn.LET(
  _xlpm.result, _xlfn.XLOOKUP($B456, Result_Database!$A$2:$A$500, Result_Database!Z$2:Z$500),
  _xlfn.IFNA(_xlpm.result, "")
)</f>
        <v/>
      </c>
      <c r="AB456" t="str">
        <f>_xlfn.LET(
  _xlpm.result, _xlfn.XLOOKUP($B456, Result_Database!$A$2:$A$500, Result_Database!AA$2:AA$500),
  _xlfn.IFNA(_xlpm.result, "")
)</f>
        <v/>
      </c>
      <c r="AC456" t="str">
        <f>_xlfn.LET(
  _xlpm.result, _xlfn.XLOOKUP($B456, Result_Database!$A$2:$A$500, Result_Database!AB$2:AB$500),
  _xlfn.IFNA(_xlpm.result, "")
)</f>
        <v/>
      </c>
      <c r="AD456" t="str">
        <f>_xlfn.LET(
  _xlpm.result, _xlfn.XLOOKUP($B456, Result_Database!$A$2:$A$500, Result_Database!AC$2:AC$500),
  _xlfn.IFNA(_xlpm.result, "")
)</f>
        <v/>
      </c>
      <c r="AE456" t="str">
        <f>_xlfn.LET(
  _xlpm.result, _xlfn.XLOOKUP($B456, Result_Database!$A$2:$A$500, Result_Database!AD$2:AD$500),
  _xlfn.IFNA(_xlpm.result, "")
)</f>
        <v/>
      </c>
      <c r="AF456" t="str">
        <f>_xlfn.LET(
  _xlpm.result, _xlfn.XLOOKUP($B456, Result_Database!$A$2:$A$500, Result_Database!AE$2:AE$500),
  _xlfn.IFNA(_xlpm.result, "")
)</f>
        <v/>
      </c>
      <c r="AG456" t="str">
        <f>_xlfn.LET(
  _xlpm.result, _xlfn.XLOOKUP($B456, Result_Database!$A$2:$A$500, Result_Database!AF$2:AF$500),
  _xlfn.IFNA(_xlpm.result, "")
)</f>
        <v/>
      </c>
      <c r="AH456" t="str">
        <f>_xlfn.LET(
  _xlpm.result, _xlfn.XLOOKUP($B456, Result_Database!$A$2:$A$500, Result_Database!AG$2:AG$500),
  _xlfn.IFNA(_xlpm.result, "")
)</f>
        <v/>
      </c>
      <c r="AI456" t="str">
        <f>_xlfn.LET(
  _xlpm.result, _xlfn.XLOOKUP($B456, Result_Database!$A$2:$A$500, Result_Database!AH$2:AH$500),
  _xlfn.IFNA(_xlpm.result, "")
)</f>
        <v/>
      </c>
      <c r="AJ456" t="str">
        <f>_xlfn.LET(
  _xlpm.result, _xlfn.XLOOKUP($B456, Result_Database!$A$2:$A$500, Result_Database!AI$2:AI$500),
  _xlfn.IFNA(_xlpm.result, "")
)</f>
        <v/>
      </c>
      <c r="AK456" t="str">
        <f>_xlfn.LET(
  _xlpm.result, _xlfn.XLOOKUP($B456, Result_Database!$A$2:$A$500, Result_Database!AJ$2:AJ$500),
  _xlfn.IFNA(_xlpm.result, "")
)</f>
        <v/>
      </c>
      <c r="AL456" t="str">
        <f>_xlfn.LET(
  _xlpm.result, _xlfn.XLOOKUP($B456, Result_Database!$A$2:$A$500, Result_Database!AK$2:AK$500),
  _xlfn.IFNA(_xlpm.result, "")
)</f>
        <v/>
      </c>
      <c r="AM45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5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5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5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5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5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5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5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5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56" t="str">
        <f>IF(SUM(Table5[[#This Row],[A1]:[C6]])&lt;&gt;0,SUM(Table5[[#This Row],[A1]:[C6]]),"")</f>
        <v/>
      </c>
      <c r="AW456" t="str">
        <f>IF(SUM(Table5[[#This Row],[D7]:[F9]])=0,"",SUM(Table5[[#This Row],[D7]:[F9]]))</f>
        <v/>
      </c>
      <c r="AX45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5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5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5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5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5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56" t="str">
        <f>IF(COUNTIF(Table5[[#This Row],[English Language]:[Electrical/ Electronics]],"WITHHELD")=0,"",COUNTIF(Table5[[#This Row],[English Language]:[Electrical/ Electronics]],"WITHHELD"))</f>
        <v/>
      </c>
      <c r="BE456" t="str">
        <f>IF(SUM(Table5[[#This Row],[NO OF CREDITS]:[BELOW CREDITS]])=0,"",SUM(Table5[[#This Row],[NO OF CREDITS]:[BELOW CREDITS]]))</f>
        <v/>
      </c>
    </row>
    <row r="457" spans="1:57" x14ac:dyDescent="0.3">
      <c r="A457" t="str">
        <f>IF(B457&lt;&gt;"",COUNTA($B$6:B457),"")</f>
        <v/>
      </c>
      <c r="B457" t="str">
        <f>IF(Result_Database!A453="","",Result_Database!A453)</f>
        <v/>
      </c>
      <c r="C457" t="str">
        <f>_xlfn.LET(
_xlpm.result,_xlfn.XLOOKUP($B457,Result_Database!$A$2:$A$500,Result_Database!$B$2:$B$500),
_xlfn.IFNA(_xlpm.result,"")
)</f>
        <v/>
      </c>
      <c r="D457" t="str">
        <f>_xlfn.LET(
  _xlpm.result, _xlfn.XLOOKUP($B457, Result_Database!$A$2:$A$500, Result_Database!C$2:C$500),
  _xlfn.IFNA(_xlpm.result, "")
)</f>
        <v/>
      </c>
      <c r="E457" t="str">
        <f>_xlfn.LET(
  _xlpm.result, _xlfn.XLOOKUP($B457, Result_Database!$A$2:$A$500, Result_Database!D$2:D$500),
  _xlfn.IFNA(_xlpm.result, "")
)</f>
        <v/>
      </c>
      <c r="F457" t="str">
        <f>_xlfn.LET(
  _xlpm.result, _xlfn.XLOOKUP($B457, Result_Database!$A$2:$A$500, Result_Database!E$2:E$500),
  _xlfn.IFNA(_xlpm.result, "")
)</f>
        <v/>
      </c>
      <c r="G457" t="str">
        <f>_xlfn.LET(
  _xlpm.result, _xlfn.XLOOKUP($B457, Result_Database!$A$2:$A$500, Result_Database!F$2:F$500),
  _xlfn.IFNA(_xlpm.result, "")
)</f>
        <v/>
      </c>
      <c r="H457" t="str">
        <f>_xlfn.LET(
  _xlpm.result, _xlfn.XLOOKUP($B457, Result_Database!$A$2:$A$500, Result_Database!G$2:G$500),
  _xlfn.IFNA(_xlpm.result, "")
)</f>
        <v/>
      </c>
      <c r="I457" t="str">
        <f>_xlfn.LET(
  _xlpm.result, _xlfn.XLOOKUP($B457, Result_Database!$A$2:$A$500, Result_Database!H$2:H$500),
  _xlfn.IFNA(_xlpm.result, "")
)</f>
        <v/>
      </c>
      <c r="J457" t="str">
        <f>_xlfn.LET(
  _xlpm.result, _xlfn.XLOOKUP($B457, Result_Database!$A$2:$A$500, Result_Database!I$2:I$500),
  _xlfn.IFNA(_xlpm.result, "")
)</f>
        <v/>
      </c>
      <c r="K457" t="str">
        <f>_xlfn.LET(
  _xlpm.result, _xlfn.XLOOKUP($B457, Result_Database!$A$2:$A$500, Result_Database!J$2:J$500),
  _xlfn.IFNA(_xlpm.result, "")
)</f>
        <v/>
      </c>
      <c r="L457" t="str">
        <f>_xlfn.LET(
  _xlpm.result, _xlfn.XLOOKUP($B457, Result_Database!$A$2:$A$500, Result_Database!K$2:K$500),
  _xlfn.IFNA(_xlpm.result, "")
)</f>
        <v/>
      </c>
      <c r="M457" t="str">
        <f>_xlfn.LET(
  _xlpm.result, _xlfn.XLOOKUP($B457, Result_Database!$A$2:$A$500, Result_Database!L$2:L$500),
  _xlfn.IFNA(_xlpm.result, "")
)</f>
        <v/>
      </c>
      <c r="N457" t="str">
        <f>_xlfn.LET(
  _xlpm.result, _xlfn.XLOOKUP($B457, Result_Database!$A$2:$A$500, Result_Database!M$2:M$500),
  _xlfn.IFNA(_xlpm.result, "")
)</f>
        <v/>
      </c>
      <c r="O457" t="str">
        <f>_xlfn.LET(
  _xlpm.result, _xlfn.XLOOKUP($B457, Result_Database!$A$2:$A$500, Result_Database!N$2:N$500),
  _xlfn.IFNA(_xlpm.result, "")
)</f>
        <v/>
      </c>
      <c r="P457" t="str">
        <f>_xlfn.LET(
  _xlpm.result, _xlfn.XLOOKUP($B457, Result_Database!$A$2:$A$500, Result_Database!O$2:O$500),
  _xlfn.IFNA(_xlpm.result, "")
)</f>
        <v/>
      </c>
      <c r="Q457" t="str">
        <f>_xlfn.LET(
  _xlpm.result, _xlfn.XLOOKUP($B457, Result_Database!$A$2:$A$500, Result_Database!P$2:P$500),
  _xlfn.IFNA(_xlpm.result, "")
)</f>
        <v/>
      </c>
      <c r="R457" t="str">
        <f>_xlfn.LET(
  _xlpm.result, _xlfn.XLOOKUP($B457, Result_Database!$A$2:$A$500, Result_Database!Q$2:Q$500),
  _xlfn.IFNA(_xlpm.result, "")
)</f>
        <v/>
      </c>
      <c r="S457" t="str">
        <f>_xlfn.LET(
  _xlpm.result, _xlfn.XLOOKUP($B457, Result_Database!$A$2:$A$500, Result_Database!R$2:R$500),
  _xlfn.IFNA(_xlpm.result, "")
)</f>
        <v/>
      </c>
      <c r="T457" t="str">
        <f>_xlfn.LET(
  _xlpm.result, _xlfn.XLOOKUP($B457, Result_Database!$A$2:$A$500, Result_Database!S$2:S$500),
  _xlfn.IFNA(_xlpm.result, "")
)</f>
        <v/>
      </c>
      <c r="U457" t="str">
        <f>_xlfn.LET(
  _xlpm.result, _xlfn.XLOOKUP($B457, Result_Database!$A$2:$A$500, Result_Database!T$2:T$500),
  _xlfn.IFNA(_xlpm.result, "")
)</f>
        <v/>
      </c>
      <c r="V457" t="str">
        <f>_xlfn.LET(
  _xlpm.result, _xlfn.XLOOKUP($B457, Result_Database!$A$2:$A$500, Result_Database!U$2:U$500),
  _xlfn.IFNA(_xlpm.result, "")
)</f>
        <v/>
      </c>
      <c r="W457" t="str">
        <f>_xlfn.LET(
  _xlpm.result, _xlfn.XLOOKUP($B457, Result_Database!$A$2:$A$500, Result_Database!V$2:V$500),
  _xlfn.IFNA(_xlpm.result, "")
)</f>
        <v/>
      </c>
      <c r="X457" t="str">
        <f>_xlfn.LET(
  _xlpm.result, _xlfn.XLOOKUP($B457, Result_Database!$A$2:$A$500, Result_Database!W$2:W$500),
  _xlfn.IFNA(_xlpm.result, "")
)</f>
        <v/>
      </c>
      <c r="Y457" t="str">
        <f>_xlfn.LET(
  _xlpm.result, _xlfn.XLOOKUP($B457, Result_Database!$A$2:$A$500, Result_Database!X$2:X$500),
  _xlfn.IFNA(_xlpm.result, "")
)</f>
        <v/>
      </c>
      <c r="Z457" t="str">
        <f>_xlfn.LET(
  _xlpm.result, _xlfn.XLOOKUP($B457, Result_Database!$A$2:$A$500, Result_Database!Y$2:Y$500),
  _xlfn.IFNA(_xlpm.result, "")
)</f>
        <v/>
      </c>
      <c r="AA457" t="str">
        <f>_xlfn.LET(
  _xlpm.result, _xlfn.XLOOKUP($B457, Result_Database!$A$2:$A$500, Result_Database!Z$2:Z$500),
  _xlfn.IFNA(_xlpm.result, "")
)</f>
        <v/>
      </c>
      <c r="AB457" t="str">
        <f>_xlfn.LET(
  _xlpm.result, _xlfn.XLOOKUP($B457, Result_Database!$A$2:$A$500, Result_Database!AA$2:AA$500),
  _xlfn.IFNA(_xlpm.result, "")
)</f>
        <v/>
      </c>
      <c r="AC457" t="str">
        <f>_xlfn.LET(
  _xlpm.result, _xlfn.XLOOKUP($B457, Result_Database!$A$2:$A$500, Result_Database!AB$2:AB$500),
  _xlfn.IFNA(_xlpm.result, "")
)</f>
        <v/>
      </c>
      <c r="AD457" t="str">
        <f>_xlfn.LET(
  _xlpm.result, _xlfn.XLOOKUP($B457, Result_Database!$A$2:$A$500, Result_Database!AC$2:AC$500),
  _xlfn.IFNA(_xlpm.result, "")
)</f>
        <v/>
      </c>
      <c r="AE457" t="str">
        <f>_xlfn.LET(
  _xlpm.result, _xlfn.XLOOKUP($B457, Result_Database!$A$2:$A$500, Result_Database!AD$2:AD$500),
  _xlfn.IFNA(_xlpm.result, "")
)</f>
        <v/>
      </c>
      <c r="AF457" t="str">
        <f>_xlfn.LET(
  _xlpm.result, _xlfn.XLOOKUP($B457, Result_Database!$A$2:$A$500, Result_Database!AE$2:AE$500),
  _xlfn.IFNA(_xlpm.result, "")
)</f>
        <v/>
      </c>
      <c r="AG457" t="str">
        <f>_xlfn.LET(
  _xlpm.result, _xlfn.XLOOKUP($B457, Result_Database!$A$2:$A$500, Result_Database!AF$2:AF$500),
  _xlfn.IFNA(_xlpm.result, "")
)</f>
        <v/>
      </c>
      <c r="AH457" t="str">
        <f>_xlfn.LET(
  _xlpm.result, _xlfn.XLOOKUP($B457, Result_Database!$A$2:$A$500, Result_Database!AG$2:AG$500),
  _xlfn.IFNA(_xlpm.result, "")
)</f>
        <v/>
      </c>
      <c r="AI457" t="str">
        <f>_xlfn.LET(
  _xlpm.result, _xlfn.XLOOKUP($B457, Result_Database!$A$2:$A$500, Result_Database!AH$2:AH$500),
  _xlfn.IFNA(_xlpm.result, "")
)</f>
        <v/>
      </c>
      <c r="AJ457" t="str">
        <f>_xlfn.LET(
  _xlpm.result, _xlfn.XLOOKUP($B457, Result_Database!$A$2:$A$500, Result_Database!AI$2:AI$500),
  _xlfn.IFNA(_xlpm.result, "")
)</f>
        <v/>
      </c>
      <c r="AK457" t="str">
        <f>_xlfn.LET(
  _xlpm.result, _xlfn.XLOOKUP($B457, Result_Database!$A$2:$A$500, Result_Database!AJ$2:AJ$500),
  _xlfn.IFNA(_xlpm.result, "")
)</f>
        <v/>
      </c>
      <c r="AL457" t="str">
        <f>_xlfn.LET(
  _xlpm.result, _xlfn.XLOOKUP($B457, Result_Database!$A$2:$A$500, Result_Database!AK$2:AK$500),
  _xlfn.IFNA(_xlpm.result, "")
)</f>
        <v/>
      </c>
      <c r="AM45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5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5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5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5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5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5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5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5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57" t="str">
        <f>IF(SUM(Table5[[#This Row],[A1]:[C6]])&lt;&gt;0,SUM(Table5[[#This Row],[A1]:[C6]]),"")</f>
        <v/>
      </c>
      <c r="AW457" t="str">
        <f>IF(SUM(Table5[[#This Row],[D7]:[F9]])=0,"",SUM(Table5[[#This Row],[D7]:[F9]]))</f>
        <v/>
      </c>
      <c r="AX45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5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5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5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5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5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57" t="str">
        <f>IF(COUNTIF(Table5[[#This Row],[English Language]:[Electrical/ Electronics]],"WITHHELD")=0,"",COUNTIF(Table5[[#This Row],[English Language]:[Electrical/ Electronics]],"WITHHELD"))</f>
        <v/>
      </c>
      <c r="BE457" t="str">
        <f>IF(SUM(Table5[[#This Row],[NO OF CREDITS]:[BELOW CREDITS]])=0,"",SUM(Table5[[#This Row],[NO OF CREDITS]:[BELOW CREDITS]]))</f>
        <v/>
      </c>
    </row>
    <row r="458" spans="1:57" x14ac:dyDescent="0.3">
      <c r="A458" t="str">
        <f>IF(B458&lt;&gt;"",COUNTA($B$6:B458),"")</f>
        <v/>
      </c>
      <c r="B458" t="str">
        <f>IF(Result_Database!A454="","",Result_Database!A454)</f>
        <v/>
      </c>
      <c r="C458" t="str">
        <f>_xlfn.LET(
_xlpm.result,_xlfn.XLOOKUP($B458,Result_Database!$A$2:$A$500,Result_Database!$B$2:$B$500),
_xlfn.IFNA(_xlpm.result,"")
)</f>
        <v/>
      </c>
      <c r="D458" t="str">
        <f>_xlfn.LET(
  _xlpm.result, _xlfn.XLOOKUP($B458, Result_Database!$A$2:$A$500, Result_Database!C$2:C$500),
  _xlfn.IFNA(_xlpm.result, "")
)</f>
        <v/>
      </c>
      <c r="E458" t="str">
        <f>_xlfn.LET(
  _xlpm.result, _xlfn.XLOOKUP($B458, Result_Database!$A$2:$A$500, Result_Database!D$2:D$500),
  _xlfn.IFNA(_xlpm.result, "")
)</f>
        <v/>
      </c>
      <c r="F458" t="str">
        <f>_xlfn.LET(
  _xlpm.result, _xlfn.XLOOKUP($B458, Result_Database!$A$2:$A$500, Result_Database!E$2:E$500),
  _xlfn.IFNA(_xlpm.result, "")
)</f>
        <v/>
      </c>
      <c r="G458" t="str">
        <f>_xlfn.LET(
  _xlpm.result, _xlfn.XLOOKUP($B458, Result_Database!$A$2:$A$500, Result_Database!F$2:F$500),
  _xlfn.IFNA(_xlpm.result, "")
)</f>
        <v/>
      </c>
      <c r="H458" t="str">
        <f>_xlfn.LET(
  _xlpm.result, _xlfn.XLOOKUP($B458, Result_Database!$A$2:$A$500, Result_Database!G$2:G$500),
  _xlfn.IFNA(_xlpm.result, "")
)</f>
        <v/>
      </c>
      <c r="I458" t="str">
        <f>_xlfn.LET(
  _xlpm.result, _xlfn.XLOOKUP($B458, Result_Database!$A$2:$A$500, Result_Database!H$2:H$500),
  _xlfn.IFNA(_xlpm.result, "")
)</f>
        <v/>
      </c>
      <c r="J458" t="str">
        <f>_xlfn.LET(
  _xlpm.result, _xlfn.XLOOKUP($B458, Result_Database!$A$2:$A$500, Result_Database!I$2:I$500),
  _xlfn.IFNA(_xlpm.result, "")
)</f>
        <v/>
      </c>
      <c r="K458" t="str">
        <f>_xlfn.LET(
  _xlpm.result, _xlfn.XLOOKUP($B458, Result_Database!$A$2:$A$500, Result_Database!J$2:J$500),
  _xlfn.IFNA(_xlpm.result, "")
)</f>
        <v/>
      </c>
      <c r="L458" t="str">
        <f>_xlfn.LET(
  _xlpm.result, _xlfn.XLOOKUP($B458, Result_Database!$A$2:$A$500, Result_Database!K$2:K$500),
  _xlfn.IFNA(_xlpm.result, "")
)</f>
        <v/>
      </c>
      <c r="M458" t="str">
        <f>_xlfn.LET(
  _xlpm.result, _xlfn.XLOOKUP($B458, Result_Database!$A$2:$A$500, Result_Database!L$2:L$500),
  _xlfn.IFNA(_xlpm.result, "")
)</f>
        <v/>
      </c>
      <c r="N458" t="str">
        <f>_xlfn.LET(
  _xlpm.result, _xlfn.XLOOKUP($B458, Result_Database!$A$2:$A$500, Result_Database!M$2:M$500),
  _xlfn.IFNA(_xlpm.result, "")
)</f>
        <v/>
      </c>
      <c r="O458" t="str">
        <f>_xlfn.LET(
  _xlpm.result, _xlfn.XLOOKUP($B458, Result_Database!$A$2:$A$500, Result_Database!N$2:N$500),
  _xlfn.IFNA(_xlpm.result, "")
)</f>
        <v/>
      </c>
      <c r="P458" t="str">
        <f>_xlfn.LET(
  _xlpm.result, _xlfn.XLOOKUP($B458, Result_Database!$A$2:$A$500, Result_Database!O$2:O$500),
  _xlfn.IFNA(_xlpm.result, "")
)</f>
        <v/>
      </c>
      <c r="Q458" t="str">
        <f>_xlfn.LET(
  _xlpm.result, _xlfn.XLOOKUP($B458, Result_Database!$A$2:$A$500, Result_Database!P$2:P$500),
  _xlfn.IFNA(_xlpm.result, "")
)</f>
        <v/>
      </c>
      <c r="R458" t="str">
        <f>_xlfn.LET(
  _xlpm.result, _xlfn.XLOOKUP($B458, Result_Database!$A$2:$A$500, Result_Database!Q$2:Q$500),
  _xlfn.IFNA(_xlpm.result, "")
)</f>
        <v/>
      </c>
      <c r="S458" t="str">
        <f>_xlfn.LET(
  _xlpm.result, _xlfn.XLOOKUP($B458, Result_Database!$A$2:$A$500, Result_Database!R$2:R$500),
  _xlfn.IFNA(_xlpm.result, "")
)</f>
        <v/>
      </c>
      <c r="T458" t="str">
        <f>_xlfn.LET(
  _xlpm.result, _xlfn.XLOOKUP($B458, Result_Database!$A$2:$A$500, Result_Database!S$2:S$500),
  _xlfn.IFNA(_xlpm.result, "")
)</f>
        <v/>
      </c>
      <c r="U458" t="str">
        <f>_xlfn.LET(
  _xlpm.result, _xlfn.XLOOKUP($B458, Result_Database!$A$2:$A$500, Result_Database!T$2:T$500),
  _xlfn.IFNA(_xlpm.result, "")
)</f>
        <v/>
      </c>
      <c r="V458" t="str">
        <f>_xlfn.LET(
  _xlpm.result, _xlfn.XLOOKUP($B458, Result_Database!$A$2:$A$500, Result_Database!U$2:U$500),
  _xlfn.IFNA(_xlpm.result, "")
)</f>
        <v/>
      </c>
      <c r="W458" t="str">
        <f>_xlfn.LET(
  _xlpm.result, _xlfn.XLOOKUP($B458, Result_Database!$A$2:$A$500, Result_Database!V$2:V$500),
  _xlfn.IFNA(_xlpm.result, "")
)</f>
        <v/>
      </c>
      <c r="X458" t="str">
        <f>_xlfn.LET(
  _xlpm.result, _xlfn.XLOOKUP($B458, Result_Database!$A$2:$A$500, Result_Database!W$2:W$500),
  _xlfn.IFNA(_xlpm.result, "")
)</f>
        <v/>
      </c>
      <c r="Y458" t="str">
        <f>_xlfn.LET(
  _xlpm.result, _xlfn.XLOOKUP($B458, Result_Database!$A$2:$A$500, Result_Database!X$2:X$500),
  _xlfn.IFNA(_xlpm.result, "")
)</f>
        <v/>
      </c>
      <c r="Z458" t="str">
        <f>_xlfn.LET(
  _xlpm.result, _xlfn.XLOOKUP($B458, Result_Database!$A$2:$A$500, Result_Database!Y$2:Y$500),
  _xlfn.IFNA(_xlpm.result, "")
)</f>
        <v/>
      </c>
      <c r="AA458" t="str">
        <f>_xlfn.LET(
  _xlpm.result, _xlfn.XLOOKUP($B458, Result_Database!$A$2:$A$500, Result_Database!Z$2:Z$500),
  _xlfn.IFNA(_xlpm.result, "")
)</f>
        <v/>
      </c>
      <c r="AB458" t="str">
        <f>_xlfn.LET(
  _xlpm.result, _xlfn.XLOOKUP($B458, Result_Database!$A$2:$A$500, Result_Database!AA$2:AA$500),
  _xlfn.IFNA(_xlpm.result, "")
)</f>
        <v/>
      </c>
      <c r="AC458" t="str">
        <f>_xlfn.LET(
  _xlpm.result, _xlfn.XLOOKUP($B458, Result_Database!$A$2:$A$500, Result_Database!AB$2:AB$500),
  _xlfn.IFNA(_xlpm.result, "")
)</f>
        <v/>
      </c>
      <c r="AD458" t="str">
        <f>_xlfn.LET(
  _xlpm.result, _xlfn.XLOOKUP($B458, Result_Database!$A$2:$A$500, Result_Database!AC$2:AC$500),
  _xlfn.IFNA(_xlpm.result, "")
)</f>
        <v/>
      </c>
      <c r="AE458" t="str">
        <f>_xlfn.LET(
  _xlpm.result, _xlfn.XLOOKUP($B458, Result_Database!$A$2:$A$500, Result_Database!AD$2:AD$500),
  _xlfn.IFNA(_xlpm.result, "")
)</f>
        <v/>
      </c>
      <c r="AF458" t="str">
        <f>_xlfn.LET(
  _xlpm.result, _xlfn.XLOOKUP($B458, Result_Database!$A$2:$A$500, Result_Database!AE$2:AE$500),
  _xlfn.IFNA(_xlpm.result, "")
)</f>
        <v/>
      </c>
      <c r="AG458" t="str">
        <f>_xlfn.LET(
  _xlpm.result, _xlfn.XLOOKUP($B458, Result_Database!$A$2:$A$500, Result_Database!AF$2:AF$500),
  _xlfn.IFNA(_xlpm.result, "")
)</f>
        <v/>
      </c>
      <c r="AH458" t="str">
        <f>_xlfn.LET(
  _xlpm.result, _xlfn.XLOOKUP($B458, Result_Database!$A$2:$A$500, Result_Database!AG$2:AG$500),
  _xlfn.IFNA(_xlpm.result, "")
)</f>
        <v/>
      </c>
      <c r="AI458" t="str">
        <f>_xlfn.LET(
  _xlpm.result, _xlfn.XLOOKUP($B458, Result_Database!$A$2:$A$500, Result_Database!AH$2:AH$500),
  _xlfn.IFNA(_xlpm.result, "")
)</f>
        <v/>
      </c>
      <c r="AJ458" t="str">
        <f>_xlfn.LET(
  _xlpm.result, _xlfn.XLOOKUP($B458, Result_Database!$A$2:$A$500, Result_Database!AI$2:AI$500),
  _xlfn.IFNA(_xlpm.result, "")
)</f>
        <v/>
      </c>
      <c r="AK458" t="str">
        <f>_xlfn.LET(
  _xlpm.result, _xlfn.XLOOKUP($B458, Result_Database!$A$2:$A$500, Result_Database!AJ$2:AJ$500),
  _xlfn.IFNA(_xlpm.result, "")
)</f>
        <v/>
      </c>
      <c r="AL458" t="str">
        <f>_xlfn.LET(
  _xlpm.result, _xlfn.XLOOKUP($B458, Result_Database!$A$2:$A$500, Result_Database!AK$2:AK$500),
  _xlfn.IFNA(_xlpm.result, "")
)</f>
        <v/>
      </c>
      <c r="AM45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5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5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5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5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5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5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5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5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58" t="str">
        <f>IF(SUM(Table5[[#This Row],[A1]:[C6]])&lt;&gt;0,SUM(Table5[[#This Row],[A1]:[C6]]),"")</f>
        <v/>
      </c>
      <c r="AW458" t="str">
        <f>IF(SUM(Table5[[#This Row],[D7]:[F9]])=0,"",SUM(Table5[[#This Row],[D7]:[F9]]))</f>
        <v/>
      </c>
      <c r="AX45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5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5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5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5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5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58" t="str">
        <f>IF(COUNTIF(Table5[[#This Row],[English Language]:[Electrical/ Electronics]],"WITHHELD")=0,"",COUNTIF(Table5[[#This Row],[English Language]:[Electrical/ Electronics]],"WITHHELD"))</f>
        <v/>
      </c>
      <c r="BE458" t="str">
        <f>IF(SUM(Table5[[#This Row],[NO OF CREDITS]:[BELOW CREDITS]])=0,"",SUM(Table5[[#This Row],[NO OF CREDITS]:[BELOW CREDITS]]))</f>
        <v/>
      </c>
    </row>
    <row r="459" spans="1:57" x14ac:dyDescent="0.3">
      <c r="A459" t="str">
        <f>IF(B459&lt;&gt;"",COUNTA($B$6:B459),"")</f>
        <v/>
      </c>
      <c r="B459" t="str">
        <f>IF(Result_Database!A455="","",Result_Database!A455)</f>
        <v/>
      </c>
      <c r="C459" t="str">
        <f>_xlfn.LET(
_xlpm.result,_xlfn.XLOOKUP($B459,Result_Database!$A$2:$A$500,Result_Database!$B$2:$B$500),
_xlfn.IFNA(_xlpm.result,"")
)</f>
        <v/>
      </c>
      <c r="D459" t="str">
        <f>_xlfn.LET(
  _xlpm.result, _xlfn.XLOOKUP($B459, Result_Database!$A$2:$A$500, Result_Database!C$2:C$500),
  _xlfn.IFNA(_xlpm.result, "")
)</f>
        <v/>
      </c>
      <c r="E459" t="str">
        <f>_xlfn.LET(
  _xlpm.result, _xlfn.XLOOKUP($B459, Result_Database!$A$2:$A$500, Result_Database!D$2:D$500),
  _xlfn.IFNA(_xlpm.result, "")
)</f>
        <v/>
      </c>
      <c r="F459" t="str">
        <f>_xlfn.LET(
  _xlpm.result, _xlfn.XLOOKUP($B459, Result_Database!$A$2:$A$500, Result_Database!E$2:E$500),
  _xlfn.IFNA(_xlpm.result, "")
)</f>
        <v/>
      </c>
      <c r="G459" t="str">
        <f>_xlfn.LET(
  _xlpm.result, _xlfn.XLOOKUP($B459, Result_Database!$A$2:$A$500, Result_Database!F$2:F$500),
  _xlfn.IFNA(_xlpm.result, "")
)</f>
        <v/>
      </c>
      <c r="H459" t="str">
        <f>_xlfn.LET(
  _xlpm.result, _xlfn.XLOOKUP($B459, Result_Database!$A$2:$A$500, Result_Database!G$2:G$500),
  _xlfn.IFNA(_xlpm.result, "")
)</f>
        <v/>
      </c>
      <c r="I459" t="str">
        <f>_xlfn.LET(
  _xlpm.result, _xlfn.XLOOKUP($B459, Result_Database!$A$2:$A$500, Result_Database!H$2:H$500),
  _xlfn.IFNA(_xlpm.result, "")
)</f>
        <v/>
      </c>
      <c r="J459" t="str">
        <f>_xlfn.LET(
  _xlpm.result, _xlfn.XLOOKUP($B459, Result_Database!$A$2:$A$500, Result_Database!I$2:I$500),
  _xlfn.IFNA(_xlpm.result, "")
)</f>
        <v/>
      </c>
      <c r="K459" t="str">
        <f>_xlfn.LET(
  _xlpm.result, _xlfn.XLOOKUP($B459, Result_Database!$A$2:$A$500, Result_Database!J$2:J$500),
  _xlfn.IFNA(_xlpm.result, "")
)</f>
        <v/>
      </c>
      <c r="L459" t="str">
        <f>_xlfn.LET(
  _xlpm.result, _xlfn.XLOOKUP($B459, Result_Database!$A$2:$A$500, Result_Database!K$2:K$500),
  _xlfn.IFNA(_xlpm.result, "")
)</f>
        <v/>
      </c>
      <c r="M459" t="str">
        <f>_xlfn.LET(
  _xlpm.result, _xlfn.XLOOKUP($B459, Result_Database!$A$2:$A$500, Result_Database!L$2:L$500),
  _xlfn.IFNA(_xlpm.result, "")
)</f>
        <v/>
      </c>
      <c r="N459" t="str">
        <f>_xlfn.LET(
  _xlpm.result, _xlfn.XLOOKUP($B459, Result_Database!$A$2:$A$500, Result_Database!M$2:M$500),
  _xlfn.IFNA(_xlpm.result, "")
)</f>
        <v/>
      </c>
      <c r="O459" t="str">
        <f>_xlfn.LET(
  _xlpm.result, _xlfn.XLOOKUP($B459, Result_Database!$A$2:$A$500, Result_Database!N$2:N$500),
  _xlfn.IFNA(_xlpm.result, "")
)</f>
        <v/>
      </c>
      <c r="P459" t="str">
        <f>_xlfn.LET(
  _xlpm.result, _xlfn.XLOOKUP($B459, Result_Database!$A$2:$A$500, Result_Database!O$2:O$500),
  _xlfn.IFNA(_xlpm.result, "")
)</f>
        <v/>
      </c>
      <c r="Q459" t="str">
        <f>_xlfn.LET(
  _xlpm.result, _xlfn.XLOOKUP($B459, Result_Database!$A$2:$A$500, Result_Database!P$2:P$500),
  _xlfn.IFNA(_xlpm.result, "")
)</f>
        <v/>
      </c>
      <c r="R459" t="str">
        <f>_xlfn.LET(
  _xlpm.result, _xlfn.XLOOKUP($B459, Result_Database!$A$2:$A$500, Result_Database!Q$2:Q$500),
  _xlfn.IFNA(_xlpm.result, "")
)</f>
        <v/>
      </c>
      <c r="S459" t="str">
        <f>_xlfn.LET(
  _xlpm.result, _xlfn.XLOOKUP($B459, Result_Database!$A$2:$A$500, Result_Database!R$2:R$500),
  _xlfn.IFNA(_xlpm.result, "")
)</f>
        <v/>
      </c>
      <c r="T459" t="str">
        <f>_xlfn.LET(
  _xlpm.result, _xlfn.XLOOKUP($B459, Result_Database!$A$2:$A$500, Result_Database!S$2:S$500),
  _xlfn.IFNA(_xlpm.result, "")
)</f>
        <v/>
      </c>
      <c r="U459" t="str">
        <f>_xlfn.LET(
  _xlpm.result, _xlfn.XLOOKUP($B459, Result_Database!$A$2:$A$500, Result_Database!T$2:T$500),
  _xlfn.IFNA(_xlpm.result, "")
)</f>
        <v/>
      </c>
      <c r="V459" t="str">
        <f>_xlfn.LET(
  _xlpm.result, _xlfn.XLOOKUP($B459, Result_Database!$A$2:$A$500, Result_Database!U$2:U$500),
  _xlfn.IFNA(_xlpm.result, "")
)</f>
        <v/>
      </c>
      <c r="W459" t="str">
        <f>_xlfn.LET(
  _xlpm.result, _xlfn.XLOOKUP($B459, Result_Database!$A$2:$A$500, Result_Database!V$2:V$500),
  _xlfn.IFNA(_xlpm.result, "")
)</f>
        <v/>
      </c>
      <c r="X459" t="str">
        <f>_xlfn.LET(
  _xlpm.result, _xlfn.XLOOKUP($B459, Result_Database!$A$2:$A$500, Result_Database!W$2:W$500),
  _xlfn.IFNA(_xlpm.result, "")
)</f>
        <v/>
      </c>
      <c r="Y459" t="str">
        <f>_xlfn.LET(
  _xlpm.result, _xlfn.XLOOKUP($B459, Result_Database!$A$2:$A$500, Result_Database!X$2:X$500),
  _xlfn.IFNA(_xlpm.result, "")
)</f>
        <v/>
      </c>
      <c r="Z459" t="str">
        <f>_xlfn.LET(
  _xlpm.result, _xlfn.XLOOKUP($B459, Result_Database!$A$2:$A$500, Result_Database!Y$2:Y$500),
  _xlfn.IFNA(_xlpm.result, "")
)</f>
        <v/>
      </c>
      <c r="AA459" t="str">
        <f>_xlfn.LET(
  _xlpm.result, _xlfn.XLOOKUP($B459, Result_Database!$A$2:$A$500, Result_Database!Z$2:Z$500),
  _xlfn.IFNA(_xlpm.result, "")
)</f>
        <v/>
      </c>
      <c r="AB459" t="str">
        <f>_xlfn.LET(
  _xlpm.result, _xlfn.XLOOKUP($B459, Result_Database!$A$2:$A$500, Result_Database!AA$2:AA$500),
  _xlfn.IFNA(_xlpm.result, "")
)</f>
        <v/>
      </c>
      <c r="AC459" t="str">
        <f>_xlfn.LET(
  _xlpm.result, _xlfn.XLOOKUP($B459, Result_Database!$A$2:$A$500, Result_Database!AB$2:AB$500),
  _xlfn.IFNA(_xlpm.result, "")
)</f>
        <v/>
      </c>
      <c r="AD459" t="str">
        <f>_xlfn.LET(
  _xlpm.result, _xlfn.XLOOKUP($B459, Result_Database!$A$2:$A$500, Result_Database!AC$2:AC$500),
  _xlfn.IFNA(_xlpm.result, "")
)</f>
        <v/>
      </c>
      <c r="AE459" t="str">
        <f>_xlfn.LET(
  _xlpm.result, _xlfn.XLOOKUP($B459, Result_Database!$A$2:$A$500, Result_Database!AD$2:AD$500),
  _xlfn.IFNA(_xlpm.result, "")
)</f>
        <v/>
      </c>
      <c r="AF459" t="str">
        <f>_xlfn.LET(
  _xlpm.result, _xlfn.XLOOKUP($B459, Result_Database!$A$2:$A$500, Result_Database!AE$2:AE$500),
  _xlfn.IFNA(_xlpm.result, "")
)</f>
        <v/>
      </c>
      <c r="AG459" t="str">
        <f>_xlfn.LET(
  _xlpm.result, _xlfn.XLOOKUP($B459, Result_Database!$A$2:$A$500, Result_Database!AF$2:AF$500),
  _xlfn.IFNA(_xlpm.result, "")
)</f>
        <v/>
      </c>
      <c r="AH459" t="str">
        <f>_xlfn.LET(
  _xlpm.result, _xlfn.XLOOKUP($B459, Result_Database!$A$2:$A$500, Result_Database!AG$2:AG$500),
  _xlfn.IFNA(_xlpm.result, "")
)</f>
        <v/>
      </c>
      <c r="AI459" t="str">
        <f>_xlfn.LET(
  _xlpm.result, _xlfn.XLOOKUP($B459, Result_Database!$A$2:$A$500, Result_Database!AH$2:AH$500),
  _xlfn.IFNA(_xlpm.result, "")
)</f>
        <v/>
      </c>
      <c r="AJ459" t="str">
        <f>_xlfn.LET(
  _xlpm.result, _xlfn.XLOOKUP($B459, Result_Database!$A$2:$A$500, Result_Database!AI$2:AI$500),
  _xlfn.IFNA(_xlpm.result, "")
)</f>
        <v/>
      </c>
      <c r="AK459" t="str">
        <f>_xlfn.LET(
  _xlpm.result, _xlfn.XLOOKUP($B459, Result_Database!$A$2:$A$500, Result_Database!AJ$2:AJ$500),
  _xlfn.IFNA(_xlpm.result, "")
)</f>
        <v/>
      </c>
      <c r="AL459" t="str">
        <f>_xlfn.LET(
  _xlpm.result, _xlfn.XLOOKUP($B459, Result_Database!$A$2:$A$500, Result_Database!AK$2:AK$500),
  _xlfn.IFNA(_xlpm.result, "")
)</f>
        <v/>
      </c>
      <c r="AM45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5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5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5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5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5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5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5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5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59" t="str">
        <f>IF(SUM(Table5[[#This Row],[A1]:[C6]])&lt;&gt;0,SUM(Table5[[#This Row],[A1]:[C6]]),"")</f>
        <v/>
      </c>
      <c r="AW459" t="str">
        <f>IF(SUM(Table5[[#This Row],[D7]:[F9]])=0,"",SUM(Table5[[#This Row],[D7]:[F9]]))</f>
        <v/>
      </c>
      <c r="AX45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5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5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5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5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5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59" t="str">
        <f>IF(COUNTIF(Table5[[#This Row],[English Language]:[Electrical/ Electronics]],"WITHHELD")=0,"",COUNTIF(Table5[[#This Row],[English Language]:[Electrical/ Electronics]],"WITHHELD"))</f>
        <v/>
      </c>
      <c r="BE459" t="str">
        <f>IF(SUM(Table5[[#This Row],[NO OF CREDITS]:[BELOW CREDITS]])=0,"",SUM(Table5[[#This Row],[NO OF CREDITS]:[BELOW CREDITS]]))</f>
        <v/>
      </c>
    </row>
    <row r="460" spans="1:57" x14ac:dyDescent="0.3">
      <c r="A460" t="str">
        <f>IF(B460&lt;&gt;"",COUNTA($B$6:B460),"")</f>
        <v/>
      </c>
      <c r="B460" t="str">
        <f>IF(Result_Database!A456="","",Result_Database!A456)</f>
        <v/>
      </c>
      <c r="C460" t="str">
        <f>_xlfn.LET(
_xlpm.result,_xlfn.XLOOKUP($B460,Result_Database!$A$2:$A$500,Result_Database!$B$2:$B$500),
_xlfn.IFNA(_xlpm.result,"")
)</f>
        <v/>
      </c>
      <c r="D460" t="str">
        <f>_xlfn.LET(
  _xlpm.result, _xlfn.XLOOKUP($B460, Result_Database!$A$2:$A$500, Result_Database!C$2:C$500),
  _xlfn.IFNA(_xlpm.result, "")
)</f>
        <v/>
      </c>
      <c r="E460" t="str">
        <f>_xlfn.LET(
  _xlpm.result, _xlfn.XLOOKUP($B460, Result_Database!$A$2:$A$500, Result_Database!D$2:D$500),
  _xlfn.IFNA(_xlpm.result, "")
)</f>
        <v/>
      </c>
      <c r="F460" t="str">
        <f>_xlfn.LET(
  _xlpm.result, _xlfn.XLOOKUP($B460, Result_Database!$A$2:$A$500, Result_Database!E$2:E$500),
  _xlfn.IFNA(_xlpm.result, "")
)</f>
        <v/>
      </c>
      <c r="G460" t="str">
        <f>_xlfn.LET(
  _xlpm.result, _xlfn.XLOOKUP($B460, Result_Database!$A$2:$A$500, Result_Database!F$2:F$500),
  _xlfn.IFNA(_xlpm.result, "")
)</f>
        <v/>
      </c>
      <c r="H460" t="str">
        <f>_xlfn.LET(
  _xlpm.result, _xlfn.XLOOKUP($B460, Result_Database!$A$2:$A$500, Result_Database!G$2:G$500),
  _xlfn.IFNA(_xlpm.result, "")
)</f>
        <v/>
      </c>
      <c r="I460" t="str">
        <f>_xlfn.LET(
  _xlpm.result, _xlfn.XLOOKUP($B460, Result_Database!$A$2:$A$500, Result_Database!H$2:H$500),
  _xlfn.IFNA(_xlpm.result, "")
)</f>
        <v/>
      </c>
      <c r="J460" t="str">
        <f>_xlfn.LET(
  _xlpm.result, _xlfn.XLOOKUP($B460, Result_Database!$A$2:$A$500, Result_Database!I$2:I$500),
  _xlfn.IFNA(_xlpm.result, "")
)</f>
        <v/>
      </c>
      <c r="K460" t="str">
        <f>_xlfn.LET(
  _xlpm.result, _xlfn.XLOOKUP($B460, Result_Database!$A$2:$A$500, Result_Database!J$2:J$500),
  _xlfn.IFNA(_xlpm.result, "")
)</f>
        <v/>
      </c>
      <c r="L460" t="str">
        <f>_xlfn.LET(
  _xlpm.result, _xlfn.XLOOKUP($B460, Result_Database!$A$2:$A$500, Result_Database!K$2:K$500),
  _xlfn.IFNA(_xlpm.result, "")
)</f>
        <v/>
      </c>
      <c r="M460" t="str">
        <f>_xlfn.LET(
  _xlpm.result, _xlfn.XLOOKUP($B460, Result_Database!$A$2:$A$500, Result_Database!L$2:L$500),
  _xlfn.IFNA(_xlpm.result, "")
)</f>
        <v/>
      </c>
      <c r="N460" t="str">
        <f>_xlfn.LET(
  _xlpm.result, _xlfn.XLOOKUP($B460, Result_Database!$A$2:$A$500, Result_Database!M$2:M$500),
  _xlfn.IFNA(_xlpm.result, "")
)</f>
        <v/>
      </c>
      <c r="O460" t="str">
        <f>_xlfn.LET(
  _xlpm.result, _xlfn.XLOOKUP($B460, Result_Database!$A$2:$A$500, Result_Database!N$2:N$500),
  _xlfn.IFNA(_xlpm.result, "")
)</f>
        <v/>
      </c>
      <c r="P460" t="str">
        <f>_xlfn.LET(
  _xlpm.result, _xlfn.XLOOKUP($B460, Result_Database!$A$2:$A$500, Result_Database!O$2:O$500),
  _xlfn.IFNA(_xlpm.result, "")
)</f>
        <v/>
      </c>
      <c r="Q460" t="str">
        <f>_xlfn.LET(
  _xlpm.result, _xlfn.XLOOKUP($B460, Result_Database!$A$2:$A$500, Result_Database!P$2:P$500),
  _xlfn.IFNA(_xlpm.result, "")
)</f>
        <v/>
      </c>
      <c r="R460" t="str">
        <f>_xlfn.LET(
  _xlpm.result, _xlfn.XLOOKUP($B460, Result_Database!$A$2:$A$500, Result_Database!Q$2:Q$500),
  _xlfn.IFNA(_xlpm.result, "")
)</f>
        <v/>
      </c>
      <c r="S460" t="str">
        <f>_xlfn.LET(
  _xlpm.result, _xlfn.XLOOKUP($B460, Result_Database!$A$2:$A$500, Result_Database!R$2:R$500),
  _xlfn.IFNA(_xlpm.result, "")
)</f>
        <v/>
      </c>
      <c r="T460" t="str">
        <f>_xlfn.LET(
  _xlpm.result, _xlfn.XLOOKUP($B460, Result_Database!$A$2:$A$500, Result_Database!S$2:S$500),
  _xlfn.IFNA(_xlpm.result, "")
)</f>
        <v/>
      </c>
      <c r="U460" t="str">
        <f>_xlfn.LET(
  _xlpm.result, _xlfn.XLOOKUP($B460, Result_Database!$A$2:$A$500, Result_Database!T$2:T$500),
  _xlfn.IFNA(_xlpm.result, "")
)</f>
        <v/>
      </c>
      <c r="V460" t="str">
        <f>_xlfn.LET(
  _xlpm.result, _xlfn.XLOOKUP($B460, Result_Database!$A$2:$A$500, Result_Database!U$2:U$500),
  _xlfn.IFNA(_xlpm.result, "")
)</f>
        <v/>
      </c>
      <c r="W460" t="str">
        <f>_xlfn.LET(
  _xlpm.result, _xlfn.XLOOKUP($B460, Result_Database!$A$2:$A$500, Result_Database!V$2:V$500),
  _xlfn.IFNA(_xlpm.result, "")
)</f>
        <v/>
      </c>
      <c r="X460" t="str">
        <f>_xlfn.LET(
  _xlpm.result, _xlfn.XLOOKUP($B460, Result_Database!$A$2:$A$500, Result_Database!W$2:W$500),
  _xlfn.IFNA(_xlpm.result, "")
)</f>
        <v/>
      </c>
      <c r="Y460" t="str">
        <f>_xlfn.LET(
  _xlpm.result, _xlfn.XLOOKUP($B460, Result_Database!$A$2:$A$500, Result_Database!X$2:X$500),
  _xlfn.IFNA(_xlpm.result, "")
)</f>
        <v/>
      </c>
      <c r="Z460" t="str">
        <f>_xlfn.LET(
  _xlpm.result, _xlfn.XLOOKUP($B460, Result_Database!$A$2:$A$500, Result_Database!Y$2:Y$500),
  _xlfn.IFNA(_xlpm.result, "")
)</f>
        <v/>
      </c>
      <c r="AA460" t="str">
        <f>_xlfn.LET(
  _xlpm.result, _xlfn.XLOOKUP($B460, Result_Database!$A$2:$A$500, Result_Database!Z$2:Z$500),
  _xlfn.IFNA(_xlpm.result, "")
)</f>
        <v/>
      </c>
      <c r="AB460" t="str">
        <f>_xlfn.LET(
  _xlpm.result, _xlfn.XLOOKUP($B460, Result_Database!$A$2:$A$500, Result_Database!AA$2:AA$500),
  _xlfn.IFNA(_xlpm.result, "")
)</f>
        <v/>
      </c>
      <c r="AC460" t="str">
        <f>_xlfn.LET(
  _xlpm.result, _xlfn.XLOOKUP($B460, Result_Database!$A$2:$A$500, Result_Database!AB$2:AB$500),
  _xlfn.IFNA(_xlpm.result, "")
)</f>
        <v/>
      </c>
      <c r="AD460" t="str">
        <f>_xlfn.LET(
  _xlpm.result, _xlfn.XLOOKUP($B460, Result_Database!$A$2:$A$500, Result_Database!AC$2:AC$500),
  _xlfn.IFNA(_xlpm.result, "")
)</f>
        <v/>
      </c>
      <c r="AE460" t="str">
        <f>_xlfn.LET(
  _xlpm.result, _xlfn.XLOOKUP($B460, Result_Database!$A$2:$A$500, Result_Database!AD$2:AD$500),
  _xlfn.IFNA(_xlpm.result, "")
)</f>
        <v/>
      </c>
      <c r="AF460" t="str">
        <f>_xlfn.LET(
  _xlpm.result, _xlfn.XLOOKUP($B460, Result_Database!$A$2:$A$500, Result_Database!AE$2:AE$500),
  _xlfn.IFNA(_xlpm.result, "")
)</f>
        <v/>
      </c>
      <c r="AG460" t="str">
        <f>_xlfn.LET(
  _xlpm.result, _xlfn.XLOOKUP($B460, Result_Database!$A$2:$A$500, Result_Database!AF$2:AF$500),
  _xlfn.IFNA(_xlpm.result, "")
)</f>
        <v/>
      </c>
      <c r="AH460" t="str">
        <f>_xlfn.LET(
  _xlpm.result, _xlfn.XLOOKUP($B460, Result_Database!$A$2:$A$500, Result_Database!AG$2:AG$500),
  _xlfn.IFNA(_xlpm.result, "")
)</f>
        <v/>
      </c>
      <c r="AI460" t="str">
        <f>_xlfn.LET(
  _xlpm.result, _xlfn.XLOOKUP($B460, Result_Database!$A$2:$A$500, Result_Database!AH$2:AH$500),
  _xlfn.IFNA(_xlpm.result, "")
)</f>
        <v/>
      </c>
      <c r="AJ460" t="str">
        <f>_xlfn.LET(
  _xlpm.result, _xlfn.XLOOKUP($B460, Result_Database!$A$2:$A$500, Result_Database!AI$2:AI$500),
  _xlfn.IFNA(_xlpm.result, "")
)</f>
        <v/>
      </c>
      <c r="AK460" t="str">
        <f>_xlfn.LET(
  _xlpm.result, _xlfn.XLOOKUP($B460, Result_Database!$A$2:$A$500, Result_Database!AJ$2:AJ$500),
  _xlfn.IFNA(_xlpm.result, "")
)</f>
        <v/>
      </c>
      <c r="AL460" t="str">
        <f>_xlfn.LET(
  _xlpm.result, _xlfn.XLOOKUP($B460, Result_Database!$A$2:$A$500, Result_Database!AK$2:AK$500),
  _xlfn.IFNA(_xlpm.result, "")
)</f>
        <v/>
      </c>
      <c r="AM46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6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6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6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6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6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6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6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6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60" t="str">
        <f>IF(SUM(Table5[[#This Row],[A1]:[C6]])&lt;&gt;0,SUM(Table5[[#This Row],[A1]:[C6]]),"")</f>
        <v/>
      </c>
      <c r="AW460" t="str">
        <f>IF(SUM(Table5[[#This Row],[D7]:[F9]])=0,"",SUM(Table5[[#This Row],[D7]:[F9]]))</f>
        <v/>
      </c>
      <c r="AX46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6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6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6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6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6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60" t="str">
        <f>IF(COUNTIF(Table5[[#This Row],[English Language]:[Electrical/ Electronics]],"WITHHELD")=0,"",COUNTIF(Table5[[#This Row],[English Language]:[Electrical/ Electronics]],"WITHHELD"))</f>
        <v/>
      </c>
      <c r="BE460" t="str">
        <f>IF(SUM(Table5[[#This Row],[NO OF CREDITS]:[BELOW CREDITS]])=0,"",SUM(Table5[[#This Row],[NO OF CREDITS]:[BELOW CREDITS]]))</f>
        <v/>
      </c>
    </row>
    <row r="461" spans="1:57" x14ac:dyDescent="0.3">
      <c r="A461" t="str">
        <f>IF(B461&lt;&gt;"",COUNTA($B$6:B461),"")</f>
        <v/>
      </c>
      <c r="B461" t="str">
        <f>IF(Result_Database!A457="","",Result_Database!A457)</f>
        <v/>
      </c>
      <c r="C461" t="str">
        <f>_xlfn.LET(
_xlpm.result,_xlfn.XLOOKUP($B461,Result_Database!$A$2:$A$500,Result_Database!$B$2:$B$500),
_xlfn.IFNA(_xlpm.result,"")
)</f>
        <v/>
      </c>
      <c r="D461" t="str">
        <f>_xlfn.LET(
  _xlpm.result, _xlfn.XLOOKUP($B461, Result_Database!$A$2:$A$500, Result_Database!C$2:C$500),
  _xlfn.IFNA(_xlpm.result, "")
)</f>
        <v/>
      </c>
      <c r="E461" t="str">
        <f>_xlfn.LET(
  _xlpm.result, _xlfn.XLOOKUP($B461, Result_Database!$A$2:$A$500, Result_Database!D$2:D$500),
  _xlfn.IFNA(_xlpm.result, "")
)</f>
        <v/>
      </c>
      <c r="F461" t="str">
        <f>_xlfn.LET(
  _xlpm.result, _xlfn.XLOOKUP($B461, Result_Database!$A$2:$A$500, Result_Database!E$2:E$500),
  _xlfn.IFNA(_xlpm.result, "")
)</f>
        <v/>
      </c>
      <c r="G461" t="str">
        <f>_xlfn.LET(
  _xlpm.result, _xlfn.XLOOKUP($B461, Result_Database!$A$2:$A$500, Result_Database!F$2:F$500),
  _xlfn.IFNA(_xlpm.result, "")
)</f>
        <v/>
      </c>
      <c r="H461" t="str">
        <f>_xlfn.LET(
  _xlpm.result, _xlfn.XLOOKUP($B461, Result_Database!$A$2:$A$500, Result_Database!G$2:G$500),
  _xlfn.IFNA(_xlpm.result, "")
)</f>
        <v/>
      </c>
      <c r="I461" t="str">
        <f>_xlfn.LET(
  _xlpm.result, _xlfn.XLOOKUP($B461, Result_Database!$A$2:$A$500, Result_Database!H$2:H$500),
  _xlfn.IFNA(_xlpm.result, "")
)</f>
        <v/>
      </c>
      <c r="J461" t="str">
        <f>_xlfn.LET(
  _xlpm.result, _xlfn.XLOOKUP($B461, Result_Database!$A$2:$A$500, Result_Database!I$2:I$500),
  _xlfn.IFNA(_xlpm.result, "")
)</f>
        <v/>
      </c>
      <c r="K461" t="str">
        <f>_xlfn.LET(
  _xlpm.result, _xlfn.XLOOKUP($B461, Result_Database!$A$2:$A$500, Result_Database!J$2:J$500),
  _xlfn.IFNA(_xlpm.result, "")
)</f>
        <v/>
      </c>
      <c r="L461" t="str">
        <f>_xlfn.LET(
  _xlpm.result, _xlfn.XLOOKUP($B461, Result_Database!$A$2:$A$500, Result_Database!K$2:K$500),
  _xlfn.IFNA(_xlpm.result, "")
)</f>
        <v/>
      </c>
      <c r="M461" t="str">
        <f>_xlfn.LET(
  _xlpm.result, _xlfn.XLOOKUP($B461, Result_Database!$A$2:$A$500, Result_Database!L$2:L$500),
  _xlfn.IFNA(_xlpm.result, "")
)</f>
        <v/>
      </c>
      <c r="N461" t="str">
        <f>_xlfn.LET(
  _xlpm.result, _xlfn.XLOOKUP($B461, Result_Database!$A$2:$A$500, Result_Database!M$2:M$500),
  _xlfn.IFNA(_xlpm.result, "")
)</f>
        <v/>
      </c>
      <c r="O461" t="str">
        <f>_xlfn.LET(
  _xlpm.result, _xlfn.XLOOKUP($B461, Result_Database!$A$2:$A$500, Result_Database!N$2:N$500),
  _xlfn.IFNA(_xlpm.result, "")
)</f>
        <v/>
      </c>
      <c r="P461" t="str">
        <f>_xlfn.LET(
  _xlpm.result, _xlfn.XLOOKUP($B461, Result_Database!$A$2:$A$500, Result_Database!O$2:O$500),
  _xlfn.IFNA(_xlpm.result, "")
)</f>
        <v/>
      </c>
      <c r="Q461" t="str">
        <f>_xlfn.LET(
  _xlpm.result, _xlfn.XLOOKUP($B461, Result_Database!$A$2:$A$500, Result_Database!P$2:P$500),
  _xlfn.IFNA(_xlpm.result, "")
)</f>
        <v/>
      </c>
      <c r="R461" t="str">
        <f>_xlfn.LET(
  _xlpm.result, _xlfn.XLOOKUP($B461, Result_Database!$A$2:$A$500, Result_Database!Q$2:Q$500),
  _xlfn.IFNA(_xlpm.result, "")
)</f>
        <v/>
      </c>
      <c r="S461" t="str">
        <f>_xlfn.LET(
  _xlpm.result, _xlfn.XLOOKUP($B461, Result_Database!$A$2:$A$500, Result_Database!R$2:R$500),
  _xlfn.IFNA(_xlpm.result, "")
)</f>
        <v/>
      </c>
      <c r="T461" t="str">
        <f>_xlfn.LET(
  _xlpm.result, _xlfn.XLOOKUP($B461, Result_Database!$A$2:$A$500, Result_Database!S$2:S$500),
  _xlfn.IFNA(_xlpm.result, "")
)</f>
        <v/>
      </c>
      <c r="U461" t="str">
        <f>_xlfn.LET(
  _xlpm.result, _xlfn.XLOOKUP($B461, Result_Database!$A$2:$A$500, Result_Database!T$2:T$500),
  _xlfn.IFNA(_xlpm.result, "")
)</f>
        <v/>
      </c>
      <c r="V461" t="str">
        <f>_xlfn.LET(
  _xlpm.result, _xlfn.XLOOKUP($B461, Result_Database!$A$2:$A$500, Result_Database!U$2:U$500),
  _xlfn.IFNA(_xlpm.result, "")
)</f>
        <v/>
      </c>
      <c r="W461" t="str">
        <f>_xlfn.LET(
  _xlpm.result, _xlfn.XLOOKUP($B461, Result_Database!$A$2:$A$500, Result_Database!V$2:V$500),
  _xlfn.IFNA(_xlpm.result, "")
)</f>
        <v/>
      </c>
      <c r="X461" t="str">
        <f>_xlfn.LET(
  _xlpm.result, _xlfn.XLOOKUP($B461, Result_Database!$A$2:$A$500, Result_Database!W$2:W$500),
  _xlfn.IFNA(_xlpm.result, "")
)</f>
        <v/>
      </c>
      <c r="Y461" t="str">
        <f>_xlfn.LET(
  _xlpm.result, _xlfn.XLOOKUP($B461, Result_Database!$A$2:$A$500, Result_Database!X$2:X$500),
  _xlfn.IFNA(_xlpm.result, "")
)</f>
        <v/>
      </c>
      <c r="Z461" t="str">
        <f>_xlfn.LET(
  _xlpm.result, _xlfn.XLOOKUP($B461, Result_Database!$A$2:$A$500, Result_Database!Y$2:Y$500),
  _xlfn.IFNA(_xlpm.result, "")
)</f>
        <v/>
      </c>
      <c r="AA461" t="str">
        <f>_xlfn.LET(
  _xlpm.result, _xlfn.XLOOKUP($B461, Result_Database!$A$2:$A$500, Result_Database!Z$2:Z$500),
  _xlfn.IFNA(_xlpm.result, "")
)</f>
        <v/>
      </c>
      <c r="AB461" t="str">
        <f>_xlfn.LET(
  _xlpm.result, _xlfn.XLOOKUP($B461, Result_Database!$A$2:$A$500, Result_Database!AA$2:AA$500),
  _xlfn.IFNA(_xlpm.result, "")
)</f>
        <v/>
      </c>
      <c r="AC461" t="str">
        <f>_xlfn.LET(
  _xlpm.result, _xlfn.XLOOKUP($B461, Result_Database!$A$2:$A$500, Result_Database!AB$2:AB$500),
  _xlfn.IFNA(_xlpm.result, "")
)</f>
        <v/>
      </c>
      <c r="AD461" t="str">
        <f>_xlfn.LET(
  _xlpm.result, _xlfn.XLOOKUP($B461, Result_Database!$A$2:$A$500, Result_Database!AC$2:AC$500),
  _xlfn.IFNA(_xlpm.result, "")
)</f>
        <v/>
      </c>
      <c r="AE461" t="str">
        <f>_xlfn.LET(
  _xlpm.result, _xlfn.XLOOKUP($B461, Result_Database!$A$2:$A$500, Result_Database!AD$2:AD$500),
  _xlfn.IFNA(_xlpm.result, "")
)</f>
        <v/>
      </c>
      <c r="AF461" t="str">
        <f>_xlfn.LET(
  _xlpm.result, _xlfn.XLOOKUP($B461, Result_Database!$A$2:$A$500, Result_Database!AE$2:AE$500),
  _xlfn.IFNA(_xlpm.result, "")
)</f>
        <v/>
      </c>
      <c r="AG461" t="str">
        <f>_xlfn.LET(
  _xlpm.result, _xlfn.XLOOKUP($B461, Result_Database!$A$2:$A$500, Result_Database!AF$2:AF$500),
  _xlfn.IFNA(_xlpm.result, "")
)</f>
        <v/>
      </c>
      <c r="AH461" t="str">
        <f>_xlfn.LET(
  _xlpm.result, _xlfn.XLOOKUP($B461, Result_Database!$A$2:$A$500, Result_Database!AG$2:AG$500),
  _xlfn.IFNA(_xlpm.result, "")
)</f>
        <v/>
      </c>
      <c r="AI461" t="str">
        <f>_xlfn.LET(
  _xlpm.result, _xlfn.XLOOKUP($B461, Result_Database!$A$2:$A$500, Result_Database!AH$2:AH$500),
  _xlfn.IFNA(_xlpm.result, "")
)</f>
        <v/>
      </c>
      <c r="AJ461" t="str">
        <f>_xlfn.LET(
  _xlpm.result, _xlfn.XLOOKUP($B461, Result_Database!$A$2:$A$500, Result_Database!AI$2:AI$500),
  _xlfn.IFNA(_xlpm.result, "")
)</f>
        <v/>
      </c>
      <c r="AK461" t="str">
        <f>_xlfn.LET(
  _xlpm.result, _xlfn.XLOOKUP($B461, Result_Database!$A$2:$A$500, Result_Database!AJ$2:AJ$500),
  _xlfn.IFNA(_xlpm.result, "")
)</f>
        <v/>
      </c>
      <c r="AL461" t="str">
        <f>_xlfn.LET(
  _xlpm.result, _xlfn.XLOOKUP($B461, Result_Database!$A$2:$A$500, Result_Database!AK$2:AK$500),
  _xlfn.IFNA(_xlpm.result, "")
)</f>
        <v/>
      </c>
      <c r="AM46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6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6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6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6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6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6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6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6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61" t="str">
        <f>IF(SUM(Table5[[#This Row],[A1]:[C6]])&lt;&gt;0,SUM(Table5[[#This Row],[A1]:[C6]]),"")</f>
        <v/>
      </c>
      <c r="AW461" t="str">
        <f>IF(SUM(Table5[[#This Row],[D7]:[F9]])=0,"",SUM(Table5[[#This Row],[D7]:[F9]]))</f>
        <v/>
      </c>
      <c r="AX46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6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6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6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6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6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61" t="str">
        <f>IF(COUNTIF(Table5[[#This Row],[English Language]:[Electrical/ Electronics]],"WITHHELD")=0,"",COUNTIF(Table5[[#This Row],[English Language]:[Electrical/ Electronics]],"WITHHELD"))</f>
        <v/>
      </c>
      <c r="BE461" t="str">
        <f>IF(SUM(Table5[[#This Row],[NO OF CREDITS]:[BELOW CREDITS]])=0,"",SUM(Table5[[#This Row],[NO OF CREDITS]:[BELOW CREDITS]]))</f>
        <v/>
      </c>
    </row>
    <row r="462" spans="1:57" x14ac:dyDescent="0.3">
      <c r="A462" t="str">
        <f>IF(B462&lt;&gt;"",COUNTA($B$6:B462),"")</f>
        <v/>
      </c>
      <c r="B462" t="str">
        <f>IF(Result_Database!A458="","",Result_Database!A458)</f>
        <v/>
      </c>
      <c r="C462" t="str">
        <f>_xlfn.LET(
_xlpm.result,_xlfn.XLOOKUP($B462,Result_Database!$A$2:$A$500,Result_Database!$B$2:$B$500),
_xlfn.IFNA(_xlpm.result,"")
)</f>
        <v/>
      </c>
      <c r="D462" t="str">
        <f>_xlfn.LET(
  _xlpm.result, _xlfn.XLOOKUP($B462, Result_Database!$A$2:$A$500, Result_Database!C$2:C$500),
  _xlfn.IFNA(_xlpm.result, "")
)</f>
        <v/>
      </c>
      <c r="E462" t="str">
        <f>_xlfn.LET(
  _xlpm.result, _xlfn.XLOOKUP($B462, Result_Database!$A$2:$A$500, Result_Database!D$2:D$500),
  _xlfn.IFNA(_xlpm.result, "")
)</f>
        <v/>
      </c>
      <c r="F462" t="str">
        <f>_xlfn.LET(
  _xlpm.result, _xlfn.XLOOKUP($B462, Result_Database!$A$2:$A$500, Result_Database!E$2:E$500),
  _xlfn.IFNA(_xlpm.result, "")
)</f>
        <v/>
      </c>
      <c r="G462" t="str">
        <f>_xlfn.LET(
  _xlpm.result, _xlfn.XLOOKUP($B462, Result_Database!$A$2:$A$500, Result_Database!F$2:F$500),
  _xlfn.IFNA(_xlpm.result, "")
)</f>
        <v/>
      </c>
      <c r="H462" t="str">
        <f>_xlfn.LET(
  _xlpm.result, _xlfn.XLOOKUP($B462, Result_Database!$A$2:$A$500, Result_Database!G$2:G$500),
  _xlfn.IFNA(_xlpm.result, "")
)</f>
        <v/>
      </c>
      <c r="I462" t="str">
        <f>_xlfn.LET(
  _xlpm.result, _xlfn.XLOOKUP($B462, Result_Database!$A$2:$A$500, Result_Database!H$2:H$500),
  _xlfn.IFNA(_xlpm.result, "")
)</f>
        <v/>
      </c>
      <c r="J462" t="str">
        <f>_xlfn.LET(
  _xlpm.result, _xlfn.XLOOKUP($B462, Result_Database!$A$2:$A$500, Result_Database!I$2:I$500),
  _xlfn.IFNA(_xlpm.result, "")
)</f>
        <v/>
      </c>
      <c r="K462" t="str">
        <f>_xlfn.LET(
  _xlpm.result, _xlfn.XLOOKUP($B462, Result_Database!$A$2:$A$500, Result_Database!J$2:J$500),
  _xlfn.IFNA(_xlpm.result, "")
)</f>
        <v/>
      </c>
      <c r="L462" t="str">
        <f>_xlfn.LET(
  _xlpm.result, _xlfn.XLOOKUP($B462, Result_Database!$A$2:$A$500, Result_Database!K$2:K$500),
  _xlfn.IFNA(_xlpm.result, "")
)</f>
        <v/>
      </c>
      <c r="M462" t="str">
        <f>_xlfn.LET(
  _xlpm.result, _xlfn.XLOOKUP($B462, Result_Database!$A$2:$A$500, Result_Database!L$2:L$500),
  _xlfn.IFNA(_xlpm.result, "")
)</f>
        <v/>
      </c>
      <c r="N462" t="str">
        <f>_xlfn.LET(
  _xlpm.result, _xlfn.XLOOKUP($B462, Result_Database!$A$2:$A$500, Result_Database!M$2:M$500),
  _xlfn.IFNA(_xlpm.result, "")
)</f>
        <v/>
      </c>
      <c r="O462" t="str">
        <f>_xlfn.LET(
  _xlpm.result, _xlfn.XLOOKUP($B462, Result_Database!$A$2:$A$500, Result_Database!N$2:N$500),
  _xlfn.IFNA(_xlpm.result, "")
)</f>
        <v/>
      </c>
      <c r="P462" t="str">
        <f>_xlfn.LET(
  _xlpm.result, _xlfn.XLOOKUP($B462, Result_Database!$A$2:$A$500, Result_Database!O$2:O$500),
  _xlfn.IFNA(_xlpm.result, "")
)</f>
        <v/>
      </c>
      <c r="Q462" t="str">
        <f>_xlfn.LET(
  _xlpm.result, _xlfn.XLOOKUP($B462, Result_Database!$A$2:$A$500, Result_Database!P$2:P$500),
  _xlfn.IFNA(_xlpm.result, "")
)</f>
        <v/>
      </c>
      <c r="R462" t="str">
        <f>_xlfn.LET(
  _xlpm.result, _xlfn.XLOOKUP($B462, Result_Database!$A$2:$A$500, Result_Database!Q$2:Q$500),
  _xlfn.IFNA(_xlpm.result, "")
)</f>
        <v/>
      </c>
      <c r="S462" t="str">
        <f>_xlfn.LET(
  _xlpm.result, _xlfn.XLOOKUP($B462, Result_Database!$A$2:$A$500, Result_Database!R$2:R$500),
  _xlfn.IFNA(_xlpm.result, "")
)</f>
        <v/>
      </c>
      <c r="T462" t="str">
        <f>_xlfn.LET(
  _xlpm.result, _xlfn.XLOOKUP($B462, Result_Database!$A$2:$A$500, Result_Database!S$2:S$500),
  _xlfn.IFNA(_xlpm.result, "")
)</f>
        <v/>
      </c>
      <c r="U462" t="str">
        <f>_xlfn.LET(
  _xlpm.result, _xlfn.XLOOKUP($B462, Result_Database!$A$2:$A$500, Result_Database!T$2:T$500),
  _xlfn.IFNA(_xlpm.result, "")
)</f>
        <v/>
      </c>
      <c r="V462" t="str">
        <f>_xlfn.LET(
  _xlpm.result, _xlfn.XLOOKUP($B462, Result_Database!$A$2:$A$500, Result_Database!U$2:U$500),
  _xlfn.IFNA(_xlpm.result, "")
)</f>
        <v/>
      </c>
      <c r="W462" t="str">
        <f>_xlfn.LET(
  _xlpm.result, _xlfn.XLOOKUP($B462, Result_Database!$A$2:$A$500, Result_Database!V$2:V$500),
  _xlfn.IFNA(_xlpm.result, "")
)</f>
        <v/>
      </c>
      <c r="X462" t="str">
        <f>_xlfn.LET(
  _xlpm.result, _xlfn.XLOOKUP($B462, Result_Database!$A$2:$A$500, Result_Database!W$2:W$500),
  _xlfn.IFNA(_xlpm.result, "")
)</f>
        <v/>
      </c>
      <c r="Y462" t="str">
        <f>_xlfn.LET(
  _xlpm.result, _xlfn.XLOOKUP($B462, Result_Database!$A$2:$A$500, Result_Database!X$2:X$500),
  _xlfn.IFNA(_xlpm.result, "")
)</f>
        <v/>
      </c>
      <c r="Z462" t="str">
        <f>_xlfn.LET(
  _xlpm.result, _xlfn.XLOOKUP($B462, Result_Database!$A$2:$A$500, Result_Database!Y$2:Y$500),
  _xlfn.IFNA(_xlpm.result, "")
)</f>
        <v/>
      </c>
      <c r="AA462" t="str">
        <f>_xlfn.LET(
  _xlpm.result, _xlfn.XLOOKUP($B462, Result_Database!$A$2:$A$500, Result_Database!Z$2:Z$500),
  _xlfn.IFNA(_xlpm.result, "")
)</f>
        <v/>
      </c>
      <c r="AB462" t="str">
        <f>_xlfn.LET(
  _xlpm.result, _xlfn.XLOOKUP($B462, Result_Database!$A$2:$A$500, Result_Database!AA$2:AA$500),
  _xlfn.IFNA(_xlpm.result, "")
)</f>
        <v/>
      </c>
      <c r="AC462" t="str">
        <f>_xlfn.LET(
  _xlpm.result, _xlfn.XLOOKUP($B462, Result_Database!$A$2:$A$500, Result_Database!AB$2:AB$500),
  _xlfn.IFNA(_xlpm.result, "")
)</f>
        <v/>
      </c>
      <c r="AD462" t="str">
        <f>_xlfn.LET(
  _xlpm.result, _xlfn.XLOOKUP($B462, Result_Database!$A$2:$A$500, Result_Database!AC$2:AC$500),
  _xlfn.IFNA(_xlpm.result, "")
)</f>
        <v/>
      </c>
      <c r="AE462" t="str">
        <f>_xlfn.LET(
  _xlpm.result, _xlfn.XLOOKUP($B462, Result_Database!$A$2:$A$500, Result_Database!AD$2:AD$500),
  _xlfn.IFNA(_xlpm.result, "")
)</f>
        <v/>
      </c>
      <c r="AF462" t="str">
        <f>_xlfn.LET(
  _xlpm.result, _xlfn.XLOOKUP($B462, Result_Database!$A$2:$A$500, Result_Database!AE$2:AE$500),
  _xlfn.IFNA(_xlpm.result, "")
)</f>
        <v/>
      </c>
      <c r="AG462" t="str">
        <f>_xlfn.LET(
  _xlpm.result, _xlfn.XLOOKUP($B462, Result_Database!$A$2:$A$500, Result_Database!AF$2:AF$500),
  _xlfn.IFNA(_xlpm.result, "")
)</f>
        <v/>
      </c>
      <c r="AH462" t="str">
        <f>_xlfn.LET(
  _xlpm.result, _xlfn.XLOOKUP($B462, Result_Database!$A$2:$A$500, Result_Database!AG$2:AG$500),
  _xlfn.IFNA(_xlpm.result, "")
)</f>
        <v/>
      </c>
      <c r="AI462" t="str">
        <f>_xlfn.LET(
  _xlpm.result, _xlfn.XLOOKUP($B462, Result_Database!$A$2:$A$500, Result_Database!AH$2:AH$500),
  _xlfn.IFNA(_xlpm.result, "")
)</f>
        <v/>
      </c>
      <c r="AJ462" t="str">
        <f>_xlfn.LET(
  _xlpm.result, _xlfn.XLOOKUP($B462, Result_Database!$A$2:$A$500, Result_Database!AI$2:AI$500),
  _xlfn.IFNA(_xlpm.result, "")
)</f>
        <v/>
      </c>
      <c r="AK462" t="str">
        <f>_xlfn.LET(
  _xlpm.result, _xlfn.XLOOKUP($B462, Result_Database!$A$2:$A$500, Result_Database!AJ$2:AJ$500),
  _xlfn.IFNA(_xlpm.result, "")
)</f>
        <v/>
      </c>
      <c r="AL462" t="str">
        <f>_xlfn.LET(
  _xlpm.result, _xlfn.XLOOKUP($B462, Result_Database!$A$2:$A$500, Result_Database!AK$2:AK$500),
  _xlfn.IFNA(_xlpm.result, "")
)</f>
        <v/>
      </c>
      <c r="AM46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6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6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6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6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6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6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6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6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62" t="str">
        <f>IF(SUM(Table5[[#This Row],[A1]:[C6]])&lt;&gt;0,SUM(Table5[[#This Row],[A1]:[C6]]),"")</f>
        <v/>
      </c>
      <c r="AW462" t="str">
        <f>IF(SUM(Table5[[#This Row],[D7]:[F9]])=0,"",SUM(Table5[[#This Row],[D7]:[F9]]))</f>
        <v/>
      </c>
      <c r="AX46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6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6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6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6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6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62" t="str">
        <f>IF(COUNTIF(Table5[[#This Row],[English Language]:[Electrical/ Electronics]],"WITHHELD")=0,"",COUNTIF(Table5[[#This Row],[English Language]:[Electrical/ Electronics]],"WITHHELD"))</f>
        <v/>
      </c>
      <c r="BE462" t="str">
        <f>IF(SUM(Table5[[#This Row],[NO OF CREDITS]:[BELOW CREDITS]])=0,"",SUM(Table5[[#This Row],[NO OF CREDITS]:[BELOW CREDITS]]))</f>
        <v/>
      </c>
    </row>
    <row r="463" spans="1:57" x14ac:dyDescent="0.3">
      <c r="A463" t="str">
        <f>IF(B463&lt;&gt;"",COUNTA($B$6:B463),"")</f>
        <v/>
      </c>
      <c r="B463" t="str">
        <f>IF(Result_Database!A459="","",Result_Database!A459)</f>
        <v/>
      </c>
      <c r="C463" t="str">
        <f>_xlfn.LET(
_xlpm.result,_xlfn.XLOOKUP($B463,Result_Database!$A$2:$A$500,Result_Database!$B$2:$B$500),
_xlfn.IFNA(_xlpm.result,"")
)</f>
        <v/>
      </c>
      <c r="D463" t="str">
        <f>_xlfn.LET(
  _xlpm.result, _xlfn.XLOOKUP($B463, Result_Database!$A$2:$A$500, Result_Database!C$2:C$500),
  _xlfn.IFNA(_xlpm.result, "")
)</f>
        <v/>
      </c>
      <c r="E463" t="str">
        <f>_xlfn.LET(
  _xlpm.result, _xlfn.XLOOKUP($B463, Result_Database!$A$2:$A$500, Result_Database!D$2:D$500),
  _xlfn.IFNA(_xlpm.result, "")
)</f>
        <v/>
      </c>
      <c r="F463" t="str">
        <f>_xlfn.LET(
  _xlpm.result, _xlfn.XLOOKUP($B463, Result_Database!$A$2:$A$500, Result_Database!E$2:E$500),
  _xlfn.IFNA(_xlpm.result, "")
)</f>
        <v/>
      </c>
      <c r="G463" t="str">
        <f>_xlfn.LET(
  _xlpm.result, _xlfn.XLOOKUP($B463, Result_Database!$A$2:$A$500, Result_Database!F$2:F$500),
  _xlfn.IFNA(_xlpm.result, "")
)</f>
        <v/>
      </c>
      <c r="H463" t="str">
        <f>_xlfn.LET(
  _xlpm.result, _xlfn.XLOOKUP($B463, Result_Database!$A$2:$A$500, Result_Database!G$2:G$500),
  _xlfn.IFNA(_xlpm.result, "")
)</f>
        <v/>
      </c>
      <c r="I463" t="str">
        <f>_xlfn.LET(
  _xlpm.result, _xlfn.XLOOKUP($B463, Result_Database!$A$2:$A$500, Result_Database!H$2:H$500),
  _xlfn.IFNA(_xlpm.result, "")
)</f>
        <v/>
      </c>
      <c r="J463" t="str">
        <f>_xlfn.LET(
  _xlpm.result, _xlfn.XLOOKUP($B463, Result_Database!$A$2:$A$500, Result_Database!I$2:I$500),
  _xlfn.IFNA(_xlpm.result, "")
)</f>
        <v/>
      </c>
      <c r="K463" t="str">
        <f>_xlfn.LET(
  _xlpm.result, _xlfn.XLOOKUP($B463, Result_Database!$A$2:$A$500, Result_Database!J$2:J$500),
  _xlfn.IFNA(_xlpm.result, "")
)</f>
        <v/>
      </c>
      <c r="L463" t="str">
        <f>_xlfn.LET(
  _xlpm.result, _xlfn.XLOOKUP($B463, Result_Database!$A$2:$A$500, Result_Database!K$2:K$500),
  _xlfn.IFNA(_xlpm.result, "")
)</f>
        <v/>
      </c>
      <c r="M463" t="str">
        <f>_xlfn.LET(
  _xlpm.result, _xlfn.XLOOKUP($B463, Result_Database!$A$2:$A$500, Result_Database!L$2:L$500),
  _xlfn.IFNA(_xlpm.result, "")
)</f>
        <v/>
      </c>
      <c r="N463" t="str">
        <f>_xlfn.LET(
  _xlpm.result, _xlfn.XLOOKUP($B463, Result_Database!$A$2:$A$500, Result_Database!M$2:M$500),
  _xlfn.IFNA(_xlpm.result, "")
)</f>
        <v/>
      </c>
      <c r="O463" t="str">
        <f>_xlfn.LET(
  _xlpm.result, _xlfn.XLOOKUP($B463, Result_Database!$A$2:$A$500, Result_Database!N$2:N$500),
  _xlfn.IFNA(_xlpm.result, "")
)</f>
        <v/>
      </c>
      <c r="P463" t="str">
        <f>_xlfn.LET(
  _xlpm.result, _xlfn.XLOOKUP($B463, Result_Database!$A$2:$A$500, Result_Database!O$2:O$500),
  _xlfn.IFNA(_xlpm.result, "")
)</f>
        <v/>
      </c>
      <c r="Q463" t="str">
        <f>_xlfn.LET(
  _xlpm.result, _xlfn.XLOOKUP($B463, Result_Database!$A$2:$A$500, Result_Database!P$2:P$500),
  _xlfn.IFNA(_xlpm.result, "")
)</f>
        <v/>
      </c>
      <c r="R463" t="str">
        <f>_xlfn.LET(
  _xlpm.result, _xlfn.XLOOKUP($B463, Result_Database!$A$2:$A$500, Result_Database!Q$2:Q$500),
  _xlfn.IFNA(_xlpm.result, "")
)</f>
        <v/>
      </c>
      <c r="S463" t="str">
        <f>_xlfn.LET(
  _xlpm.result, _xlfn.XLOOKUP($B463, Result_Database!$A$2:$A$500, Result_Database!R$2:R$500),
  _xlfn.IFNA(_xlpm.result, "")
)</f>
        <v/>
      </c>
      <c r="T463" t="str">
        <f>_xlfn.LET(
  _xlpm.result, _xlfn.XLOOKUP($B463, Result_Database!$A$2:$A$500, Result_Database!S$2:S$500),
  _xlfn.IFNA(_xlpm.result, "")
)</f>
        <v/>
      </c>
      <c r="U463" t="str">
        <f>_xlfn.LET(
  _xlpm.result, _xlfn.XLOOKUP($B463, Result_Database!$A$2:$A$500, Result_Database!T$2:T$500),
  _xlfn.IFNA(_xlpm.result, "")
)</f>
        <v/>
      </c>
      <c r="V463" t="str">
        <f>_xlfn.LET(
  _xlpm.result, _xlfn.XLOOKUP($B463, Result_Database!$A$2:$A$500, Result_Database!U$2:U$500),
  _xlfn.IFNA(_xlpm.result, "")
)</f>
        <v/>
      </c>
      <c r="W463" t="str">
        <f>_xlfn.LET(
  _xlpm.result, _xlfn.XLOOKUP($B463, Result_Database!$A$2:$A$500, Result_Database!V$2:V$500),
  _xlfn.IFNA(_xlpm.result, "")
)</f>
        <v/>
      </c>
      <c r="X463" t="str">
        <f>_xlfn.LET(
  _xlpm.result, _xlfn.XLOOKUP($B463, Result_Database!$A$2:$A$500, Result_Database!W$2:W$500),
  _xlfn.IFNA(_xlpm.result, "")
)</f>
        <v/>
      </c>
      <c r="Y463" t="str">
        <f>_xlfn.LET(
  _xlpm.result, _xlfn.XLOOKUP($B463, Result_Database!$A$2:$A$500, Result_Database!X$2:X$500),
  _xlfn.IFNA(_xlpm.result, "")
)</f>
        <v/>
      </c>
      <c r="Z463" t="str">
        <f>_xlfn.LET(
  _xlpm.result, _xlfn.XLOOKUP($B463, Result_Database!$A$2:$A$500, Result_Database!Y$2:Y$500),
  _xlfn.IFNA(_xlpm.result, "")
)</f>
        <v/>
      </c>
      <c r="AA463" t="str">
        <f>_xlfn.LET(
  _xlpm.result, _xlfn.XLOOKUP($B463, Result_Database!$A$2:$A$500, Result_Database!Z$2:Z$500),
  _xlfn.IFNA(_xlpm.result, "")
)</f>
        <v/>
      </c>
      <c r="AB463" t="str">
        <f>_xlfn.LET(
  _xlpm.result, _xlfn.XLOOKUP($B463, Result_Database!$A$2:$A$500, Result_Database!AA$2:AA$500),
  _xlfn.IFNA(_xlpm.result, "")
)</f>
        <v/>
      </c>
      <c r="AC463" t="str">
        <f>_xlfn.LET(
  _xlpm.result, _xlfn.XLOOKUP($B463, Result_Database!$A$2:$A$500, Result_Database!AB$2:AB$500),
  _xlfn.IFNA(_xlpm.result, "")
)</f>
        <v/>
      </c>
      <c r="AD463" t="str">
        <f>_xlfn.LET(
  _xlpm.result, _xlfn.XLOOKUP($B463, Result_Database!$A$2:$A$500, Result_Database!AC$2:AC$500),
  _xlfn.IFNA(_xlpm.result, "")
)</f>
        <v/>
      </c>
      <c r="AE463" t="str">
        <f>_xlfn.LET(
  _xlpm.result, _xlfn.XLOOKUP($B463, Result_Database!$A$2:$A$500, Result_Database!AD$2:AD$500),
  _xlfn.IFNA(_xlpm.result, "")
)</f>
        <v/>
      </c>
      <c r="AF463" t="str">
        <f>_xlfn.LET(
  _xlpm.result, _xlfn.XLOOKUP($B463, Result_Database!$A$2:$A$500, Result_Database!AE$2:AE$500),
  _xlfn.IFNA(_xlpm.result, "")
)</f>
        <v/>
      </c>
      <c r="AG463" t="str">
        <f>_xlfn.LET(
  _xlpm.result, _xlfn.XLOOKUP($B463, Result_Database!$A$2:$A$500, Result_Database!AF$2:AF$500),
  _xlfn.IFNA(_xlpm.result, "")
)</f>
        <v/>
      </c>
      <c r="AH463" t="str">
        <f>_xlfn.LET(
  _xlpm.result, _xlfn.XLOOKUP($B463, Result_Database!$A$2:$A$500, Result_Database!AG$2:AG$500),
  _xlfn.IFNA(_xlpm.result, "")
)</f>
        <v/>
      </c>
      <c r="AI463" t="str">
        <f>_xlfn.LET(
  _xlpm.result, _xlfn.XLOOKUP($B463, Result_Database!$A$2:$A$500, Result_Database!AH$2:AH$500),
  _xlfn.IFNA(_xlpm.result, "")
)</f>
        <v/>
      </c>
      <c r="AJ463" t="str">
        <f>_xlfn.LET(
  _xlpm.result, _xlfn.XLOOKUP($B463, Result_Database!$A$2:$A$500, Result_Database!AI$2:AI$500),
  _xlfn.IFNA(_xlpm.result, "")
)</f>
        <v/>
      </c>
      <c r="AK463" t="str">
        <f>_xlfn.LET(
  _xlpm.result, _xlfn.XLOOKUP($B463, Result_Database!$A$2:$A$500, Result_Database!AJ$2:AJ$500),
  _xlfn.IFNA(_xlpm.result, "")
)</f>
        <v/>
      </c>
      <c r="AL463" t="str">
        <f>_xlfn.LET(
  _xlpm.result, _xlfn.XLOOKUP($B463, Result_Database!$A$2:$A$500, Result_Database!AK$2:AK$500),
  _xlfn.IFNA(_xlpm.result, "")
)</f>
        <v/>
      </c>
      <c r="AM46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6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6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6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6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6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6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6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6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63" t="str">
        <f>IF(SUM(Table5[[#This Row],[A1]:[C6]])&lt;&gt;0,SUM(Table5[[#This Row],[A1]:[C6]]),"")</f>
        <v/>
      </c>
      <c r="AW463" t="str">
        <f>IF(SUM(Table5[[#This Row],[D7]:[F9]])=0,"",SUM(Table5[[#This Row],[D7]:[F9]]))</f>
        <v/>
      </c>
      <c r="AX46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6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6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6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6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6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63" t="str">
        <f>IF(COUNTIF(Table5[[#This Row],[English Language]:[Electrical/ Electronics]],"WITHHELD")=0,"",COUNTIF(Table5[[#This Row],[English Language]:[Electrical/ Electronics]],"WITHHELD"))</f>
        <v/>
      </c>
      <c r="BE463" t="str">
        <f>IF(SUM(Table5[[#This Row],[NO OF CREDITS]:[BELOW CREDITS]])=0,"",SUM(Table5[[#This Row],[NO OF CREDITS]:[BELOW CREDITS]]))</f>
        <v/>
      </c>
    </row>
    <row r="464" spans="1:57" x14ac:dyDescent="0.3">
      <c r="A464" t="str">
        <f>IF(B464&lt;&gt;"",COUNTA($B$6:B464),"")</f>
        <v/>
      </c>
      <c r="B464" t="str">
        <f>IF(Result_Database!A460="","",Result_Database!A460)</f>
        <v/>
      </c>
      <c r="C464" t="str">
        <f>_xlfn.LET(
_xlpm.result,_xlfn.XLOOKUP($B464,Result_Database!$A$2:$A$500,Result_Database!$B$2:$B$500),
_xlfn.IFNA(_xlpm.result,"")
)</f>
        <v/>
      </c>
      <c r="D464" t="str">
        <f>_xlfn.LET(
  _xlpm.result, _xlfn.XLOOKUP($B464, Result_Database!$A$2:$A$500, Result_Database!C$2:C$500),
  _xlfn.IFNA(_xlpm.result, "")
)</f>
        <v/>
      </c>
      <c r="E464" t="str">
        <f>_xlfn.LET(
  _xlpm.result, _xlfn.XLOOKUP($B464, Result_Database!$A$2:$A$500, Result_Database!D$2:D$500),
  _xlfn.IFNA(_xlpm.result, "")
)</f>
        <v/>
      </c>
      <c r="F464" t="str">
        <f>_xlfn.LET(
  _xlpm.result, _xlfn.XLOOKUP($B464, Result_Database!$A$2:$A$500, Result_Database!E$2:E$500),
  _xlfn.IFNA(_xlpm.result, "")
)</f>
        <v/>
      </c>
      <c r="G464" t="str">
        <f>_xlfn.LET(
  _xlpm.result, _xlfn.XLOOKUP($B464, Result_Database!$A$2:$A$500, Result_Database!F$2:F$500),
  _xlfn.IFNA(_xlpm.result, "")
)</f>
        <v/>
      </c>
      <c r="H464" t="str">
        <f>_xlfn.LET(
  _xlpm.result, _xlfn.XLOOKUP($B464, Result_Database!$A$2:$A$500, Result_Database!G$2:G$500),
  _xlfn.IFNA(_xlpm.result, "")
)</f>
        <v/>
      </c>
      <c r="I464" t="str">
        <f>_xlfn.LET(
  _xlpm.result, _xlfn.XLOOKUP($B464, Result_Database!$A$2:$A$500, Result_Database!H$2:H$500),
  _xlfn.IFNA(_xlpm.result, "")
)</f>
        <v/>
      </c>
      <c r="J464" t="str">
        <f>_xlfn.LET(
  _xlpm.result, _xlfn.XLOOKUP($B464, Result_Database!$A$2:$A$500, Result_Database!I$2:I$500),
  _xlfn.IFNA(_xlpm.result, "")
)</f>
        <v/>
      </c>
      <c r="K464" t="str">
        <f>_xlfn.LET(
  _xlpm.result, _xlfn.XLOOKUP($B464, Result_Database!$A$2:$A$500, Result_Database!J$2:J$500),
  _xlfn.IFNA(_xlpm.result, "")
)</f>
        <v/>
      </c>
      <c r="L464" t="str">
        <f>_xlfn.LET(
  _xlpm.result, _xlfn.XLOOKUP($B464, Result_Database!$A$2:$A$500, Result_Database!K$2:K$500),
  _xlfn.IFNA(_xlpm.result, "")
)</f>
        <v/>
      </c>
      <c r="M464" t="str">
        <f>_xlfn.LET(
  _xlpm.result, _xlfn.XLOOKUP($B464, Result_Database!$A$2:$A$500, Result_Database!L$2:L$500),
  _xlfn.IFNA(_xlpm.result, "")
)</f>
        <v/>
      </c>
      <c r="N464" t="str">
        <f>_xlfn.LET(
  _xlpm.result, _xlfn.XLOOKUP($B464, Result_Database!$A$2:$A$500, Result_Database!M$2:M$500),
  _xlfn.IFNA(_xlpm.result, "")
)</f>
        <v/>
      </c>
      <c r="O464" t="str">
        <f>_xlfn.LET(
  _xlpm.result, _xlfn.XLOOKUP($B464, Result_Database!$A$2:$A$500, Result_Database!N$2:N$500),
  _xlfn.IFNA(_xlpm.result, "")
)</f>
        <v/>
      </c>
      <c r="P464" t="str">
        <f>_xlfn.LET(
  _xlpm.result, _xlfn.XLOOKUP($B464, Result_Database!$A$2:$A$500, Result_Database!O$2:O$500),
  _xlfn.IFNA(_xlpm.result, "")
)</f>
        <v/>
      </c>
      <c r="Q464" t="str">
        <f>_xlfn.LET(
  _xlpm.result, _xlfn.XLOOKUP($B464, Result_Database!$A$2:$A$500, Result_Database!P$2:P$500),
  _xlfn.IFNA(_xlpm.result, "")
)</f>
        <v/>
      </c>
      <c r="R464" t="str">
        <f>_xlfn.LET(
  _xlpm.result, _xlfn.XLOOKUP($B464, Result_Database!$A$2:$A$500, Result_Database!Q$2:Q$500),
  _xlfn.IFNA(_xlpm.result, "")
)</f>
        <v/>
      </c>
      <c r="S464" t="str">
        <f>_xlfn.LET(
  _xlpm.result, _xlfn.XLOOKUP($B464, Result_Database!$A$2:$A$500, Result_Database!R$2:R$500),
  _xlfn.IFNA(_xlpm.result, "")
)</f>
        <v/>
      </c>
      <c r="T464" t="str">
        <f>_xlfn.LET(
  _xlpm.result, _xlfn.XLOOKUP($B464, Result_Database!$A$2:$A$500, Result_Database!S$2:S$500),
  _xlfn.IFNA(_xlpm.result, "")
)</f>
        <v/>
      </c>
      <c r="U464" t="str">
        <f>_xlfn.LET(
  _xlpm.result, _xlfn.XLOOKUP($B464, Result_Database!$A$2:$A$500, Result_Database!T$2:T$500),
  _xlfn.IFNA(_xlpm.result, "")
)</f>
        <v/>
      </c>
      <c r="V464" t="str">
        <f>_xlfn.LET(
  _xlpm.result, _xlfn.XLOOKUP($B464, Result_Database!$A$2:$A$500, Result_Database!U$2:U$500),
  _xlfn.IFNA(_xlpm.result, "")
)</f>
        <v/>
      </c>
      <c r="W464" t="str">
        <f>_xlfn.LET(
  _xlpm.result, _xlfn.XLOOKUP($B464, Result_Database!$A$2:$A$500, Result_Database!V$2:V$500),
  _xlfn.IFNA(_xlpm.result, "")
)</f>
        <v/>
      </c>
      <c r="X464" t="str">
        <f>_xlfn.LET(
  _xlpm.result, _xlfn.XLOOKUP($B464, Result_Database!$A$2:$A$500, Result_Database!W$2:W$500),
  _xlfn.IFNA(_xlpm.result, "")
)</f>
        <v/>
      </c>
      <c r="Y464" t="str">
        <f>_xlfn.LET(
  _xlpm.result, _xlfn.XLOOKUP($B464, Result_Database!$A$2:$A$500, Result_Database!X$2:X$500),
  _xlfn.IFNA(_xlpm.result, "")
)</f>
        <v/>
      </c>
      <c r="Z464" t="str">
        <f>_xlfn.LET(
  _xlpm.result, _xlfn.XLOOKUP($B464, Result_Database!$A$2:$A$500, Result_Database!Y$2:Y$500),
  _xlfn.IFNA(_xlpm.result, "")
)</f>
        <v/>
      </c>
      <c r="AA464" t="str">
        <f>_xlfn.LET(
  _xlpm.result, _xlfn.XLOOKUP($B464, Result_Database!$A$2:$A$500, Result_Database!Z$2:Z$500),
  _xlfn.IFNA(_xlpm.result, "")
)</f>
        <v/>
      </c>
      <c r="AB464" t="str">
        <f>_xlfn.LET(
  _xlpm.result, _xlfn.XLOOKUP($B464, Result_Database!$A$2:$A$500, Result_Database!AA$2:AA$500),
  _xlfn.IFNA(_xlpm.result, "")
)</f>
        <v/>
      </c>
      <c r="AC464" t="str">
        <f>_xlfn.LET(
  _xlpm.result, _xlfn.XLOOKUP($B464, Result_Database!$A$2:$A$500, Result_Database!AB$2:AB$500),
  _xlfn.IFNA(_xlpm.result, "")
)</f>
        <v/>
      </c>
      <c r="AD464" t="str">
        <f>_xlfn.LET(
  _xlpm.result, _xlfn.XLOOKUP($B464, Result_Database!$A$2:$A$500, Result_Database!AC$2:AC$500),
  _xlfn.IFNA(_xlpm.result, "")
)</f>
        <v/>
      </c>
      <c r="AE464" t="str">
        <f>_xlfn.LET(
  _xlpm.result, _xlfn.XLOOKUP($B464, Result_Database!$A$2:$A$500, Result_Database!AD$2:AD$500),
  _xlfn.IFNA(_xlpm.result, "")
)</f>
        <v/>
      </c>
      <c r="AF464" t="str">
        <f>_xlfn.LET(
  _xlpm.result, _xlfn.XLOOKUP($B464, Result_Database!$A$2:$A$500, Result_Database!AE$2:AE$500),
  _xlfn.IFNA(_xlpm.result, "")
)</f>
        <v/>
      </c>
      <c r="AG464" t="str">
        <f>_xlfn.LET(
  _xlpm.result, _xlfn.XLOOKUP($B464, Result_Database!$A$2:$A$500, Result_Database!AF$2:AF$500),
  _xlfn.IFNA(_xlpm.result, "")
)</f>
        <v/>
      </c>
      <c r="AH464" t="str">
        <f>_xlfn.LET(
  _xlpm.result, _xlfn.XLOOKUP($B464, Result_Database!$A$2:$A$500, Result_Database!AG$2:AG$500),
  _xlfn.IFNA(_xlpm.result, "")
)</f>
        <v/>
      </c>
      <c r="AI464" t="str">
        <f>_xlfn.LET(
  _xlpm.result, _xlfn.XLOOKUP($B464, Result_Database!$A$2:$A$500, Result_Database!AH$2:AH$500),
  _xlfn.IFNA(_xlpm.result, "")
)</f>
        <v/>
      </c>
      <c r="AJ464" t="str">
        <f>_xlfn.LET(
  _xlpm.result, _xlfn.XLOOKUP($B464, Result_Database!$A$2:$A$500, Result_Database!AI$2:AI$500),
  _xlfn.IFNA(_xlpm.result, "")
)</f>
        <v/>
      </c>
      <c r="AK464" t="str">
        <f>_xlfn.LET(
  _xlpm.result, _xlfn.XLOOKUP($B464, Result_Database!$A$2:$A$500, Result_Database!AJ$2:AJ$500),
  _xlfn.IFNA(_xlpm.result, "")
)</f>
        <v/>
      </c>
      <c r="AL464" t="str">
        <f>_xlfn.LET(
  _xlpm.result, _xlfn.XLOOKUP($B464, Result_Database!$A$2:$A$500, Result_Database!AK$2:AK$500),
  _xlfn.IFNA(_xlpm.result, "")
)</f>
        <v/>
      </c>
      <c r="AM46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6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6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6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6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6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6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6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6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64" t="str">
        <f>IF(SUM(Table5[[#This Row],[A1]:[C6]])&lt;&gt;0,SUM(Table5[[#This Row],[A1]:[C6]]),"")</f>
        <v/>
      </c>
      <c r="AW464" t="str">
        <f>IF(SUM(Table5[[#This Row],[D7]:[F9]])=0,"",SUM(Table5[[#This Row],[D7]:[F9]]))</f>
        <v/>
      </c>
      <c r="AX46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6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6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6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6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6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64" t="str">
        <f>IF(COUNTIF(Table5[[#This Row],[English Language]:[Electrical/ Electronics]],"WITHHELD")=0,"",COUNTIF(Table5[[#This Row],[English Language]:[Electrical/ Electronics]],"WITHHELD"))</f>
        <v/>
      </c>
      <c r="BE464" t="str">
        <f>IF(SUM(Table5[[#This Row],[NO OF CREDITS]:[BELOW CREDITS]])=0,"",SUM(Table5[[#This Row],[NO OF CREDITS]:[BELOW CREDITS]]))</f>
        <v/>
      </c>
    </row>
    <row r="465" spans="1:57" x14ac:dyDescent="0.3">
      <c r="A465" t="str">
        <f>IF(B465&lt;&gt;"",COUNTA($B$6:B465),"")</f>
        <v/>
      </c>
      <c r="B465" t="str">
        <f>IF(Result_Database!A461="","",Result_Database!A461)</f>
        <v/>
      </c>
      <c r="C465" t="str">
        <f>_xlfn.LET(
_xlpm.result,_xlfn.XLOOKUP($B465,Result_Database!$A$2:$A$500,Result_Database!$B$2:$B$500),
_xlfn.IFNA(_xlpm.result,"")
)</f>
        <v/>
      </c>
      <c r="D465" t="str">
        <f>_xlfn.LET(
  _xlpm.result, _xlfn.XLOOKUP($B465, Result_Database!$A$2:$A$500, Result_Database!C$2:C$500),
  _xlfn.IFNA(_xlpm.result, "")
)</f>
        <v/>
      </c>
      <c r="E465" t="str">
        <f>_xlfn.LET(
  _xlpm.result, _xlfn.XLOOKUP($B465, Result_Database!$A$2:$A$500, Result_Database!D$2:D$500),
  _xlfn.IFNA(_xlpm.result, "")
)</f>
        <v/>
      </c>
      <c r="F465" t="str">
        <f>_xlfn.LET(
  _xlpm.result, _xlfn.XLOOKUP($B465, Result_Database!$A$2:$A$500, Result_Database!E$2:E$500),
  _xlfn.IFNA(_xlpm.result, "")
)</f>
        <v/>
      </c>
      <c r="G465" t="str">
        <f>_xlfn.LET(
  _xlpm.result, _xlfn.XLOOKUP($B465, Result_Database!$A$2:$A$500, Result_Database!F$2:F$500),
  _xlfn.IFNA(_xlpm.result, "")
)</f>
        <v/>
      </c>
      <c r="H465" t="str">
        <f>_xlfn.LET(
  _xlpm.result, _xlfn.XLOOKUP($B465, Result_Database!$A$2:$A$500, Result_Database!G$2:G$500),
  _xlfn.IFNA(_xlpm.result, "")
)</f>
        <v/>
      </c>
      <c r="I465" t="str">
        <f>_xlfn.LET(
  _xlpm.result, _xlfn.XLOOKUP($B465, Result_Database!$A$2:$A$500, Result_Database!H$2:H$500),
  _xlfn.IFNA(_xlpm.result, "")
)</f>
        <v/>
      </c>
      <c r="J465" t="str">
        <f>_xlfn.LET(
  _xlpm.result, _xlfn.XLOOKUP($B465, Result_Database!$A$2:$A$500, Result_Database!I$2:I$500),
  _xlfn.IFNA(_xlpm.result, "")
)</f>
        <v/>
      </c>
      <c r="K465" t="str">
        <f>_xlfn.LET(
  _xlpm.result, _xlfn.XLOOKUP($B465, Result_Database!$A$2:$A$500, Result_Database!J$2:J$500),
  _xlfn.IFNA(_xlpm.result, "")
)</f>
        <v/>
      </c>
      <c r="L465" t="str">
        <f>_xlfn.LET(
  _xlpm.result, _xlfn.XLOOKUP($B465, Result_Database!$A$2:$A$500, Result_Database!K$2:K$500),
  _xlfn.IFNA(_xlpm.result, "")
)</f>
        <v/>
      </c>
      <c r="M465" t="str">
        <f>_xlfn.LET(
  _xlpm.result, _xlfn.XLOOKUP($B465, Result_Database!$A$2:$A$500, Result_Database!L$2:L$500),
  _xlfn.IFNA(_xlpm.result, "")
)</f>
        <v/>
      </c>
      <c r="N465" t="str">
        <f>_xlfn.LET(
  _xlpm.result, _xlfn.XLOOKUP($B465, Result_Database!$A$2:$A$500, Result_Database!M$2:M$500),
  _xlfn.IFNA(_xlpm.result, "")
)</f>
        <v/>
      </c>
      <c r="O465" t="str">
        <f>_xlfn.LET(
  _xlpm.result, _xlfn.XLOOKUP($B465, Result_Database!$A$2:$A$500, Result_Database!N$2:N$500),
  _xlfn.IFNA(_xlpm.result, "")
)</f>
        <v/>
      </c>
      <c r="P465" t="str">
        <f>_xlfn.LET(
  _xlpm.result, _xlfn.XLOOKUP($B465, Result_Database!$A$2:$A$500, Result_Database!O$2:O$500),
  _xlfn.IFNA(_xlpm.result, "")
)</f>
        <v/>
      </c>
      <c r="Q465" t="str">
        <f>_xlfn.LET(
  _xlpm.result, _xlfn.XLOOKUP($B465, Result_Database!$A$2:$A$500, Result_Database!P$2:P$500),
  _xlfn.IFNA(_xlpm.result, "")
)</f>
        <v/>
      </c>
      <c r="R465" t="str">
        <f>_xlfn.LET(
  _xlpm.result, _xlfn.XLOOKUP($B465, Result_Database!$A$2:$A$500, Result_Database!Q$2:Q$500),
  _xlfn.IFNA(_xlpm.result, "")
)</f>
        <v/>
      </c>
      <c r="S465" t="str">
        <f>_xlfn.LET(
  _xlpm.result, _xlfn.XLOOKUP($B465, Result_Database!$A$2:$A$500, Result_Database!R$2:R$500),
  _xlfn.IFNA(_xlpm.result, "")
)</f>
        <v/>
      </c>
      <c r="T465" t="str">
        <f>_xlfn.LET(
  _xlpm.result, _xlfn.XLOOKUP($B465, Result_Database!$A$2:$A$500, Result_Database!S$2:S$500),
  _xlfn.IFNA(_xlpm.result, "")
)</f>
        <v/>
      </c>
      <c r="U465" t="str">
        <f>_xlfn.LET(
  _xlpm.result, _xlfn.XLOOKUP($B465, Result_Database!$A$2:$A$500, Result_Database!T$2:T$500),
  _xlfn.IFNA(_xlpm.result, "")
)</f>
        <v/>
      </c>
      <c r="V465" t="str">
        <f>_xlfn.LET(
  _xlpm.result, _xlfn.XLOOKUP($B465, Result_Database!$A$2:$A$500, Result_Database!U$2:U$500),
  _xlfn.IFNA(_xlpm.result, "")
)</f>
        <v/>
      </c>
      <c r="W465" t="str">
        <f>_xlfn.LET(
  _xlpm.result, _xlfn.XLOOKUP($B465, Result_Database!$A$2:$A$500, Result_Database!V$2:V$500),
  _xlfn.IFNA(_xlpm.result, "")
)</f>
        <v/>
      </c>
      <c r="X465" t="str">
        <f>_xlfn.LET(
  _xlpm.result, _xlfn.XLOOKUP($B465, Result_Database!$A$2:$A$500, Result_Database!W$2:W$500),
  _xlfn.IFNA(_xlpm.result, "")
)</f>
        <v/>
      </c>
      <c r="Y465" t="str">
        <f>_xlfn.LET(
  _xlpm.result, _xlfn.XLOOKUP($B465, Result_Database!$A$2:$A$500, Result_Database!X$2:X$500),
  _xlfn.IFNA(_xlpm.result, "")
)</f>
        <v/>
      </c>
      <c r="Z465" t="str">
        <f>_xlfn.LET(
  _xlpm.result, _xlfn.XLOOKUP($B465, Result_Database!$A$2:$A$500, Result_Database!Y$2:Y$500),
  _xlfn.IFNA(_xlpm.result, "")
)</f>
        <v/>
      </c>
      <c r="AA465" t="str">
        <f>_xlfn.LET(
  _xlpm.result, _xlfn.XLOOKUP($B465, Result_Database!$A$2:$A$500, Result_Database!Z$2:Z$500),
  _xlfn.IFNA(_xlpm.result, "")
)</f>
        <v/>
      </c>
      <c r="AB465" t="str">
        <f>_xlfn.LET(
  _xlpm.result, _xlfn.XLOOKUP($B465, Result_Database!$A$2:$A$500, Result_Database!AA$2:AA$500),
  _xlfn.IFNA(_xlpm.result, "")
)</f>
        <v/>
      </c>
      <c r="AC465" t="str">
        <f>_xlfn.LET(
  _xlpm.result, _xlfn.XLOOKUP($B465, Result_Database!$A$2:$A$500, Result_Database!AB$2:AB$500),
  _xlfn.IFNA(_xlpm.result, "")
)</f>
        <v/>
      </c>
      <c r="AD465" t="str">
        <f>_xlfn.LET(
  _xlpm.result, _xlfn.XLOOKUP($B465, Result_Database!$A$2:$A$500, Result_Database!AC$2:AC$500),
  _xlfn.IFNA(_xlpm.result, "")
)</f>
        <v/>
      </c>
      <c r="AE465" t="str">
        <f>_xlfn.LET(
  _xlpm.result, _xlfn.XLOOKUP($B465, Result_Database!$A$2:$A$500, Result_Database!AD$2:AD$500),
  _xlfn.IFNA(_xlpm.result, "")
)</f>
        <v/>
      </c>
      <c r="AF465" t="str">
        <f>_xlfn.LET(
  _xlpm.result, _xlfn.XLOOKUP($B465, Result_Database!$A$2:$A$500, Result_Database!AE$2:AE$500),
  _xlfn.IFNA(_xlpm.result, "")
)</f>
        <v/>
      </c>
      <c r="AG465" t="str">
        <f>_xlfn.LET(
  _xlpm.result, _xlfn.XLOOKUP($B465, Result_Database!$A$2:$A$500, Result_Database!AF$2:AF$500),
  _xlfn.IFNA(_xlpm.result, "")
)</f>
        <v/>
      </c>
      <c r="AH465" t="str">
        <f>_xlfn.LET(
  _xlpm.result, _xlfn.XLOOKUP($B465, Result_Database!$A$2:$A$500, Result_Database!AG$2:AG$500),
  _xlfn.IFNA(_xlpm.result, "")
)</f>
        <v/>
      </c>
      <c r="AI465" t="str">
        <f>_xlfn.LET(
  _xlpm.result, _xlfn.XLOOKUP($B465, Result_Database!$A$2:$A$500, Result_Database!AH$2:AH$500),
  _xlfn.IFNA(_xlpm.result, "")
)</f>
        <v/>
      </c>
      <c r="AJ465" t="str">
        <f>_xlfn.LET(
  _xlpm.result, _xlfn.XLOOKUP($B465, Result_Database!$A$2:$A$500, Result_Database!AI$2:AI$500),
  _xlfn.IFNA(_xlpm.result, "")
)</f>
        <v/>
      </c>
      <c r="AK465" t="str">
        <f>_xlfn.LET(
  _xlpm.result, _xlfn.XLOOKUP($B465, Result_Database!$A$2:$A$500, Result_Database!AJ$2:AJ$500),
  _xlfn.IFNA(_xlpm.result, "")
)</f>
        <v/>
      </c>
      <c r="AL465" t="str">
        <f>_xlfn.LET(
  _xlpm.result, _xlfn.XLOOKUP($B465, Result_Database!$A$2:$A$500, Result_Database!AK$2:AK$500),
  _xlfn.IFNA(_xlpm.result, "")
)</f>
        <v/>
      </c>
      <c r="AM46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6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6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6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6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6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6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6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6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65" t="str">
        <f>IF(SUM(Table5[[#This Row],[A1]:[C6]])&lt;&gt;0,SUM(Table5[[#This Row],[A1]:[C6]]),"")</f>
        <v/>
      </c>
      <c r="AW465" t="str">
        <f>IF(SUM(Table5[[#This Row],[D7]:[F9]])=0,"",SUM(Table5[[#This Row],[D7]:[F9]]))</f>
        <v/>
      </c>
      <c r="AX46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6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6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6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6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6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65" t="str">
        <f>IF(COUNTIF(Table5[[#This Row],[English Language]:[Electrical/ Electronics]],"WITHHELD")=0,"",COUNTIF(Table5[[#This Row],[English Language]:[Electrical/ Electronics]],"WITHHELD"))</f>
        <v/>
      </c>
      <c r="BE465" t="str">
        <f>IF(SUM(Table5[[#This Row],[NO OF CREDITS]:[BELOW CREDITS]])=0,"",SUM(Table5[[#This Row],[NO OF CREDITS]:[BELOW CREDITS]]))</f>
        <v/>
      </c>
    </row>
    <row r="466" spans="1:57" x14ac:dyDescent="0.3">
      <c r="A466" t="str">
        <f>IF(B466&lt;&gt;"",COUNTA($B$6:B466),"")</f>
        <v/>
      </c>
      <c r="B466" t="str">
        <f>IF(Result_Database!A462="","",Result_Database!A462)</f>
        <v/>
      </c>
      <c r="C466" t="str">
        <f>_xlfn.LET(
_xlpm.result,_xlfn.XLOOKUP($B466,Result_Database!$A$2:$A$500,Result_Database!$B$2:$B$500),
_xlfn.IFNA(_xlpm.result,"")
)</f>
        <v/>
      </c>
      <c r="D466" t="str">
        <f>_xlfn.LET(
  _xlpm.result, _xlfn.XLOOKUP($B466, Result_Database!$A$2:$A$500, Result_Database!C$2:C$500),
  _xlfn.IFNA(_xlpm.result, "")
)</f>
        <v/>
      </c>
      <c r="E466" t="str">
        <f>_xlfn.LET(
  _xlpm.result, _xlfn.XLOOKUP($B466, Result_Database!$A$2:$A$500, Result_Database!D$2:D$500),
  _xlfn.IFNA(_xlpm.result, "")
)</f>
        <v/>
      </c>
      <c r="F466" t="str">
        <f>_xlfn.LET(
  _xlpm.result, _xlfn.XLOOKUP($B466, Result_Database!$A$2:$A$500, Result_Database!E$2:E$500),
  _xlfn.IFNA(_xlpm.result, "")
)</f>
        <v/>
      </c>
      <c r="G466" t="str">
        <f>_xlfn.LET(
  _xlpm.result, _xlfn.XLOOKUP($B466, Result_Database!$A$2:$A$500, Result_Database!F$2:F$500),
  _xlfn.IFNA(_xlpm.result, "")
)</f>
        <v/>
      </c>
      <c r="H466" t="str">
        <f>_xlfn.LET(
  _xlpm.result, _xlfn.XLOOKUP($B466, Result_Database!$A$2:$A$500, Result_Database!G$2:G$500),
  _xlfn.IFNA(_xlpm.result, "")
)</f>
        <v/>
      </c>
      <c r="I466" t="str">
        <f>_xlfn.LET(
  _xlpm.result, _xlfn.XLOOKUP($B466, Result_Database!$A$2:$A$500, Result_Database!H$2:H$500),
  _xlfn.IFNA(_xlpm.result, "")
)</f>
        <v/>
      </c>
      <c r="J466" t="str">
        <f>_xlfn.LET(
  _xlpm.result, _xlfn.XLOOKUP($B466, Result_Database!$A$2:$A$500, Result_Database!I$2:I$500),
  _xlfn.IFNA(_xlpm.result, "")
)</f>
        <v/>
      </c>
      <c r="K466" t="str">
        <f>_xlfn.LET(
  _xlpm.result, _xlfn.XLOOKUP($B466, Result_Database!$A$2:$A$500, Result_Database!J$2:J$500),
  _xlfn.IFNA(_xlpm.result, "")
)</f>
        <v/>
      </c>
      <c r="L466" t="str">
        <f>_xlfn.LET(
  _xlpm.result, _xlfn.XLOOKUP($B466, Result_Database!$A$2:$A$500, Result_Database!K$2:K$500),
  _xlfn.IFNA(_xlpm.result, "")
)</f>
        <v/>
      </c>
      <c r="M466" t="str">
        <f>_xlfn.LET(
  _xlpm.result, _xlfn.XLOOKUP($B466, Result_Database!$A$2:$A$500, Result_Database!L$2:L$500),
  _xlfn.IFNA(_xlpm.result, "")
)</f>
        <v/>
      </c>
      <c r="N466" t="str">
        <f>_xlfn.LET(
  _xlpm.result, _xlfn.XLOOKUP($B466, Result_Database!$A$2:$A$500, Result_Database!M$2:M$500),
  _xlfn.IFNA(_xlpm.result, "")
)</f>
        <v/>
      </c>
      <c r="O466" t="str">
        <f>_xlfn.LET(
  _xlpm.result, _xlfn.XLOOKUP($B466, Result_Database!$A$2:$A$500, Result_Database!N$2:N$500),
  _xlfn.IFNA(_xlpm.result, "")
)</f>
        <v/>
      </c>
      <c r="P466" t="str">
        <f>_xlfn.LET(
  _xlpm.result, _xlfn.XLOOKUP($B466, Result_Database!$A$2:$A$500, Result_Database!O$2:O$500),
  _xlfn.IFNA(_xlpm.result, "")
)</f>
        <v/>
      </c>
      <c r="Q466" t="str">
        <f>_xlfn.LET(
  _xlpm.result, _xlfn.XLOOKUP($B466, Result_Database!$A$2:$A$500, Result_Database!P$2:P$500),
  _xlfn.IFNA(_xlpm.result, "")
)</f>
        <v/>
      </c>
      <c r="R466" t="str">
        <f>_xlfn.LET(
  _xlpm.result, _xlfn.XLOOKUP($B466, Result_Database!$A$2:$A$500, Result_Database!Q$2:Q$500),
  _xlfn.IFNA(_xlpm.result, "")
)</f>
        <v/>
      </c>
      <c r="S466" t="str">
        <f>_xlfn.LET(
  _xlpm.result, _xlfn.XLOOKUP($B466, Result_Database!$A$2:$A$500, Result_Database!R$2:R$500),
  _xlfn.IFNA(_xlpm.result, "")
)</f>
        <v/>
      </c>
      <c r="T466" t="str">
        <f>_xlfn.LET(
  _xlpm.result, _xlfn.XLOOKUP($B466, Result_Database!$A$2:$A$500, Result_Database!S$2:S$500),
  _xlfn.IFNA(_xlpm.result, "")
)</f>
        <v/>
      </c>
      <c r="U466" t="str">
        <f>_xlfn.LET(
  _xlpm.result, _xlfn.XLOOKUP($B466, Result_Database!$A$2:$A$500, Result_Database!T$2:T$500),
  _xlfn.IFNA(_xlpm.result, "")
)</f>
        <v/>
      </c>
      <c r="V466" t="str">
        <f>_xlfn.LET(
  _xlpm.result, _xlfn.XLOOKUP($B466, Result_Database!$A$2:$A$500, Result_Database!U$2:U$500),
  _xlfn.IFNA(_xlpm.result, "")
)</f>
        <v/>
      </c>
      <c r="W466" t="str">
        <f>_xlfn.LET(
  _xlpm.result, _xlfn.XLOOKUP($B466, Result_Database!$A$2:$A$500, Result_Database!V$2:V$500),
  _xlfn.IFNA(_xlpm.result, "")
)</f>
        <v/>
      </c>
      <c r="X466" t="str">
        <f>_xlfn.LET(
  _xlpm.result, _xlfn.XLOOKUP($B466, Result_Database!$A$2:$A$500, Result_Database!W$2:W$500),
  _xlfn.IFNA(_xlpm.result, "")
)</f>
        <v/>
      </c>
      <c r="Y466" t="str">
        <f>_xlfn.LET(
  _xlpm.result, _xlfn.XLOOKUP($B466, Result_Database!$A$2:$A$500, Result_Database!X$2:X$500),
  _xlfn.IFNA(_xlpm.result, "")
)</f>
        <v/>
      </c>
      <c r="Z466" t="str">
        <f>_xlfn.LET(
  _xlpm.result, _xlfn.XLOOKUP($B466, Result_Database!$A$2:$A$500, Result_Database!Y$2:Y$500),
  _xlfn.IFNA(_xlpm.result, "")
)</f>
        <v/>
      </c>
      <c r="AA466" t="str">
        <f>_xlfn.LET(
  _xlpm.result, _xlfn.XLOOKUP($B466, Result_Database!$A$2:$A$500, Result_Database!Z$2:Z$500),
  _xlfn.IFNA(_xlpm.result, "")
)</f>
        <v/>
      </c>
      <c r="AB466" t="str">
        <f>_xlfn.LET(
  _xlpm.result, _xlfn.XLOOKUP($B466, Result_Database!$A$2:$A$500, Result_Database!AA$2:AA$500),
  _xlfn.IFNA(_xlpm.result, "")
)</f>
        <v/>
      </c>
      <c r="AC466" t="str">
        <f>_xlfn.LET(
  _xlpm.result, _xlfn.XLOOKUP($B466, Result_Database!$A$2:$A$500, Result_Database!AB$2:AB$500),
  _xlfn.IFNA(_xlpm.result, "")
)</f>
        <v/>
      </c>
      <c r="AD466" t="str">
        <f>_xlfn.LET(
  _xlpm.result, _xlfn.XLOOKUP($B466, Result_Database!$A$2:$A$500, Result_Database!AC$2:AC$500),
  _xlfn.IFNA(_xlpm.result, "")
)</f>
        <v/>
      </c>
      <c r="AE466" t="str">
        <f>_xlfn.LET(
  _xlpm.result, _xlfn.XLOOKUP($B466, Result_Database!$A$2:$A$500, Result_Database!AD$2:AD$500),
  _xlfn.IFNA(_xlpm.result, "")
)</f>
        <v/>
      </c>
      <c r="AF466" t="str">
        <f>_xlfn.LET(
  _xlpm.result, _xlfn.XLOOKUP($B466, Result_Database!$A$2:$A$500, Result_Database!AE$2:AE$500),
  _xlfn.IFNA(_xlpm.result, "")
)</f>
        <v/>
      </c>
      <c r="AG466" t="str">
        <f>_xlfn.LET(
  _xlpm.result, _xlfn.XLOOKUP($B466, Result_Database!$A$2:$A$500, Result_Database!AF$2:AF$500),
  _xlfn.IFNA(_xlpm.result, "")
)</f>
        <v/>
      </c>
      <c r="AH466" t="str">
        <f>_xlfn.LET(
  _xlpm.result, _xlfn.XLOOKUP($B466, Result_Database!$A$2:$A$500, Result_Database!AG$2:AG$500),
  _xlfn.IFNA(_xlpm.result, "")
)</f>
        <v/>
      </c>
      <c r="AI466" t="str">
        <f>_xlfn.LET(
  _xlpm.result, _xlfn.XLOOKUP($B466, Result_Database!$A$2:$A$500, Result_Database!AH$2:AH$500),
  _xlfn.IFNA(_xlpm.result, "")
)</f>
        <v/>
      </c>
      <c r="AJ466" t="str">
        <f>_xlfn.LET(
  _xlpm.result, _xlfn.XLOOKUP($B466, Result_Database!$A$2:$A$500, Result_Database!AI$2:AI$500),
  _xlfn.IFNA(_xlpm.result, "")
)</f>
        <v/>
      </c>
      <c r="AK466" t="str">
        <f>_xlfn.LET(
  _xlpm.result, _xlfn.XLOOKUP($B466, Result_Database!$A$2:$A$500, Result_Database!AJ$2:AJ$500),
  _xlfn.IFNA(_xlpm.result, "")
)</f>
        <v/>
      </c>
      <c r="AL466" t="str">
        <f>_xlfn.LET(
  _xlpm.result, _xlfn.XLOOKUP($B466, Result_Database!$A$2:$A$500, Result_Database!AK$2:AK$500),
  _xlfn.IFNA(_xlpm.result, "")
)</f>
        <v/>
      </c>
      <c r="AM46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6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6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6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6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6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6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6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6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66" t="str">
        <f>IF(SUM(Table5[[#This Row],[A1]:[C6]])&lt;&gt;0,SUM(Table5[[#This Row],[A1]:[C6]]),"")</f>
        <v/>
      </c>
      <c r="AW466" t="str">
        <f>IF(SUM(Table5[[#This Row],[D7]:[F9]])=0,"",SUM(Table5[[#This Row],[D7]:[F9]]))</f>
        <v/>
      </c>
      <c r="AX46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6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6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6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6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6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66" t="str">
        <f>IF(COUNTIF(Table5[[#This Row],[English Language]:[Electrical/ Electronics]],"WITHHELD")=0,"",COUNTIF(Table5[[#This Row],[English Language]:[Electrical/ Electronics]],"WITHHELD"))</f>
        <v/>
      </c>
      <c r="BE466" t="str">
        <f>IF(SUM(Table5[[#This Row],[NO OF CREDITS]:[BELOW CREDITS]])=0,"",SUM(Table5[[#This Row],[NO OF CREDITS]:[BELOW CREDITS]]))</f>
        <v/>
      </c>
    </row>
    <row r="467" spans="1:57" x14ac:dyDescent="0.3">
      <c r="A467" t="str">
        <f>IF(B467&lt;&gt;"",COUNTA($B$6:B467),"")</f>
        <v/>
      </c>
      <c r="B467" t="str">
        <f>IF(Result_Database!A463="","",Result_Database!A463)</f>
        <v/>
      </c>
      <c r="C467" t="str">
        <f>_xlfn.LET(
_xlpm.result,_xlfn.XLOOKUP($B467,Result_Database!$A$2:$A$500,Result_Database!$B$2:$B$500),
_xlfn.IFNA(_xlpm.result,"")
)</f>
        <v/>
      </c>
      <c r="D467" t="str">
        <f>_xlfn.LET(
  _xlpm.result, _xlfn.XLOOKUP($B467, Result_Database!$A$2:$A$500, Result_Database!C$2:C$500),
  _xlfn.IFNA(_xlpm.result, "")
)</f>
        <v/>
      </c>
      <c r="E467" t="str">
        <f>_xlfn.LET(
  _xlpm.result, _xlfn.XLOOKUP($B467, Result_Database!$A$2:$A$500, Result_Database!D$2:D$500),
  _xlfn.IFNA(_xlpm.result, "")
)</f>
        <v/>
      </c>
      <c r="F467" t="str">
        <f>_xlfn.LET(
  _xlpm.result, _xlfn.XLOOKUP($B467, Result_Database!$A$2:$A$500, Result_Database!E$2:E$500),
  _xlfn.IFNA(_xlpm.result, "")
)</f>
        <v/>
      </c>
      <c r="G467" t="str">
        <f>_xlfn.LET(
  _xlpm.result, _xlfn.XLOOKUP($B467, Result_Database!$A$2:$A$500, Result_Database!F$2:F$500),
  _xlfn.IFNA(_xlpm.result, "")
)</f>
        <v/>
      </c>
      <c r="H467" t="str">
        <f>_xlfn.LET(
  _xlpm.result, _xlfn.XLOOKUP($B467, Result_Database!$A$2:$A$500, Result_Database!G$2:G$500),
  _xlfn.IFNA(_xlpm.result, "")
)</f>
        <v/>
      </c>
      <c r="I467" t="str">
        <f>_xlfn.LET(
  _xlpm.result, _xlfn.XLOOKUP($B467, Result_Database!$A$2:$A$500, Result_Database!H$2:H$500),
  _xlfn.IFNA(_xlpm.result, "")
)</f>
        <v/>
      </c>
      <c r="J467" t="str">
        <f>_xlfn.LET(
  _xlpm.result, _xlfn.XLOOKUP($B467, Result_Database!$A$2:$A$500, Result_Database!I$2:I$500),
  _xlfn.IFNA(_xlpm.result, "")
)</f>
        <v/>
      </c>
      <c r="K467" t="str">
        <f>_xlfn.LET(
  _xlpm.result, _xlfn.XLOOKUP($B467, Result_Database!$A$2:$A$500, Result_Database!J$2:J$500),
  _xlfn.IFNA(_xlpm.result, "")
)</f>
        <v/>
      </c>
      <c r="L467" t="str">
        <f>_xlfn.LET(
  _xlpm.result, _xlfn.XLOOKUP($B467, Result_Database!$A$2:$A$500, Result_Database!K$2:K$500),
  _xlfn.IFNA(_xlpm.result, "")
)</f>
        <v/>
      </c>
      <c r="M467" t="str">
        <f>_xlfn.LET(
  _xlpm.result, _xlfn.XLOOKUP($B467, Result_Database!$A$2:$A$500, Result_Database!L$2:L$500),
  _xlfn.IFNA(_xlpm.result, "")
)</f>
        <v/>
      </c>
      <c r="N467" t="str">
        <f>_xlfn.LET(
  _xlpm.result, _xlfn.XLOOKUP($B467, Result_Database!$A$2:$A$500, Result_Database!M$2:M$500),
  _xlfn.IFNA(_xlpm.result, "")
)</f>
        <v/>
      </c>
      <c r="O467" t="str">
        <f>_xlfn.LET(
  _xlpm.result, _xlfn.XLOOKUP($B467, Result_Database!$A$2:$A$500, Result_Database!N$2:N$500),
  _xlfn.IFNA(_xlpm.result, "")
)</f>
        <v/>
      </c>
      <c r="P467" t="str">
        <f>_xlfn.LET(
  _xlpm.result, _xlfn.XLOOKUP($B467, Result_Database!$A$2:$A$500, Result_Database!O$2:O$500),
  _xlfn.IFNA(_xlpm.result, "")
)</f>
        <v/>
      </c>
      <c r="Q467" t="str">
        <f>_xlfn.LET(
  _xlpm.result, _xlfn.XLOOKUP($B467, Result_Database!$A$2:$A$500, Result_Database!P$2:P$500),
  _xlfn.IFNA(_xlpm.result, "")
)</f>
        <v/>
      </c>
      <c r="R467" t="str">
        <f>_xlfn.LET(
  _xlpm.result, _xlfn.XLOOKUP($B467, Result_Database!$A$2:$A$500, Result_Database!Q$2:Q$500),
  _xlfn.IFNA(_xlpm.result, "")
)</f>
        <v/>
      </c>
      <c r="S467" t="str">
        <f>_xlfn.LET(
  _xlpm.result, _xlfn.XLOOKUP($B467, Result_Database!$A$2:$A$500, Result_Database!R$2:R$500),
  _xlfn.IFNA(_xlpm.result, "")
)</f>
        <v/>
      </c>
      <c r="T467" t="str">
        <f>_xlfn.LET(
  _xlpm.result, _xlfn.XLOOKUP($B467, Result_Database!$A$2:$A$500, Result_Database!S$2:S$500),
  _xlfn.IFNA(_xlpm.result, "")
)</f>
        <v/>
      </c>
      <c r="U467" t="str">
        <f>_xlfn.LET(
  _xlpm.result, _xlfn.XLOOKUP($B467, Result_Database!$A$2:$A$500, Result_Database!T$2:T$500),
  _xlfn.IFNA(_xlpm.result, "")
)</f>
        <v/>
      </c>
      <c r="V467" t="str">
        <f>_xlfn.LET(
  _xlpm.result, _xlfn.XLOOKUP($B467, Result_Database!$A$2:$A$500, Result_Database!U$2:U$500),
  _xlfn.IFNA(_xlpm.result, "")
)</f>
        <v/>
      </c>
      <c r="W467" t="str">
        <f>_xlfn.LET(
  _xlpm.result, _xlfn.XLOOKUP($B467, Result_Database!$A$2:$A$500, Result_Database!V$2:V$500),
  _xlfn.IFNA(_xlpm.result, "")
)</f>
        <v/>
      </c>
      <c r="X467" t="str">
        <f>_xlfn.LET(
  _xlpm.result, _xlfn.XLOOKUP($B467, Result_Database!$A$2:$A$500, Result_Database!W$2:W$500),
  _xlfn.IFNA(_xlpm.result, "")
)</f>
        <v/>
      </c>
      <c r="Y467" t="str">
        <f>_xlfn.LET(
  _xlpm.result, _xlfn.XLOOKUP($B467, Result_Database!$A$2:$A$500, Result_Database!X$2:X$500),
  _xlfn.IFNA(_xlpm.result, "")
)</f>
        <v/>
      </c>
      <c r="Z467" t="str">
        <f>_xlfn.LET(
  _xlpm.result, _xlfn.XLOOKUP($B467, Result_Database!$A$2:$A$500, Result_Database!Y$2:Y$500),
  _xlfn.IFNA(_xlpm.result, "")
)</f>
        <v/>
      </c>
      <c r="AA467" t="str">
        <f>_xlfn.LET(
  _xlpm.result, _xlfn.XLOOKUP($B467, Result_Database!$A$2:$A$500, Result_Database!Z$2:Z$500),
  _xlfn.IFNA(_xlpm.result, "")
)</f>
        <v/>
      </c>
      <c r="AB467" t="str">
        <f>_xlfn.LET(
  _xlpm.result, _xlfn.XLOOKUP($B467, Result_Database!$A$2:$A$500, Result_Database!AA$2:AA$500),
  _xlfn.IFNA(_xlpm.result, "")
)</f>
        <v/>
      </c>
      <c r="AC467" t="str">
        <f>_xlfn.LET(
  _xlpm.result, _xlfn.XLOOKUP($B467, Result_Database!$A$2:$A$500, Result_Database!AB$2:AB$500),
  _xlfn.IFNA(_xlpm.result, "")
)</f>
        <v/>
      </c>
      <c r="AD467" t="str">
        <f>_xlfn.LET(
  _xlpm.result, _xlfn.XLOOKUP($B467, Result_Database!$A$2:$A$500, Result_Database!AC$2:AC$500),
  _xlfn.IFNA(_xlpm.result, "")
)</f>
        <v/>
      </c>
      <c r="AE467" t="str">
        <f>_xlfn.LET(
  _xlpm.result, _xlfn.XLOOKUP($B467, Result_Database!$A$2:$A$500, Result_Database!AD$2:AD$500),
  _xlfn.IFNA(_xlpm.result, "")
)</f>
        <v/>
      </c>
      <c r="AF467" t="str">
        <f>_xlfn.LET(
  _xlpm.result, _xlfn.XLOOKUP($B467, Result_Database!$A$2:$A$500, Result_Database!AE$2:AE$500),
  _xlfn.IFNA(_xlpm.result, "")
)</f>
        <v/>
      </c>
      <c r="AG467" t="str">
        <f>_xlfn.LET(
  _xlpm.result, _xlfn.XLOOKUP($B467, Result_Database!$A$2:$A$500, Result_Database!AF$2:AF$500),
  _xlfn.IFNA(_xlpm.result, "")
)</f>
        <v/>
      </c>
      <c r="AH467" t="str">
        <f>_xlfn.LET(
  _xlpm.result, _xlfn.XLOOKUP($B467, Result_Database!$A$2:$A$500, Result_Database!AG$2:AG$500),
  _xlfn.IFNA(_xlpm.result, "")
)</f>
        <v/>
      </c>
      <c r="AI467" t="str">
        <f>_xlfn.LET(
  _xlpm.result, _xlfn.XLOOKUP($B467, Result_Database!$A$2:$A$500, Result_Database!AH$2:AH$500),
  _xlfn.IFNA(_xlpm.result, "")
)</f>
        <v/>
      </c>
      <c r="AJ467" t="str">
        <f>_xlfn.LET(
  _xlpm.result, _xlfn.XLOOKUP($B467, Result_Database!$A$2:$A$500, Result_Database!AI$2:AI$500),
  _xlfn.IFNA(_xlpm.result, "")
)</f>
        <v/>
      </c>
      <c r="AK467" t="str">
        <f>_xlfn.LET(
  _xlpm.result, _xlfn.XLOOKUP($B467, Result_Database!$A$2:$A$500, Result_Database!AJ$2:AJ$500),
  _xlfn.IFNA(_xlpm.result, "")
)</f>
        <v/>
      </c>
      <c r="AL467" t="str">
        <f>_xlfn.LET(
  _xlpm.result, _xlfn.XLOOKUP($B467, Result_Database!$A$2:$A$500, Result_Database!AK$2:AK$500),
  _xlfn.IFNA(_xlpm.result, "")
)</f>
        <v/>
      </c>
      <c r="AM46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6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6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6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6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6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6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6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6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67" t="str">
        <f>IF(SUM(Table5[[#This Row],[A1]:[C6]])&lt;&gt;0,SUM(Table5[[#This Row],[A1]:[C6]]),"")</f>
        <v/>
      </c>
      <c r="AW467" t="str">
        <f>IF(SUM(Table5[[#This Row],[D7]:[F9]])=0,"",SUM(Table5[[#This Row],[D7]:[F9]]))</f>
        <v/>
      </c>
      <c r="AX46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6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6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6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6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6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67" t="str">
        <f>IF(COUNTIF(Table5[[#This Row],[English Language]:[Electrical/ Electronics]],"WITHHELD")=0,"",COUNTIF(Table5[[#This Row],[English Language]:[Electrical/ Electronics]],"WITHHELD"))</f>
        <v/>
      </c>
      <c r="BE467" t="str">
        <f>IF(SUM(Table5[[#This Row],[NO OF CREDITS]:[BELOW CREDITS]])=0,"",SUM(Table5[[#This Row],[NO OF CREDITS]:[BELOW CREDITS]]))</f>
        <v/>
      </c>
    </row>
    <row r="468" spans="1:57" x14ac:dyDescent="0.3">
      <c r="A468" t="str">
        <f>IF(B468&lt;&gt;"",COUNTA($B$6:B468),"")</f>
        <v/>
      </c>
      <c r="B468" t="str">
        <f>IF(Result_Database!A464="","",Result_Database!A464)</f>
        <v/>
      </c>
      <c r="C468" t="str">
        <f>_xlfn.LET(
_xlpm.result,_xlfn.XLOOKUP($B468,Result_Database!$A$2:$A$500,Result_Database!$B$2:$B$500),
_xlfn.IFNA(_xlpm.result,"")
)</f>
        <v/>
      </c>
      <c r="D468" t="str">
        <f>_xlfn.LET(
  _xlpm.result, _xlfn.XLOOKUP($B468, Result_Database!$A$2:$A$500, Result_Database!C$2:C$500),
  _xlfn.IFNA(_xlpm.result, "")
)</f>
        <v/>
      </c>
      <c r="E468" t="str">
        <f>_xlfn.LET(
  _xlpm.result, _xlfn.XLOOKUP($B468, Result_Database!$A$2:$A$500, Result_Database!D$2:D$500),
  _xlfn.IFNA(_xlpm.result, "")
)</f>
        <v/>
      </c>
      <c r="F468" t="str">
        <f>_xlfn.LET(
  _xlpm.result, _xlfn.XLOOKUP($B468, Result_Database!$A$2:$A$500, Result_Database!E$2:E$500),
  _xlfn.IFNA(_xlpm.result, "")
)</f>
        <v/>
      </c>
      <c r="G468" t="str">
        <f>_xlfn.LET(
  _xlpm.result, _xlfn.XLOOKUP($B468, Result_Database!$A$2:$A$500, Result_Database!F$2:F$500),
  _xlfn.IFNA(_xlpm.result, "")
)</f>
        <v/>
      </c>
      <c r="H468" t="str">
        <f>_xlfn.LET(
  _xlpm.result, _xlfn.XLOOKUP($B468, Result_Database!$A$2:$A$500, Result_Database!G$2:G$500),
  _xlfn.IFNA(_xlpm.result, "")
)</f>
        <v/>
      </c>
      <c r="I468" t="str">
        <f>_xlfn.LET(
  _xlpm.result, _xlfn.XLOOKUP($B468, Result_Database!$A$2:$A$500, Result_Database!H$2:H$500),
  _xlfn.IFNA(_xlpm.result, "")
)</f>
        <v/>
      </c>
      <c r="J468" t="str">
        <f>_xlfn.LET(
  _xlpm.result, _xlfn.XLOOKUP($B468, Result_Database!$A$2:$A$500, Result_Database!I$2:I$500),
  _xlfn.IFNA(_xlpm.result, "")
)</f>
        <v/>
      </c>
      <c r="K468" t="str">
        <f>_xlfn.LET(
  _xlpm.result, _xlfn.XLOOKUP($B468, Result_Database!$A$2:$A$500, Result_Database!J$2:J$500),
  _xlfn.IFNA(_xlpm.result, "")
)</f>
        <v/>
      </c>
      <c r="L468" t="str">
        <f>_xlfn.LET(
  _xlpm.result, _xlfn.XLOOKUP($B468, Result_Database!$A$2:$A$500, Result_Database!K$2:K$500),
  _xlfn.IFNA(_xlpm.result, "")
)</f>
        <v/>
      </c>
      <c r="M468" t="str">
        <f>_xlfn.LET(
  _xlpm.result, _xlfn.XLOOKUP($B468, Result_Database!$A$2:$A$500, Result_Database!L$2:L$500),
  _xlfn.IFNA(_xlpm.result, "")
)</f>
        <v/>
      </c>
      <c r="N468" t="str">
        <f>_xlfn.LET(
  _xlpm.result, _xlfn.XLOOKUP($B468, Result_Database!$A$2:$A$500, Result_Database!M$2:M$500),
  _xlfn.IFNA(_xlpm.result, "")
)</f>
        <v/>
      </c>
      <c r="O468" t="str">
        <f>_xlfn.LET(
  _xlpm.result, _xlfn.XLOOKUP($B468, Result_Database!$A$2:$A$500, Result_Database!N$2:N$500),
  _xlfn.IFNA(_xlpm.result, "")
)</f>
        <v/>
      </c>
      <c r="P468" t="str">
        <f>_xlfn.LET(
  _xlpm.result, _xlfn.XLOOKUP($B468, Result_Database!$A$2:$A$500, Result_Database!O$2:O$500),
  _xlfn.IFNA(_xlpm.result, "")
)</f>
        <v/>
      </c>
      <c r="Q468" t="str">
        <f>_xlfn.LET(
  _xlpm.result, _xlfn.XLOOKUP($B468, Result_Database!$A$2:$A$500, Result_Database!P$2:P$500),
  _xlfn.IFNA(_xlpm.result, "")
)</f>
        <v/>
      </c>
      <c r="R468" t="str">
        <f>_xlfn.LET(
  _xlpm.result, _xlfn.XLOOKUP($B468, Result_Database!$A$2:$A$500, Result_Database!Q$2:Q$500),
  _xlfn.IFNA(_xlpm.result, "")
)</f>
        <v/>
      </c>
      <c r="S468" t="str">
        <f>_xlfn.LET(
  _xlpm.result, _xlfn.XLOOKUP($B468, Result_Database!$A$2:$A$500, Result_Database!R$2:R$500),
  _xlfn.IFNA(_xlpm.result, "")
)</f>
        <v/>
      </c>
      <c r="T468" t="str">
        <f>_xlfn.LET(
  _xlpm.result, _xlfn.XLOOKUP($B468, Result_Database!$A$2:$A$500, Result_Database!S$2:S$500),
  _xlfn.IFNA(_xlpm.result, "")
)</f>
        <v/>
      </c>
      <c r="U468" t="str">
        <f>_xlfn.LET(
  _xlpm.result, _xlfn.XLOOKUP($B468, Result_Database!$A$2:$A$500, Result_Database!T$2:T$500),
  _xlfn.IFNA(_xlpm.result, "")
)</f>
        <v/>
      </c>
      <c r="V468" t="str">
        <f>_xlfn.LET(
  _xlpm.result, _xlfn.XLOOKUP($B468, Result_Database!$A$2:$A$500, Result_Database!U$2:U$500),
  _xlfn.IFNA(_xlpm.result, "")
)</f>
        <v/>
      </c>
      <c r="W468" t="str">
        <f>_xlfn.LET(
  _xlpm.result, _xlfn.XLOOKUP($B468, Result_Database!$A$2:$A$500, Result_Database!V$2:V$500),
  _xlfn.IFNA(_xlpm.result, "")
)</f>
        <v/>
      </c>
      <c r="X468" t="str">
        <f>_xlfn.LET(
  _xlpm.result, _xlfn.XLOOKUP($B468, Result_Database!$A$2:$A$500, Result_Database!W$2:W$500),
  _xlfn.IFNA(_xlpm.result, "")
)</f>
        <v/>
      </c>
      <c r="Y468" t="str">
        <f>_xlfn.LET(
  _xlpm.result, _xlfn.XLOOKUP($B468, Result_Database!$A$2:$A$500, Result_Database!X$2:X$500),
  _xlfn.IFNA(_xlpm.result, "")
)</f>
        <v/>
      </c>
      <c r="Z468" t="str">
        <f>_xlfn.LET(
  _xlpm.result, _xlfn.XLOOKUP($B468, Result_Database!$A$2:$A$500, Result_Database!Y$2:Y$500),
  _xlfn.IFNA(_xlpm.result, "")
)</f>
        <v/>
      </c>
      <c r="AA468" t="str">
        <f>_xlfn.LET(
  _xlpm.result, _xlfn.XLOOKUP($B468, Result_Database!$A$2:$A$500, Result_Database!Z$2:Z$500),
  _xlfn.IFNA(_xlpm.result, "")
)</f>
        <v/>
      </c>
      <c r="AB468" t="str">
        <f>_xlfn.LET(
  _xlpm.result, _xlfn.XLOOKUP($B468, Result_Database!$A$2:$A$500, Result_Database!AA$2:AA$500),
  _xlfn.IFNA(_xlpm.result, "")
)</f>
        <v/>
      </c>
      <c r="AC468" t="str">
        <f>_xlfn.LET(
  _xlpm.result, _xlfn.XLOOKUP($B468, Result_Database!$A$2:$A$500, Result_Database!AB$2:AB$500),
  _xlfn.IFNA(_xlpm.result, "")
)</f>
        <v/>
      </c>
      <c r="AD468" t="str">
        <f>_xlfn.LET(
  _xlpm.result, _xlfn.XLOOKUP($B468, Result_Database!$A$2:$A$500, Result_Database!AC$2:AC$500),
  _xlfn.IFNA(_xlpm.result, "")
)</f>
        <v/>
      </c>
      <c r="AE468" t="str">
        <f>_xlfn.LET(
  _xlpm.result, _xlfn.XLOOKUP($B468, Result_Database!$A$2:$A$500, Result_Database!AD$2:AD$500),
  _xlfn.IFNA(_xlpm.result, "")
)</f>
        <v/>
      </c>
      <c r="AF468" t="str">
        <f>_xlfn.LET(
  _xlpm.result, _xlfn.XLOOKUP($B468, Result_Database!$A$2:$A$500, Result_Database!AE$2:AE$500),
  _xlfn.IFNA(_xlpm.result, "")
)</f>
        <v/>
      </c>
      <c r="AG468" t="str">
        <f>_xlfn.LET(
  _xlpm.result, _xlfn.XLOOKUP($B468, Result_Database!$A$2:$A$500, Result_Database!AF$2:AF$500),
  _xlfn.IFNA(_xlpm.result, "")
)</f>
        <v/>
      </c>
      <c r="AH468" t="str">
        <f>_xlfn.LET(
  _xlpm.result, _xlfn.XLOOKUP($B468, Result_Database!$A$2:$A$500, Result_Database!AG$2:AG$500),
  _xlfn.IFNA(_xlpm.result, "")
)</f>
        <v/>
      </c>
      <c r="AI468" t="str">
        <f>_xlfn.LET(
  _xlpm.result, _xlfn.XLOOKUP($B468, Result_Database!$A$2:$A$500, Result_Database!AH$2:AH$500),
  _xlfn.IFNA(_xlpm.result, "")
)</f>
        <v/>
      </c>
      <c r="AJ468" t="str">
        <f>_xlfn.LET(
  _xlpm.result, _xlfn.XLOOKUP($B468, Result_Database!$A$2:$A$500, Result_Database!AI$2:AI$500),
  _xlfn.IFNA(_xlpm.result, "")
)</f>
        <v/>
      </c>
      <c r="AK468" t="str">
        <f>_xlfn.LET(
  _xlpm.result, _xlfn.XLOOKUP($B468, Result_Database!$A$2:$A$500, Result_Database!AJ$2:AJ$500),
  _xlfn.IFNA(_xlpm.result, "")
)</f>
        <v/>
      </c>
      <c r="AL468" t="str">
        <f>_xlfn.LET(
  _xlpm.result, _xlfn.XLOOKUP($B468, Result_Database!$A$2:$A$500, Result_Database!AK$2:AK$500),
  _xlfn.IFNA(_xlpm.result, "")
)</f>
        <v/>
      </c>
      <c r="AM46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6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6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6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6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6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6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6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6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68" t="str">
        <f>IF(SUM(Table5[[#This Row],[A1]:[C6]])&lt;&gt;0,SUM(Table5[[#This Row],[A1]:[C6]]),"")</f>
        <v/>
      </c>
      <c r="AW468" t="str">
        <f>IF(SUM(Table5[[#This Row],[D7]:[F9]])=0,"",SUM(Table5[[#This Row],[D7]:[F9]]))</f>
        <v/>
      </c>
      <c r="AX46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6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6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6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6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6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68" t="str">
        <f>IF(COUNTIF(Table5[[#This Row],[English Language]:[Electrical/ Electronics]],"WITHHELD")=0,"",COUNTIF(Table5[[#This Row],[English Language]:[Electrical/ Electronics]],"WITHHELD"))</f>
        <v/>
      </c>
      <c r="BE468" t="str">
        <f>IF(SUM(Table5[[#This Row],[NO OF CREDITS]:[BELOW CREDITS]])=0,"",SUM(Table5[[#This Row],[NO OF CREDITS]:[BELOW CREDITS]]))</f>
        <v/>
      </c>
    </row>
    <row r="469" spans="1:57" x14ac:dyDescent="0.3">
      <c r="A469" t="str">
        <f>IF(B469&lt;&gt;"",COUNTA($B$6:B469),"")</f>
        <v/>
      </c>
      <c r="B469" t="str">
        <f>IF(Result_Database!A465="","",Result_Database!A465)</f>
        <v/>
      </c>
      <c r="C469" t="str">
        <f>_xlfn.LET(
_xlpm.result,_xlfn.XLOOKUP($B469,Result_Database!$A$2:$A$500,Result_Database!$B$2:$B$500),
_xlfn.IFNA(_xlpm.result,"")
)</f>
        <v/>
      </c>
      <c r="D469" t="str">
        <f>_xlfn.LET(
  _xlpm.result, _xlfn.XLOOKUP($B469, Result_Database!$A$2:$A$500, Result_Database!C$2:C$500),
  _xlfn.IFNA(_xlpm.result, "")
)</f>
        <v/>
      </c>
      <c r="E469" t="str">
        <f>_xlfn.LET(
  _xlpm.result, _xlfn.XLOOKUP($B469, Result_Database!$A$2:$A$500, Result_Database!D$2:D$500),
  _xlfn.IFNA(_xlpm.result, "")
)</f>
        <v/>
      </c>
      <c r="F469" t="str">
        <f>_xlfn.LET(
  _xlpm.result, _xlfn.XLOOKUP($B469, Result_Database!$A$2:$A$500, Result_Database!E$2:E$500),
  _xlfn.IFNA(_xlpm.result, "")
)</f>
        <v/>
      </c>
      <c r="G469" t="str">
        <f>_xlfn.LET(
  _xlpm.result, _xlfn.XLOOKUP($B469, Result_Database!$A$2:$A$500, Result_Database!F$2:F$500),
  _xlfn.IFNA(_xlpm.result, "")
)</f>
        <v/>
      </c>
      <c r="H469" t="str">
        <f>_xlfn.LET(
  _xlpm.result, _xlfn.XLOOKUP($B469, Result_Database!$A$2:$A$500, Result_Database!G$2:G$500),
  _xlfn.IFNA(_xlpm.result, "")
)</f>
        <v/>
      </c>
      <c r="I469" t="str">
        <f>_xlfn.LET(
  _xlpm.result, _xlfn.XLOOKUP($B469, Result_Database!$A$2:$A$500, Result_Database!H$2:H$500),
  _xlfn.IFNA(_xlpm.result, "")
)</f>
        <v/>
      </c>
      <c r="J469" t="str">
        <f>_xlfn.LET(
  _xlpm.result, _xlfn.XLOOKUP($B469, Result_Database!$A$2:$A$500, Result_Database!I$2:I$500),
  _xlfn.IFNA(_xlpm.result, "")
)</f>
        <v/>
      </c>
      <c r="K469" t="str">
        <f>_xlfn.LET(
  _xlpm.result, _xlfn.XLOOKUP($B469, Result_Database!$A$2:$A$500, Result_Database!J$2:J$500),
  _xlfn.IFNA(_xlpm.result, "")
)</f>
        <v/>
      </c>
      <c r="L469" t="str">
        <f>_xlfn.LET(
  _xlpm.result, _xlfn.XLOOKUP($B469, Result_Database!$A$2:$A$500, Result_Database!K$2:K$500),
  _xlfn.IFNA(_xlpm.result, "")
)</f>
        <v/>
      </c>
      <c r="M469" t="str">
        <f>_xlfn.LET(
  _xlpm.result, _xlfn.XLOOKUP($B469, Result_Database!$A$2:$A$500, Result_Database!L$2:L$500),
  _xlfn.IFNA(_xlpm.result, "")
)</f>
        <v/>
      </c>
      <c r="N469" t="str">
        <f>_xlfn.LET(
  _xlpm.result, _xlfn.XLOOKUP($B469, Result_Database!$A$2:$A$500, Result_Database!M$2:M$500),
  _xlfn.IFNA(_xlpm.result, "")
)</f>
        <v/>
      </c>
      <c r="O469" t="str">
        <f>_xlfn.LET(
  _xlpm.result, _xlfn.XLOOKUP($B469, Result_Database!$A$2:$A$500, Result_Database!N$2:N$500),
  _xlfn.IFNA(_xlpm.result, "")
)</f>
        <v/>
      </c>
      <c r="P469" t="str">
        <f>_xlfn.LET(
  _xlpm.result, _xlfn.XLOOKUP($B469, Result_Database!$A$2:$A$500, Result_Database!O$2:O$500),
  _xlfn.IFNA(_xlpm.result, "")
)</f>
        <v/>
      </c>
      <c r="Q469" t="str">
        <f>_xlfn.LET(
  _xlpm.result, _xlfn.XLOOKUP($B469, Result_Database!$A$2:$A$500, Result_Database!P$2:P$500),
  _xlfn.IFNA(_xlpm.result, "")
)</f>
        <v/>
      </c>
      <c r="R469" t="str">
        <f>_xlfn.LET(
  _xlpm.result, _xlfn.XLOOKUP($B469, Result_Database!$A$2:$A$500, Result_Database!Q$2:Q$500),
  _xlfn.IFNA(_xlpm.result, "")
)</f>
        <v/>
      </c>
      <c r="S469" t="str">
        <f>_xlfn.LET(
  _xlpm.result, _xlfn.XLOOKUP($B469, Result_Database!$A$2:$A$500, Result_Database!R$2:R$500),
  _xlfn.IFNA(_xlpm.result, "")
)</f>
        <v/>
      </c>
      <c r="T469" t="str">
        <f>_xlfn.LET(
  _xlpm.result, _xlfn.XLOOKUP($B469, Result_Database!$A$2:$A$500, Result_Database!S$2:S$500),
  _xlfn.IFNA(_xlpm.result, "")
)</f>
        <v/>
      </c>
      <c r="U469" t="str">
        <f>_xlfn.LET(
  _xlpm.result, _xlfn.XLOOKUP($B469, Result_Database!$A$2:$A$500, Result_Database!T$2:T$500),
  _xlfn.IFNA(_xlpm.result, "")
)</f>
        <v/>
      </c>
      <c r="V469" t="str">
        <f>_xlfn.LET(
  _xlpm.result, _xlfn.XLOOKUP($B469, Result_Database!$A$2:$A$500, Result_Database!U$2:U$500),
  _xlfn.IFNA(_xlpm.result, "")
)</f>
        <v/>
      </c>
      <c r="W469" t="str">
        <f>_xlfn.LET(
  _xlpm.result, _xlfn.XLOOKUP($B469, Result_Database!$A$2:$A$500, Result_Database!V$2:V$500),
  _xlfn.IFNA(_xlpm.result, "")
)</f>
        <v/>
      </c>
      <c r="X469" t="str">
        <f>_xlfn.LET(
  _xlpm.result, _xlfn.XLOOKUP($B469, Result_Database!$A$2:$A$500, Result_Database!W$2:W$500),
  _xlfn.IFNA(_xlpm.result, "")
)</f>
        <v/>
      </c>
      <c r="Y469" t="str">
        <f>_xlfn.LET(
  _xlpm.result, _xlfn.XLOOKUP($B469, Result_Database!$A$2:$A$500, Result_Database!X$2:X$500),
  _xlfn.IFNA(_xlpm.result, "")
)</f>
        <v/>
      </c>
      <c r="Z469" t="str">
        <f>_xlfn.LET(
  _xlpm.result, _xlfn.XLOOKUP($B469, Result_Database!$A$2:$A$500, Result_Database!Y$2:Y$500),
  _xlfn.IFNA(_xlpm.result, "")
)</f>
        <v/>
      </c>
      <c r="AA469" t="str">
        <f>_xlfn.LET(
  _xlpm.result, _xlfn.XLOOKUP($B469, Result_Database!$A$2:$A$500, Result_Database!Z$2:Z$500),
  _xlfn.IFNA(_xlpm.result, "")
)</f>
        <v/>
      </c>
      <c r="AB469" t="str">
        <f>_xlfn.LET(
  _xlpm.result, _xlfn.XLOOKUP($B469, Result_Database!$A$2:$A$500, Result_Database!AA$2:AA$500),
  _xlfn.IFNA(_xlpm.result, "")
)</f>
        <v/>
      </c>
      <c r="AC469" t="str">
        <f>_xlfn.LET(
  _xlpm.result, _xlfn.XLOOKUP($B469, Result_Database!$A$2:$A$500, Result_Database!AB$2:AB$500),
  _xlfn.IFNA(_xlpm.result, "")
)</f>
        <v/>
      </c>
      <c r="AD469" t="str">
        <f>_xlfn.LET(
  _xlpm.result, _xlfn.XLOOKUP($B469, Result_Database!$A$2:$A$500, Result_Database!AC$2:AC$500),
  _xlfn.IFNA(_xlpm.result, "")
)</f>
        <v/>
      </c>
      <c r="AE469" t="str">
        <f>_xlfn.LET(
  _xlpm.result, _xlfn.XLOOKUP($B469, Result_Database!$A$2:$A$500, Result_Database!AD$2:AD$500),
  _xlfn.IFNA(_xlpm.result, "")
)</f>
        <v/>
      </c>
      <c r="AF469" t="str">
        <f>_xlfn.LET(
  _xlpm.result, _xlfn.XLOOKUP($B469, Result_Database!$A$2:$A$500, Result_Database!AE$2:AE$500),
  _xlfn.IFNA(_xlpm.result, "")
)</f>
        <v/>
      </c>
      <c r="AG469" t="str">
        <f>_xlfn.LET(
  _xlpm.result, _xlfn.XLOOKUP($B469, Result_Database!$A$2:$A$500, Result_Database!AF$2:AF$500),
  _xlfn.IFNA(_xlpm.result, "")
)</f>
        <v/>
      </c>
      <c r="AH469" t="str">
        <f>_xlfn.LET(
  _xlpm.result, _xlfn.XLOOKUP($B469, Result_Database!$A$2:$A$500, Result_Database!AG$2:AG$500),
  _xlfn.IFNA(_xlpm.result, "")
)</f>
        <v/>
      </c>
      <c r="AI469" t="str">
        <f>_xlfn.LET(
  _xlpm.result, _xlfn.XLOOKUP($B469, Result_Database!$A$2:$A$500, Result_Database!AH$2:AH$500),
  _xlfn.IFNA(_xlpm.result, "")
)</f>
        <v/>
      </c>
      <c r="AJ469" t="str">
        <f>_xlfn.LET(
  _xlpm.result, _xlfn.XLOOKUP($B469, Result_Database!$A$2:$A$500, Result_Database!AI$2:AI$500),
  _xlfn.IFNA(_xlpm.result, "")
)</f>
        <v/>
      </c>
      <c r="AK469" t="str">
        <f>_xlfn.LET(
  _xlpm.result, _xlfn.XLOOKUP($B469, Result_Database!$A$2:$A$500, Result_Database!AJ$2:AJ$500),
  _xlfn.IFNA(_xlpm.result, "")
)</f>
        <v/>
      </c>
      <c r="AL469" t="str">
        <f>_xlfn.LET(
  _xlpm.result, _xlfn.XLOOKUP($B469, Result_Database!$A$2:$A$500, Result_Database!AK$2:AK$500),
  _xlfn.IFNA(_xlpm.result, "")
)</f>
        <v/>
      </c>
      <c r="AM46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6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6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6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6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6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6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6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6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69" t="str">
        <f>IF(SUM(Table5[[#This Row],[A1]:[C6]])&lt;&gt;0,SUM(Table5[[#This Row],[A1]:[C6]]),"")</f>
        <v/>
      </c>
      <c r="AW469" t="str">
        <f>IF(SUM(Table5[[#This Row],[D7]:[F9]])=0,"",SUM(Table5[[#This Row],[D7]:[F9]]))</f>
        <v/>
      </c>
      <c r="AX46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6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6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6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6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6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69" t="str">
        <f>IF(COUNTIF(Table5[[#This Row],[English Language]:[Electrical/ Electronics]],"WITHHELD")=0,"",COUNTIF(Table5[[#This Row],[English Language]:[Electrical/ Electronics]],"WITHHELD"))</f>
        <v/>
      </c>
      <c r="BE469" t="str">
        <f>IF(SUM(Table5[[#This Row],[NO OF CREDITS]:[BELOW CREDITS]])=0,"",SUM(Table5[[#This Row],[NO OF CREDITS]:[BELOW CREDITS]]))</f>
        <v/>
      </c>
    </row>
    <row r="470" spans="1:57" x14ac:dyDescent="0.3">
      <c r="A470" t="str">
        <f>IF(B470&lt;&gt;"",COUNTA($B$6:B470),"")</f>
        <v/>
      </c>
      <c r="B470" t="str">
        <f>IF(Result_Database!A466="","",Result_Database!A466)</f>
        <v/>
      </c>
      <c r="C470" t="str">
        <f>_xlfn.LET(
_xlpm.result,_xlfn.XLOOKUP($B470,Result_Database!$A$2:$A$500,Result_Database!$B$2:$B$500),
_xlfn.IFNA(_xlpm.result,"")
)</f>
        <v/>
      </c>
      <c r="D470" t="str">
        <f>_xlfn.LET(
  _xlpm.result, _xlfn.XLOOKUP($B470, Result_Database!$A$2:$A$500, Result_Database!C$2:C$500),
  _xlfn.IFNA(_xlpm.result, "")
)</f>
        <v/>
      </c>
      <c r="E470" t="str">
        <f>_xlfn.LET(
  _xlpm.result, _xlfn.XLOOKUP($B470, Result_Database!$A$2:$A$500, Result_Database!D$2:D$500),
  _xlfn.IFNA(_xlpm.result, "")
)</f>
        <v/>
      </c>
      <c r="F470" t="str">
        <f>_xlfn.LET(
  _xlpm.result, _xlfn.XLOOKUP($B470, Result_Database!$A$2:$A$500, Result_Database!E$2:E$500),
  _xlfn.IFNA(_xlpm.result, "")
)</f>
        <v/>
      </c>
      <c r="G470" t="str">
        <f>_xlfn.LET(
  _xlpm.result, _xlfn.XLOOKUP($B470, Result_Database!$A$2:$A$500, Result_Database!F$2:F$500),
  _xlfn.IFNA(_xlpm.result, "")
)</f>
        <v/>
      </c>
      <c r="H470" t="str">
        <f>_xlfn.LET(
  _xlpm.result, _xlfn.XLOOKUP($B470, Result_Database!$A$2:$A$500, Result_Database!G$2:G$500),
  _xlfn.IFNA(_xlpm.result, "")
)</f>
        <v/>
      </c>
      <c r="I470" t="str">
        <f>_xlfn.LET(
  _xlpm.result, _xlfn.XLOOKUP($B470, Result_Database!$A$2:$A$500, Result_Database!H$2:H$500),
  _xlfn.IFNA(_xlpm.result, "")
)</f>
        <v/>
      </c>
      <c r="J470" t="str">
        <f>_xlfn.LET(
  _xlpm.result, _xlfn.XLOOKUP($B470, Result_Database!$A$2:$A$500, Result_Database!I$2:I$500),
  _xlfn.IFNA(_xlpm.result, "")
)</f>
        <v/>
      </c>
      <c r="K470" t="str">
        <f>_xlfn.LET(
  _xlpm.result, _xlfn.XLOOKUP($B470, Result_Database!$A$2:$A$500, Result_Database!J$2:J$500),
  _xlfn.IFNA(_xlpm.result, "")
)</f>
        <v/>
      </c>
      <c r="L470" t="str">
        <f>_xlfn.LET(
  _xlpm.result, _xlfn.XLOOKUP($B470, Result_Database!$A$2:$A$500, Result_Database!K$2:K$500),
  _xlfn.IFNA(_xlpm.result, "")
)</f>
        <v/>
      </c>
      <c r="M470" t="str">
        <f>_xlfn.LET(
  _xlpm.result, _xlfn.XLOOKUP($B470, Result_Database!$A$2:$A$500, Result_Database!L$2:L$500),
  _xlfn.IFNA(_xlpm.result, "")
)</f>
        <v/>
      </c>
      <c r="N470" t="str">
        <f>_xlfn.LET(
  _xlpm.result, _xlfn.XLOOKUP($B470, Result_Database!$A$2:$A$500, Result_Database!M$2:M$500),
  _xlfn.IFNA(_xlpm.result, "")
)</f>
        <v/>
      </c>
      <c r="O470" t="str">
        <f>_xlfn.LET(
  _xlpm.result, _xlfn.XLOOKUP($B470, Result_Database!$A$2:$A$500, Result_Database!N$2:N$500),
  _xlfn.IFNA(_xlpm.result, "")
)</f>
        <v/>
      </c>
      <c r="P470" t="str">
        <f>_xlfn.LET(
  _xlpm.result, _xlfn.XLOOKUP($B470, Result_Database!$A$2:$A$500, Result_Database!O$2:O$500),
  _xlfn.IFNA(_xlpm.result, "")
)</f>
        <v/>
      </c>
      <c r="Q470" t="str">
        <f>_xlfn.LET(
  _xlpm.result, _xlfn.XLOOKUP($B470, Result_Database!$A$2:$A$500, Result_Database!P$2:P$500),
  _xlfn.IFNA(_xlpm.result, "")
)</f>
        <v/>
      </c>
      <c r="R470" t="str">
        <f>_xlfn.LET(
  _xlpm.result, _xlfn.XLOOKUP($B470, Result_Database!$A$2:$A$500, Result_Database!Q$2:Q$500),
  _xlfn.IFNA(_xlpm.result, "")
)</f>
        <v/>
      </c>
      <c r="S470" t="str">
        <f>_xlfn.LET(
  _xlpm.result, _xlfn.XLOOKUP($B470, Result_Database!$A$2:$A$500, Result_Database!R$2:R$500),
  _xlfn.IFNA(_xlpm.result, "")
)</f>
        <v/>
      </c>
      <c r="T470" t="str">
        <f>_xlfn.LET(
  _xlpm.result, _xlfn.XLOOKUP($B470, Result_Database!$A$2:$A$500, Result_Database!S$2:S$500),
  _xlfn.IFNA(_xlpm.result, "")
)</f>
        <v/>
      </c>
      <c r="U470" t="str">
        <f>_xlfn.LET(
  _xlpm.result, _xlfn.XLOOKUP($B470, Result_Database!$A$2:$A$500, Result_Database!T$2:T$500),
  _xlfn.IFNA(_xlpm.result, "")
)</f>
        <v/>
      </c>
      <c r="V470" t="str">
        <f>_xlfn.LET(
  _xlpm.result, _xlfn.XLOOKUP($B470, Result_Database!$A$2:$A$500, Result_Database!U$2:U$500),
  _xlfn.IFNA(_xlpm.result, "")
)</f>
        <v/>
      </c>
      <c r="W470" t="str">
        <f>_xlfn.LET(
  _xlpm.result, _xlfn.XLOOKUP($B470, Result_Database!$A$2:$A$500, Result_Database!V$2:V$500),
  _xlfn.IFNA(_xlpm.result, "")
)</f>
        <v/>
      </c>
      <c r="X470" t="str">
        <f>_xlfn.LET(
  _xlpm.result, _xlfn.XLOOKUP($B470, Result_Database!$A$2:$A$500, Result_Database!W$2:W$500),
  _xlfn.IFNA(_xlpm.result, "")
)</f>
        <v/>
      </c>
      <c r="Y470" t="str">
        <f>_xlfn.LET(
  _xlpm.result, _xlfn.XLOOKUP($B470, Result_Database!$A$2:$A$500, Result_Database!X$2:X$500),
  _xlfn.IFNA(_xlpm.result, "")
)</f>
        <v/>
      </c>
      <c r="Z470" t="str">
        <f>_xlfn.LET(
  _xlpm.result, _xlfn.XLOOKUP($B470, Result_Database!$A$2:$A$500, Result_Database!Y$2:Y$500),
  _xlfn.IFNA(_xlpm.result, "")
)</f>
        <v/>
      </c>
      <c r="AA470" t="str">
        <f>_xlfn.LET(
  _xlpm.result, _xlfn.XLOOKUP($B470, Result_Database!$A$2:$A$500, Result_Database!Z$2:Z$500),
  _xlfn.IFNA(_xlpm.result, "")
)</f>
        <v/>
      </c>
      <c r="AB470" t="str">
        <f>_xlfn.LET(
  _xlpm.result, _xlfn.XLOOKUP($B470, Result_Database!$A$2:$A$500, Result_Database!AA$2:AA$500),
  _xlfn.IFNA(_xlpm.result, "")
)</f>
        <v/>
      </c>
      <c r="AC470" t="str">
        <f>_xlfn.LET(
  _xlpm.result, _xlfn.XLOOKUP($B470, Result_Database!$A$2:$A$500, Result_Database!AB$2:AB$500),
  _xlfn.IFNA(_xlpm.result, "")
)</f>
        <v/>
      </c>
      <c r="AD470" t="str">
        <f>_xlfn.LET(
  _xlpm.result, _xlfn.XLOOKUP($B470, Result_Database!$A$2:$A$500, Result_Database!AC$2:AC$500),
  _xlfn.IFNA(_xlpm.result, "")
)</f>
        <v/>
      </c>
      <c r="AE470" t="str">
        <f>_xlfn.LET(
  _xlpm.result, _xlfn.XLOOKUP($B470, Result_Database!$A$2:$A$500, Result_Database!AD$2:AD$500),
  _xlfn.IFNA(_xlpm.result, "")
)</f>
        <v/>
      </c>
      <c r="AF470" t="str">
        <f>_xlfn.LET(
  _xlpm.result, _xlfn.XLOOKUP($B470, Result_Database!$A$2:$A$500, Result_Database!AE$2:AE$500),
  _xlfn.IFNA(_xlpm.result, "")
)</f>
        <v/>
      </c>
      <c r="AG470" t="str">
        <f>_xlfn.LET(
  _xlpm.result, _xlfn.XLOOKUP($B470, Result_Database!$A$2:$A$500, Result_Database!AF$2:AF$500),
  _xlfn.IFNA(_xlpm.result, "")
)</f>
        <v/>
      </c>
      <c r="AH470" t="str">
        <f>_xlfn.LET(
  _xlpm.result, _xlfn.XLOOKUP($B470, Result_Database!$A$2:$A$500, Result_Database!AG$2:AG$500),
  _xlfn.IFNA(_xlpm.result, "")
)</f>
        <v/>
      </c>
      <c r="AI470" t="str">
        <f>_xlfn.LET(
  _xlpm.result, _xlfn.XLOOKUP($B470, Result_Database!$A$2:$A$500, Result_Database!AH$2:AH$500),
  _xlfn.IFNA(_xlpm.result, "")
)</f>
        <v/>
      </c>
      <c r="AJ470" t="str">
        <f>_xlfn.LET(
  _xlpm.result, _xlfn.XLOOKUP($B470, Result_Database!$A$2:$A$500, Result_Database!AI$2:AI$500),
  _xlfn.IFNA(_xlpm.result, "")
)</f>
        <v/>
      </c>
      <c r="AK470" t="str">
        <f>_xlfn.LET(
  _xlpm.result, _xlfn.XLOOKUP($B470, Result_Database!$A$2:$A$500, Result_Database!AJ$2:AJ$500),
  _xlfn.IFNA(_xlpm.result, "")
)</f>
        <v/>
      </c>
      <c r="AL470" t="str">
        <f>_xlfn.LET(
  _xlpm.result, _xlfn.XLOOKUP($B470, Result_Database!$A$2:$A$500, Result_Database!AK$2:AK$500),
  _xlfn.IFNA(_xlpm.result, "")
)</f>
        <v/>
      </c>
      <c r="AM47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7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7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7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7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7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7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7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7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70" t="str">
        <f>IF(SUM(Table5[[#This Row],[A1]:[C6]])&lt;&gt;0,SUM(Table5[[#This Row],[A1]:[C6]]),"")</f>
        <v/>
      </c>
      <c r="AW470" t="str">
        <f>IF(SUM(Table5[[#This Row],[D7]:[F9]])=0,"",SUM(Table5[[#This Row],[D7]:[F9]]))</f>
        <v/>
      </c>
      <c r="AX47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7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7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7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7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7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70" t="str">
        <f>IF(COUNTIF(Table5[[#This Row],[English Language]:[Electrical/ Electronics]],"WITHHELD")=0,"",COUNTIF(Table5[[#This Row],[English Language]:[Electrical/ Electronics]],"WITHHELD"))</f>
        <v/>
      </c>
      <c r="BE470" t="str">
        <f>IF(SUM(Table5[[#This Row],[NO OF CREDITS]:[BELOW CREDITS]])=0,"",SUM(Table5[[#This Row],[NO OF CREDITS]:[BELOW CREDITS]]))</f>
        <v/>
      </c>
    </row>
    <row r="471" spans="1:57" x14ac:dyDescent="0.3">
      <c r="A471" t="str">
        <f>IF(B471&lt;&gt;"",COUNTA($B$6:B471),"")</f>
        <v/>
      </c>
      <c r="B471" t="str">
        <f>IF(Result_Database!A467="","",Result_Database!A467)</f>
        <v/>
      </c>
      <c r="C471" t="str">
        <f>_xlfn.LET(
_xlpm.result,_xlfn.XLOOKUP($B471,Result_Database!$A$2:$A$500,Result_Database!$B$2:$B$500),
_xlfn.IFNA(_xlpm.result,"")
)</f>
        <v/>
      </c>
      <c r="D471" t="str">
        <f>_xlfn.LET(
  _xlpm.result, _xlfn.XLOOKUP($B471, Result_Database!$A$2:$A$500, Result_Database!C$2:C$500),
  _xlfn.IFNA(_xlpm.result, "")
)</f>
        <v/>
      </c>
      <c r="E471" t="str">
        <f>_xlfn.LET(
  _xlpm.result, _xlfn.XLOOKUP($B471, Result_Database!$A$2:$A$500, Result_Database!D$2:D$500),
  _xlfn.IFNA(_xlpm.result, "")
)</f>
        <v/>
      </c>
      <c r="F471" t="str">
        <f>_xlfn.LET(
  _xlpm.result, _xlfn.XLOOKUP($B471, Result_Database!$A$2:$A$500, Result_Database!E$2:E$500),
  _xlfn.IFNA(_xlpm.result, "")
)</f>
        <v/>
      </c>
      <c r="G471" t="str">
        <f>_xlfn.LET(
  _xlpm.result, _xlfn.XLOOKUP($B471, Result_Database!$A$2:$A$500, Result_Database!F$2:F$500),
  _xlfn.IFNA(_xlpm.result, "")
)</f>
        <v/>
      </c>
      <c r="H471" t="str">
        <f>_xlfn.LET(
  _xlpm.result, _xlfn.XLOOKUP($B471, Result_Database!$A$2:$A$500, Result_Database!G$2:G$500),
  _xlfn.IFNA(_xlpm.result, "")
)</f>
        <v/>
      </c>
      <c r="I471" t="str">
        <f>_xlfn.LET(
  _xlpm.result, _xlfn.XLOOKUP($B471, Result_Database!$A$2:$A$500, Result_Database!H$2:H$500),
  _xlfn.IFNA(_xlpm.result, "")
)</f>
        <v/>
      </c>
      <c r="J471" t="str">
        <f>_xlfn.LET(
  _xlpm.result, _xlfn.XLOOKUP($B471, Result_Database!$A$2:$A$500, Result_Database!I$2:I$500),
  _xlfn.IFNA(_xlpm.result, "")
)</f>
        <v/>
      </c>
      <c r="K471" t="str">
        <f>_xlfn.LET(
  _xlpm.result, _xlfn.XLOOKUP($B471, Result_Database!$A$2:$A$500, Result_Database!J$2:J$500),
  _xlfn.IFNA(_xlpm.result, "")
)</f>
        <v/>
      </c>
      <c r="L471" t="str">
        <f>_xlfn.LET(
  _xlpm.result, _xlfn.XLOOKUP($B471, Result_Database!$A$2:$A$500, Result_Database!K$2:K$500),
  _xlfn.IFNA(_xlpm.result, "")
)</f>
        <v/>
      </c>
      <c r="M471" t="str">
        <f>_xlfn.LET(
  _xlpm.result, _xlfn.XLOOKUP($B471, Result_Database!$A$2:$A$500, Result_Database!L$2:L$500),
  _xlfn.IFNA(_xlpm.result, "")
)</f>
        <v/>
      </c>
      <c r="N471" t="str">
        <f>_xlfn.LET(
  _xlpm.result, _xlfn.XLOOKUP($B471, Result_Database!$A$2:$A$500, Result_Database!M$2:M$500),
  _xlfn.IFNA(_xlpm.result, "")
)</f>
        <v/>
      </c>
      <c r="O471" t="str">
        <f>_xlfn.LET(
  _xlpm.result, _xlfn.XLOOKUP($B471, Result_Database!$A$2:$A$500, Result_Database!N$2:N$500),
  _xlfn.IFNA(_xlpm.result, "")
)</f>
        <v/>
      </c>
      <c r="P471" t="str">
        <f>_xlfn.LET(
  _xlpm.result, _xlfn.XLOOKUP($B471, Result_Database!$A$2:$A$500, Result_Database!O$2:O$500),
  _xlfn.IFNA(_xlpm.result, "")
)</f>
        <v/>
      </c>
      <c r="Q471" t="str">
        <f>_xlfn.LET(
  _xlpm.result, _xlfn.XLOOKUP($B471, Result_Database!$A$2:$A$500, Result_Database!P$2:P$500),
  _xlfn.IFNA(_xlpm.result, "")
)</f>
        <v/>
      </c>
      <c r="R471" t="str">
        <f>_xlfn.LET(
  _xlpm.result, _xlfn.XLOOKUP($B471, Result_Database!$A$2:$A$500, Result_Database!Q$2:Q$500),
  _xlfn.IFNA(_xlpm.result, "")
)</f>
        <v/>
      </c>
      <c r="S471" t="str">
        <f>_xlfn.LET(
  _xlpm.result, _xlfn.XLOOKUP($B471, Result_Database!$A$2:$A$500, Result_Database!R$2:R$500),
  _xlfn.IFNA(_xlpm.result, "")
)</f>
        <v/>
      </c>
      <c r="T471" t="str">
        <f>_xlfn.LET(
  _xlpm.result, _xlfn.XLOOKUP($B471, Result_Database!$A$2:$A$500, Result_Database!S$2:S$500),
  _xlfn.IFNA(_xlpm.result, "")
)</f>
        <v/>
      </c>
      <c r="U471" t="str">
        <f>_xlfn.LET(
  _xlpm.result, _xlfn.XLOOKUP($B471, Result_Database!$A$2:$A$500, Result_Database!T$2:T$500),
  _xlfn.IFNA(_xlpm.result, "")
)</f>
        <v/>
      </c>
      <c r="V471" t="str">
        <f>_xlfn.LET(
  _xlpm.result, _xlfn.XLOOKUP($B471, Result_Database!$A$2:$A$500, Result_Database!U$2:U$500),
  _xlfn.IFNA(_xlpm.result, "")
)</f>
        <v/>
      </c>
      <c r="W471" t="str">
        <f>_xlfn.LET(
  _xlpm.result, _xlfn.XLOOKUP($B471, Result_Database!$A$2:$A$500, Result_Database!V$2:V$500),
  _xlfn.IFNA(_xlpm.result, "")
)</f>
        <v/>
      </c>
      <c r="X471" t="str">
        <f>_xlfn.LET(
  _xlpm.result, _xlfn.XLOOKUP($B471, Result_Database!$A$2:$A$500, Result_Database!W$2:W$500),
  _xlfn.IFNA(_xlpm.result, "")
)</f>
        <v/>
      </c>
      <c r="Y471" t="str">
        <f>_xlfn.LET(
  _xlpm.result, _xlfn.XLOOKUP($B471, Result_Database!$A$2:$A$500, Result_Database!X$2:X$500),
  _xlfn.IFNA(_xlpm.result, "")
)</f>
        <v/>
      </c>
      <c r="Z471" t="str">
        <f>_xlfn.LET(
  _xlpm.result, _xlfn.XLOOKUP($B471, Result_Database!$A$2:$A$500, Result_Database!Y$2:Y$500),
  _xlfn.IFNA(_xlpm.result, "")
)</f>
        <v/>
      </c>
      <c r="AA471" t="str">
        <f>_xlfn.LET(
  _xlpm.result, _xlfn.XLOOKUP($B471, Result_Database!$A$2:$A$500, Result_Database!Z$2:Z$500),
  _xlfn.IFNA(_xlpm.result, "")
)</f>
        <v/>
      </c>
      <c r="AB471" t="str">
        <f>_xlfn.LET(
  _xlpm.result, _xlfn.XLOOKUP($B471, Result_Database!$A$2:$A$500, Result_Database!AA$2:AA$500),
  _xlfn.IFNA(_xlpm.result, "")
)</f>
        <v/>
      </c>
      <c r="AC471" t="str">
        <f>_xlfn.LET(
  _xlpm.result, _xlfn.XLOOKUP($B471, Result_Database!$A$2:$A$500, Result_Database!AB$2:AB$500),
  _xlfn.IFNA(_xlpm.result, "")
)</f>
        <v/>
      </c>
      <c r="AD471" t="str">
        <f>_xlfn.LET(
  _xlpm.result, _xlfn.XLOOKUP($B471, Result_Database!$A$2:$A$500, Result_Database!AC$2:AC$500),
  _xlfn.IFNA(_xlpm.result, "")
)</f>
        <v/>
      </c>
      <c r="AE471" t="str">
        <f>_xlfn.LET(
  _xlpm.result, _xlfn.XLOOKUP($B471, Result_Database!$A$2:$A$500, Result_Database!AD$2:AD$500),
  _xlfn.IFNA(_xlpm.result, "")
)</f>
        <v/>
      </c>
      <c r="AF471" t="str">
        <f>_xlfn.LET(
  _xlpm.result, _xlfn.XLOOKUP($B471, Result_Database!$A$2:$A$500, Result_Database!AE$2:AE$500),
  _xlfn.IFNA(_xlpm.result, "")
)</f>
        <v/>
      </c>
      <c r="AG471" t="str">
        <f>_xlfn.LET(
  _xlpm.result, _xlfn.XLOOKUP($B471, Result_Database!$A$2:$A$500, Result_Database!AF$2:AF$500),
  _xlfn.IFNA(_xlpm.result, "")
)</f>
        <v/>
      </c>
      <c r="AH471" t="str">
        <f>_xlfn.LET(
  _xlpm.result, _xlfn.XLOOKUP($B471, Result_Database!$A$2:$A$500, Result_Database!AG$2:AG$500),
  _xlfn.IFNA(_xlpm.result, "")
)</f>
        <v/>
      </c>
      <c r="AI471" t="str">
        <f>_xlfn.LET(
  _xlpm.result, _xlfn.XLOOKUP($B471, Result_Database!$A$2:$A$500, Result_Database!AH$2:AH$500),
  _xlfn.IFNA(_xlpm.result, "")
)</f>
        <v/>
      </c>
      <c r="AJ471" t="str">
        <f>_xlfn.LET(
  _xlpm.result, _xlfn.XLOOKUP($B471, Result_Database!$A$2:$A$500, Result_Database!AI$2:AI$500),
  _xlfn.IFNA(_xlpm.result, "")
)</f>
        <v/>
      </c>
      <c r="AK471" t="str">
        <f>_xlfn.LET(
  _xlpm.result, _xlfn.XLOOKUP($B471, Result_Database!$A$2:$A$500, Result_Database!AJ$2:AJ$500),
  _xlfn.IFNA(_xlpm.result, "")
)</f>
        <v/>
      </c>
      <c r="AL471" t="str">
        <f>_xlfn.LET(
  _xlpm.result, _xlfn.XLOOKUP($B471, Result_Database!$A$2:$A$500, Result_Database!AK$2:AK$500),
  _xlfn.IFNA(_xlpm.result, "")
)</f>
        <v/>
      </c>
      <c r="AM47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7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7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7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7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7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7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7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7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71" t="str">
        <f>IF(SUM(Table5[[#This Row],[A1]:[C6]])&lt;&gt;0,SUM(Table5[[#This Row],[A1]:[C6]]),"")</f>
        <v/>
      </c>
      <c r="AW471" t="str">
        <f>IF(SUM(Table5[[#This Row],[D7]:[F9]])=0,"",SUM(Table5[[#This Row],[D7]:[F9]]))</f>
        <v/>
      </c>
      <c r="AX47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7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7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7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7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7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71" t="str">
        <f>IF(COUNTIF(Table5[[#This Row],[English Language]:[Electrical/ Electronics]],"WITHHELD")=0,"",COUNTIF(Table5[[#This Row],[English Language]:[Electrical/ Electronics]],"WITHHELD"))</f>
        <v/>
      </c>
      <c r="BE471" t="str">
        <f>IF(SUM(Table5[[#This Row],[NO OF CREDITS]:[BELOW CREDITS]])=0,"",SUM(Table5[[#This Row],[NO OF CREDITS]:[BELOW CREDITS]]))</f>
        <v/>
      </c>
    </row>
    <row r="472" spans="1:57" x14ac:dyDescent="0.3">
      <c r="A472" t="str">
        <f>IF(B472&lt;&gt;"",COUNTA($B$6:B472),"")</f>
        <v/>
      </c>
      <c r="B472" t="str">
        <f>IF(Result_Database!A468="","",Result_Database!A468)</f>
        <v/>
      </c>
      <c r="C472" t="str">
        <f>_xlfn.LET(
_xlpm.result,_xlfn.XLOOKUP($B472,Result_Database!$A$2:$A$500,Result_Database!$B$2:$B$500),
_xlfn.IFNA(_xlpm.result,"")
)</f>
        <v/>
      </c>
      <c r="D472" t="str">
        <f>_xlfn.LET(
  _xlpm.result, _xlfn.XLOOKUP($B472, Result_Database!$A$2:$A$500, Result_Database!C$2:C$500),
  _xlfn.IFNA(_xlpm.result, "")
)</f>
        <v/>
      </c>
      <c r="E472" t="str">
        <f>_xlfn.LET(
  _xlpm.result, _xlfn.XLOOKUP($B472, Result_Database!$A$2:$A$500, Result_Database!D$2:D$500),
  _xlfn.IFNA(_xlpm.result, "")
)</f>
        <v/>
      </c>
      <c r="F472" t="str">
        <f>_xlfn.LET(
  _xlpm.result, _xlfn.XLOOKUP($B472, Result_Database!$A$2:$A$500, Result_Database!E$2:E$500),
  _xlfn.IFNA(_xlpm.result, "")
)</f>
        <v/>
      </c>
      <c r="G472" t="str">
        <f>_xlfn.LET(
  _xlpm.result, _xlfn.XLOOKUP($B472, Result_Database!$A$2:$A$500, Result_Database!F$2:F$500),
  _xlfn.IFNA(_xlpm.result, "")
)</f>
        <v/>
      </c>
      <c r="H472" t="str">
        <f>_xlfn.LET(
  _xlpm.result, _xlfn.XLOOKUP($B472, Result_Database!$A$2:$A$500, Result_Database!G$2:G$500),
  _xlfn.IFNA(_xlpm.result, "")
)</f>
        <v/>
      </c>
      <c r="I472" t="str">
        <f>_xlfn.LET(
  _xlpm.result, _xlfn.XLOOKUP($B472, Result_Database!$A$2:$A$500, Result_Database!H$2:H$500),
  _xlfn.IFNA(_xlpm.result, "")
)</f>
        <v/>
      </c>
      <c r="J472" t="str">
        <f>_xlfn.LET(
  _xlpm.result, _xlfn.XLOOKUP($B472, Result_Database!$A$2:$A$500, Result_Database!I$2:I$500),
  _xlfn.IFNA(_xlpm.result, "")
)</f>
        <v/>
      </c>
      <c r="K472" t="str">
        <f>_xlfn.LET(
  _xlpm.result, _xlfn.XLOOKUP($B472, Result_Database!$A$2:$A$500, Result_Database!J$2:J$500),
  _xlfn.IFNA(_xlpm.result, "")
)</f>
        <v/>
      </c>
      <c r="L472" t="str">
        <f>_xlfn.LET(
  _xlpm.result, _xlfn.XLOOKUP($B472, Result_Database!$A$2:$A$500, Result_Database!K$2:K$500),
  _xlfn.IFNA(_xlpm.result, "")
)</f>
        <v/>
      </c>
      <c r="M472" t="str">
        <f>_xlfn.LET(
  _xlpm.result, _xlfn.XLOOKUP($B472, Result_Database!$A$2:$A$500, Result_Database!L$2:L$500),
  _xlfn.IFNA(_xlpm.result, "")
)</f>
        <v/>
      </c>
      <c r="N472" t="str">
        <f>_xlfn.LET(
  _xlpm.result, _xlfn.XLOOKUP($B472, Result_Database!$A$2:$A$500, Result_Database!M$2:M$500),
  _xlfn.IFNA(_xlpm.result, "")
)</f>
        <v/>
      </c>
      <c r="O472" t="str">
        <f>_xlfn.LET(
  _xlpm.result, _xlfn.XLOOKUP($B472, Result_Database!$A$2:$A$500, Result_Database!N$2:N$500),
  _xlfn.IFNA(_xlpm.result, "")
)</f>
        <v/>
      </c>
      <c r="P472" t="str">
        <f>_xlfn.LET(
  _xlpm.result, _xlfn.XLOOKUP($B472, Result_Database!$A$2:$A$500, Result_Database!O$2:O$500),
  _xlfn.IFNA(_xlpm.result, "")
)</f>
        <v/>
      </c>
      <c r="Q472" t="str">
        <f>_xlfn.LET(
  _xlpm.result, _xlfn.XLOOKUP($B472, Result_Database!$A$2:$A$500, Result_Database!P$2:P$500),
  _xlfn.IFNA(_xlpm.result, "")
)</f>
        <v/>
      </c>
      <c r="R472" t="str">
        <f>_xlfn.LET(
  _xlpm.result, _xlfn.XLOOKUP($B472, Result_Database!$A$2:$A$500, Result_Database!Q$2:Q$500),
  _xlfn.IFNA(_xlpm.result, "")
)</f>
        <v/>
      </c>
      <c r="S472" t="str">
        <f>_xlfn.LET(
  _xlpm.result, _xlfn.XLOOKUP($B472, Result_Database!$A$2:$A$500, Result_Database!R$2:R$500),
  _xlfn.IFNA(_xlpm.result, "")
)</f>
        <v/>
      </c>
      <c r="T472" t="str">
        <f>_xlfn.LET(
  _xlpm.result, _xlfn.XLOOKUP($B472, Result_Database!$A$2:$A$500, Result_Database!S$2:S$500),
  _xlfn.IFNA(_xlpm.result, "")
)</f>
        <v/>
      </c>
      <c r="U472" t="str">
        <f>_xlfn.LET(
  _xlpm.result, _xlfn.XLOOKUP($B472, Result_Database!$A$2:$A$500, Result_Database!T$2:T$500),
  _xlfn.IFNA(_xlpm.result, "")
)</f>
        <v/>
      </c>
      <c r="V472" t="str">
        <f>_xlfn.LET(
  _xlpm.result, _xlfn.XLOOKUP($B472, Result_Database!$A$2:$A$500, Result_Database!U$2:U$500),
  _xlfn.IFNA(_xlpm.result, "")
)</f>
        <v/>
      </c>
      <c r="W472" t="str">
        <f>_xlfn.LET(
  _xlpm.result, _xlfn.XLOOKUP($B472, Result_Database!$A$2:$A$500, Result_Database!V$2:V$500),
  _xlfn.IFNA(_xlpm.result, "")
)</f>
        <v/>
      </c>
      <c r="X472" t="str">
        <f>_xlfn.LET(
  _xlpm.result, _xlfn.XLOOKUP($B472, Result_Database!$A$2:$A$500, Result_Database!W$2:W$500),
  _xlfn.IFNA(_xlpm.result, "")
)</f>
        <v/>
      </c>
      <c r="Y472" t="str">
        <f>_xlfn.LET(
  _xlpm.result, _xlfn.XLOOKUP($B472, Result_Database!$A$2:$A$500, Result_Database!X$2:X$500),
  _xlfn.IFNA(_xlpm.result, "")
)</f>
        <v/>
      </c>
      <c r="Z472" t="str">
        <f>_xlfn.LET(
  _xlpm.result, _xlfn.XLOOKUP($B472, Result_Database!$A$2:$A$500, Result_Database!Y$2:Y$500),
  _xlfn.IFNA(_xlpm.result, "")
)</f>
        <v/>
      </c>
      <c r="AA472" t="str">
        <f>_xlfn.LET(
  _xlpm.result, _xlfn.XLOOKUP($B472, Result_Database!$A$2:$A$500, Result_Database!Z$2:Z$500),
  _xlfn.IFNA(_xlpm.result, "")
)</f>
        <v/>
      </c>
      <c r="AB472" t="str">
        <f>_xlfn.LET(
  _xlpm.result, _xlfn.XLOOKUP($B472, Result_Database!$A$2:$A$500, Result_Database!AA$2:AA$500),
  _xlfn.IFNA(_xlpm.result, "")
)</f>
        <v/>
      </c>
      <c r="AC472" t="str">
        <f>_xlfn.LET(
  _xlpm.result, _xlfn.XLOOKUP($B472, Result_Database!$A$2:$A$500, Result_Database!AB$2:AB$500),
  _xlfn.IFNA(_xlpm.result, "")
)</f>
        <v/>
      </c>
      <c r="AD472" t="str">
        <f>_xlfn.LET(
  _xlpm.result, _xlfn.XLOOKUP($B472, Result_Database!$A$2:$A$500, Result_Database!AC$2:AC$500),
  _xlfn.IFNA(_xlpm.result, "")
)</f>
        <v/>
      </c>
      <c r="AE472" t="str">
        <f>_xlfn.LET(
  _xlpm.result, _xlfn.XLOOKUP($B472, Result_Database!$A$2:$A$500, Result_Database!AD$2:AD$500),
  _xlfn.IFNA(_xlpm.result, "")
)</f>
        <v/>
      </c>
      <c r="AF472" t="str">
        <f>_xlfn.LET(
  _xlpm.result, _xlfn.XLOOKUP($B472, Result_Database!$A$2:$A$500, Result_Database!AE$2:AE$500),
  _xlfn.IFNA(_xlpm.result, "")
)</f>
        <v/>
      </c>
      <c r="AG472" t="str">
        <f>_xlfn.LET(
  _xlpm.result, _xlfn.XLOOKUP($B472, Result_Database!$A$2:$A$500, Result_Database!AF$2:AF$500),
  _xlfn.IFNA(_xlpm.result, "")
)</f>
        <v/>
      </c>
      <c r="AH472" t="str">
        <f>_xlfn.LET(
  _xlpm.result, _xlfn.XLOOKUP($B472, Result_Database!$A$2:$A$500, Result_Database!AG$2:AG$500),
  _xlfn.IFNA(_xlpm.result, "")
)</f>
        <v/>
      </c>
      <c r="AI472" t="str">
        <f>_xlfn.LET(
  _xlpm.result, _xlfn.XLOOKUP($B472, Result_Database!$A$2:$A$500, Result_Database!AH$2:AH$500),
  _xlfn.IFNA(_xlpm.result, "")
)</f>
        <v/>
      </c>
      <c r="AJ472" t="str">
        <f>_xlfn.LET(
  _xlpm.result, _xlfn.XLOOKUP($B472, Result_Database!$A$2:$A$500, Result_Database!AI$2:AI$500),
  _xlfn.IFNA(_xlpm.result, "")
)</f>
        <v/>
      </c>
      <c r="AK472" t="str">
        <f>_xlfn.LET(
  _xlpm.result, _xlfn.XLOOKUP($B472, Result_Database!$A$2:$A$500, Result_Database!AJ$2:AJ$500),
  _xlfn.IFNA(_xlpm.result, "")
)</f>
        <v/>
      </c>
      <c r="AL472" t="str">
        <f>_xlfn.LET(
  _xlpm.result, _xlfn.XLOOKUP($B472, Result_Database!$A$2:$A$500, Result_Database!AK$2:AK$500),
  _xlfn.IFNA(_xlpm.result, "")
)</f>
        <v/>
      </c>
      <c r="AM47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7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7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7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7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7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7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7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7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72" t="str">
        <f>IF(SUM(Table5[[#This Row],[A1]:[C6]])&lt;&gt;0,SUM(Table5[[#This Row],[A1]:[C6]]),"")</f>
        <v/>
      </c>
      <c r="AW472" t="str">
        <f>IF(SUM(Table5[[#This Row],[D7]:[F9]])=0,"",SUM(Table5[[#This Row],[D7]:[F9]]))</f>
        <v/>
      </c>
      <c r="AX47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7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7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7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7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7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72" t="str">
        <f>IF(COUNTIF(Table5[[#This Row],[English Language]:[Electrical/ Electronics]],"WITHHELD")=0,"",COUNTIF(Table5[[#This Row],[English Language]:[Electrical/ Electronics]],"WITHHELD"))</f>
        <v/>
      </c>
      <c r="BE472" t="str">
        <f>IF(SUM(Table5[[#This Row],[NO OF CREDITS]:[BELOW CREDITS]])=0,"",SUM(Table5[[#This Row],[NO OF CREDITS]:[BELOW CREDITS]]))</f>
        <v/>
      </c>
    </row>
    <row r="473" spans="1:57" x14ac:dyDescent="0.3">
      <c r="A473" t="str">
        <f>IF(B473&lt;&gt;"",COUNTA($B$6:B473),"")</f>
        <v/>
      </c>
      <c r="B473" t="str">
        <f>IF(Result_Database!A469="","",Result_Database!A469)</f>
        <v/>
      </c>
      <c r="C473" t="str">
        <f>_xlfn.LET(
_xlpm.result,_xlfn.XLOOKUP($B473,Result_Database!$A$2:$A$500,Result_Database!$B$2:$B$500),
_xlfn.IFNA(_xlpm.result,"")
)</f>
        <v/>
      </c>
      <c r="D473" t="str">
        <f>_xlfn.LET(
  _xlpm.result, _xlfn.XLOOKUP($B473, Result_Database!$A$2:$A$500, Result_Database!C$2:C$500),
  _xlfn.IFNA(_xlpm.result, "")
)</f>
        <v/>
      </c>
      <c r="E473" t="str">
        <f>_xlfn.LET(
  _xlpm.result, _xlfn.XLOOKUP($B473, Result_Database!$A$2:$A$500, Result_Database!D$2:D$500),
  _xlfn.IFNA(_xlpm.result, "")
)</f>
        <v/>
      </c>
      <c r="F473" t="str">
        <f>_xlfn.LET(
  _xlpm.result, _xlfn.XLOOKUP($B473, Result_Database!$A$2:$A$500, Result_Database!E$2:E$500),
  _xlfn.IFNA(_xlpm.result, "")
)</f>
        <v/>
      </c>
      <c r="G473" t="str">
        <f>_xlfn.LET(
  _xlpm.result, _xlfn.XLOOKUP($B473, Result_Database!$A$2:$A$500, Result_Database!F$2:F$500),
  _xlfn.IFNA(_xlpm.result, "")
)</f>
        <v/>
      </c>
      <c r="H473" t="str">
        <f>_xlfn.LET(
  _xlpm.result, _xlfn.XLOOKUP($B473, Result_Database!$A$2:$A$500, Result_Database!G$2:G$500),
  _xlfn.IFNA(_xlpm.result, "")
)</f>
        <v/>
      </c>
      <c r="I473" t="str">
        <f>_xlfn.LET(
  _xlpm.result, _xlfn.XLOOKUP($B473, Result_Database!$A$2:$A$500, Result_Database!H$2:H$500),
  _xlfn.IFNA(_xlpm.result, "")
)</f>
        <v/>
      </c>
      <c r="J473" t="str">
        <f>_xlfn.LET(
  _xlpm.result, _xlfn.XLOOKUP($B473, Result_Database!$A$2:$A$500, Result_Database!I$2:I$500),
  _xlfn.IFNA(_xlpm.result, "")
)</f>
        <v/>
      </c>
      <c r="K473" t="str">
        <f>_xlfn.LET(
  _xlpm.result, _xlfn.XLOOKUP($B473, Result_Database!$A$2:$A$500, Result_Database!J$2:J$500),
  _xlfn.IFNA(_xlpm.result, "")
)</f>
        <v/>
      </c>
      <c r="L473" t="str">
        <f>_xlfn.LET(
  _xlpm.result, _xlfn.XLOOKUP($B473, Result_Database!$A$2:$A$500, Result_Database!K$2:K$500),
  _xlfn.IFNA(_xlpm.result, "")
)</f>
        <v/>
      </c>
      <c r="M473" t="str">
        <f>_xlfn.LET(
  _xlpm.result, _xlfn.XLOOKUP($B473, Result_Database!$A$2:$A$500, Result_Database!L$2:L$500),
  _xlfn.IFNA(_xlpm.result, "")
)</f>
        <v/>
      </c>
      <c r="N473" t="str">
        <f>_xlfn.LET(
  _xlpm.result, _xlfn.XLOOKUP($B473, Result_Database!$A$2:$A$500, Result_Database!M$2:M$500),
  _xlfn.IFNA(_xlpm.result, "")
)</f>
        <v/>
      </c>
      <c r="O473" t="str">
        <f>_xlfn.LET(
  _xlpm.result, _xlfn.XLOOKUP($B473, Result_Database!$A$2:$A$500, Result_Database!N$2:N$500),
  _xlfn.IFNA(_xlpm.result, "")
)</f>
        <v/>
      </c>
      <c r="P473" t="str">
        <f>_xlfn.LET(
  _xlpm.result, _xlfn.XLOOKUP($B473, Result_Database!$A$2:$A$500, Result_Database!O$2:O$500),
  _xlfn.IFNA(_xlpm.result, "")
)</f>
        <v/>
      </c>
      <c r="Q473" t="str">
        <f>_xlfn.LET(
  _xlpm.result, _xlfn.XLOOKUP($B473, Result_Database!$A$2:$A$500, Result_Database!P$2:P$500),
  _xlfn.IFNA(_xlpm.result, "")
)</f>
        <v/>
      </c>
      <c r="R473" t="str">
        <f>_xlfn.LET(
  _xlpm.result, _xlfn.XLOOKUP($B473, Result_Database!$A$2:$A$500, Result_Database!Q$2:Q$500),
  _xlfn.IFNA(_xlpm.result, "")
)</f>
        <v/>
      </c>
      <c r="S473" t="str">
        <f>_xlfn.LET(
  _xlpm.result, _xlfn.XLOOKUP($B473, Result_Database!$A$2:$A$500, Result_Database!R$2:R$500),
  _xlfn.IFNA(_xlpm.result, "")
)</f>
        <v/>
      </c>
      <c r="T473" t="str">
        <f>_xlfn.LET(
  _xlpm.result, _xlfn.XLOOKUP($B473, Result_Database!$A$2:$A$500, Result_Database!S$2:S$500),
  _xlfn.IFNA(_xlpm.result, "")
)</f>
        <v/>
      </c>
      <c r="U473" t="str">
        <f>_xlfn.LET(
  _xlpm.result, _xlfn.XLOOKUP($B473, Result_Database!$A$2:$A$500, Result_Database!T$2:T$500),
  _xlfn.IFNA(_xlpm.result, "")
)</f>
        <v/>
      </c>
      <c r="V473" t="str">
        <f>_xlfn.LET(
  _xlpm.result, _xlfn.XLOOKUP($B473, Result_Database!$A$2:$A$500, Result_Database!U$2:U$500),
  _xlfn.IFNA(_xlpm.result, "")
)</f>
        <v/>
      </c>
      <c r="W473" t="str">
        <f>_xlfn.LET(
  _xlpm.result, _xlfn.XLOOKUP($B473, Result_Database!$A$2:$A$500, Result_Database!V$2:V$500),
  _xlfn.IFNA(_xlpm.result, "")
)</f>
        <v/>
      </c>
      <c r="X473" t="str">
        <f>_xlfn.LET(
  _xlpm.result, _xlfn.XLOOKUP($B473, Result_Database!$A$2:$A$500, Result_Database!W$2:W$500),
  _xlfn.IFNA(_xlpm.result, "")
)</f>
        <v/>
      </c>
      <c r="Y473" t="str">
        <f>_xlfn.LET(
  _xlpm.result, _xlfn.XLOOKUP($B473, Result_Database!$A$2:$A$500, Result_Database!X$2:X$500),
  _xlfn.IFNA(_xlpm.result, "")
)</f>
        <v/>
      </c>
      <c r="Z473" t="str">
        <f>_xlfn.LET(
  _xlpm.result, _xlfn.XLOOKUP($B473, Result_Database!$A$2:$A$500, Result_Database!Y$2:Y$500),
  _xlfn.IFNA(_xlpm.result, "")
)</f>
        <v/>
      </c>
      <c r="AA473" t="str">
        <f>_xlfn.LET(
  _xlpm.result, _xlfn.XLOOKUP($B473, Result_Database!$A$2:$A$500, Result_Database!Z$2:Z$500),
  _xlfn.IFNA(_xlpm.result, "")
)</f>
        <v/>
      </c>
      <c r="AB473" t="str">
        <f>_xlfn.LET(
  _xlpm.result, _xlfn.XLOOKUP($B473, Result_Database!$A$2:$A$500, Result_Database!AA$2:AA$500),
  _xlfn.IFNA(_xlpm.result, "")
)</f>
        <v/>
      </c>
      <c r="AC473" t="str">
        <f>_xlfn.LET(
  _xlpm.result, _xlfn.XLOOKUP($B473, Result_Database!$A$2:$A$500, Result_Database!AB$2:AB$500),
  _xlfn.IFNA(_xlpm.result, "")
)</f>
        <v/>
      </c>
      <c r="AD473" t="str">
        <f>_xlfn.LET(
  _xlpm.result, _xlfn.XLOOKUP($B473, Result_Database!$A$2:$A$500, Result_Database!AC$2:AC$500),
  _xlfn.IFNA(_xlpm.result, "")
)</f>
        <v/>
      </c>
      <c r="AE473" t="str">
        <f>_xlfn.LET(
  _xlpm.result, _xlfn.XLOOKUP($B473, Result_Database!$A$2:$A$500, Result_Database!AD$2:AD$500),
  _xlfn.IFNA(_xlpm.result, "")
)</f>
        <v/>
      </c>
      <c r="AF473" t="str">
        <f>_xlfn.LET(
  _xlpm.result, _xlfn.XLOOKUP($B473, Result_Database!$A$2:$A$500, Result_Database!AE$2:AE$500),
  _xlfn.IFNA(_xlpm.result, "")
)</f>
        <v/>
      </c>
      <c r="AG473" t="str">
        <f>_xlfn.LET(
  _xlpm.result, _xlfn.XLOOKUP($B473, Result_Database!$A$2:$A$500, Result_Database!AF$2:AF$500),
  _xlfn.IFNA(_xlpm.result, "")
)</f>
        <v/>
      </c>
      <c r="AH473" t="str">
        <f>_xlfn.LET(
  _xlpm.result, _xlfn.XLOOKUP($B473, Result_Database!$A$2:$A$500, Result_Database!AG$2:AG$500),
  _xlfn.IFNA(_xlpm.result, "")
)</f>
        <v/>
      </c>
      <c r="AI473" t="str">
        <f>_xlfn.LET(
  _xlpm.result, _xlfn.XLOOKUP($B473, Result_Database!$A$2:$A$500, Result_Database!AH$2:AH$500),
  _xlfn.IFNA(_xlpm.result, "")
)</f>
        <v/>
      </c>
      <c r="AJ473" t="str">
        <f>_xlfn.LET(
  _xlpm.result, _xlfn.XLOOKUP($B473, Result_Database!$A$2:$A$500, Result_Database!AI$2:AI$500),
  _xlfn.IFNA(_xlpm.result, "")
)</f>
        <v/>
      </c>
      <c r="AK473" t="str">
        <f>_xlfn.LET(
  _xlpm.result, _xlfn.XLOOKUP($B473, Result_Database!$A$2:$A$500, Result_Database!AJ$2:AJ$500),
  _xlfn.IFNA(_xlpm.result, "")
)</f>
        <v/>
      </c>
      <c r="AL473" t="str">
        <f>_xlfn.LET(
  _xlpm.result, _xlfn.XLOOKUP($B473, Result_Database!$A$2:$A$500, Result_Database!AK$2:AK$500),
  _xlfn.IFNA(_xlpm.result, "")
)</f>
        <v/>
      </c>
      <c r="AM47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7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7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7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7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7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7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7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7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73" t="str">
        <f>IF(SUM(Table5[[#This Row],[A1]:[C6]])&lt;&gt;0,SUM(Table5[[#This Row],[A1]:[C6]]),"")</f>
        <v/>
      </c>
      <c r="AW473" t="str">
        <f>IF(SUM(Table5[[#This Row],[D7]:[F9]])=0,"",SUM(Table5[[#This Row],[D7]:[F9]]))</f>
        <v/>
      </c>
      <c r="AX47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7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7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7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7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7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73" t="str">
        <f>IF(COUNTIF(Table5[[#This Row],[English Language]:[Electrical/ Electronics]],"WITHHELD")=0,"",COUNTIF(Table5[[#This Row],[English Language]:[Electrical/ Electronics]],"WITHHELD"))</f>
        <v/>
      </c>
      <c r="BE473" t="str">
        <f>IF(SUM(Table5[[#This Row],[NO OF CREDITS]:[BELOW CREDITS]])=0,"",SUM(Table5[[#This Row],[NO OF CREDITS]:[BELOW CREDITS]]))</f>
        <v/>
      </c>
    </row>
    <row r="474" spans="1:57" x14ac:dyDescent="0.3">
      <c r="A474" t="str">
        <f>IF(B474&lt;&gt;"",COUNTA($B$6:B474),"")</f>
        <v/>
      </c>
      <c r="B474" t="str">
        <f>IF(Result_Database!A470="","",Result_Database!A470)</f>
        <v/>
      </c>
      <c r="C474" t="str">
        <f>_xlfn.LET(
_xlpm.result,_xlfn.XLOOKUP($B474,Result_Database!$A$2:$A$500,Result_Database!$B$2:$B$500),
_xlfn.IFNA(_xlpm.result,"")
)</f>
        <v/>
      </c>
      <c r="D474" t="str">
        <f>_xlfn.LET(
  _xlpm.result, _xlfn.XLOOKUP($B474, Result_Database!$A$2:$A$500, Result_Database!C$2:C$500),
  _xlfn.IFNA(_xlpm.result, "")
)</f>
        <v/>
      </c>
      <c r="E474" t="str">
        <f>_xlfn.LET(
  _xlpm.result, _xlfn.XLOOKUP($B474, Result_Database!$A$2:$A$500, Result_Database!D$2:D$500),
  _xlfn.IFNA(_xlpm.result, "")
)</f>
        <v/>
      </c>
      <c r="F474" t="str">
        <f>_xlfn.LET(
  _xlpm.result, _xlfn.XLOOKUP($B474, Result_Database!$A$2:$A$500, Result_Database!E$2:E$500),
  _xlfn.IFNA(_xlpm.result, "")
)</f>
        <v/>
      </c>
      <c r="G474" t="str">
        <f>_xlfn.LET(
  _xlpm.result, _xlfn.XLOOKUP($B474, Result_Database!$A$2:$A$500, Result_Database!F$2:F$500),
  _xlfn.IFNA(_xlpm.result, "")
)</f>
        <v/>
      </c>
      <c r="H474" t="str">
        <f>_xlfn.LET(
  _xlpm.result, _xlfn.XLOOKUP($B474, Result_Database!$A$2:$A$500, Result_Database!G$2:G$500),
  _xlfn.IFNA(_xlpm.result, "")
)</f>
        <v/>
      </c>
      <c r="I474" t="str">
        <f>_xlfn.LET(
  _xlpm.result, _xlfn.XLOOKUP($B474, Result_Database!$A$2:$A$500, Result_Database!H$2:H$500),
  _xlfn.IFNA(_xlpm.result, "")
)</f>
        <v/>
      </c>
      <c r="J474" t="str">
        <f>_xlfn.LET(
  _xlpm.result, _xlfn.XLOOKUP($B474, Result_Database!$A$2:$A$500, Result_Database!I$2:I$500),
  _xlfn.IFNA(_xlpm.result, "")
)</f>
        <v/>
      </c>
      <c r="K474" t="str">
        <f>_xlfn.LET(
  _xlpm.result, _xlfn.XLOOKUP($B474, Result_Database!$A$2:$A$500, Result_Database!J$2:J$500),
  _xlfn.IFNA(_xlpm.result, "")
)</f>
        <v/>
      </c>
      <c r="L474" t="str">
        <f>_xlfn.LET(
  _xlpm.result, _xlfn.XLOOKUP($B474, Result_Database!$A$2:$A$500, Result_Database!K$2:K$500),
  _xlfn.IFNA(_xlpm.result, "")
)</f>
        <v/>
      </c>
      <c r="M474" t="str">
        <f>_xlfn.LET(
  _xlpm.result, _xlfn.XLOOKUP($B474, Result_Database!$A$2:$A$500, Result_Database!L$2:L$500),
  _xlfn.IFNA(_xlpm.result, "")
)</f>
        <v/>
      </c>
      <c r="N474" t="str">
        <f>_xlfn.LET(
  _xlpm.result, _xlfn.XLOOKUP($B474, Result_Database!$A$2:$A$500, Result_Database!M$2:M$500),
  _xlfn.IFNA(_xlpm.result, "")
)</f>
        <v/>
      </c>
      <c r="O474" t="str">
        <f>_xlfn.LET(
  _xlpm.result, _xlfn.XLOOKUP($B474, Result_Database!$A$2:$A$500, Result_Database!N$2:N$500),
  _xlfn.IFNA(_xlpm.result, "")
)</f>
        <v/>
      </c>
      <c r="P474" t="str">
        <f>_xlfn.LET(
  _xlpm.result, _xlfn.XLOOKUP($B474, Result_Database!$A$2:$A$500, Result_Database!O$2:O$500),
  _xlfn.IFNA(_xlpm.result, "")
)</f>
        <v/>
      </c>
      <c r="Q474" t="str">
        <f>_xlfn.LET(
  _xlpm.result, _xlfn.XLOOKUP($B474, Result_Database!$A$2:$A$500, Result_Database!P$2:P$500),
  _xlfn.IFNA(_xlpm.result, "")
)</f>
        <v/>
      </c>
      <c r="R474" t="str">
        <f>_xlfn.LET(
  _xlpm.result, _xlfn.XLOOKUP($B474, Result_Database!$A$2:$A$500, Result_Database!Q$2:Q$500),
  _xlfn.IFNA(_xlpm.result, "")
)</f>
        <v/>
      </c>
      <c r="S474" t="str">
        <f>_xlfn.LET(
  _xlpm.result, _xlfn.XLOOKUP($B474, Result_Database!$A$2:$A$500, Result_Database!R$2:R$500),
  _xlfn.IFNA(_xlpm.result, "")
)</f>
        <v/>
      </c>
      <c r="T474" t="str">
        <f>_xlfn.LET(
  _xlpm.result, _xlfn.XLOOKUP($B474, Result_Database!$A$2:$A$500, Result_Database!S$2:S$500),
  _xlfn.IFNA(_xlpm.result, "")
)</f>
        <v/>
      </c>
      <c r="U474" t="str">
        <f>_xlfn.LET(
  _xlpm.result, _xlfn.XLOOKUP($B474, Result_Database!$A$2:$A$500, Result_Database!T$2:T$500),
  _xlfn.IFNA(_xlpm.result, "")
)</f>
        <v/>
      </c>
      <c r="V474" t="str">
        <f>_xlfn.LET(
  _xlpm.result, _xlfn.XLOOKUP($B474, Result_Database!$A$2:$A$500, Result_Database!U$2:U$500),
  _xlfn.IFNA(_xlpm.result, "")
)</f>
        <v/>
      </c>
      <c r="W474" t="str">
        <f>_xlfn.LET(
  _xlpm.result, _xlfn.XLOOKUP($B474, Result_Database!$A$2:$A$500, Result_Database!V$2:V$500),
  _xlfn.IFNA(_xlpm.result, "")
)</f>
        <v/>
      </c>
      <c r="X474" t="str">
        <f>_xlfn.LET(
  _xlpm.result, _xlfn.XLOOKUP($B474, Result_Database!$A$2:$A$500, Result_Database!W$2:W$500),
  _xlfn.IFNA(_xlpm.result, "")
)</f>
        <v/>
      </c>
      <c r="Y474" t="str">
        <f>_xlfn.LET(
  _xlpm.result, _xlfn.XLOOKUP($B474, Result_Database!$A$2:$A$500, Result_Database!X$2:X$500),
  _xlfn.IFNA(_xlpm.result, "")
)</f>
        <v/>
      </c>
      <c r="Z474" t="str">
        <f>_xlfn.LET(
  _xlpm.result, _xlfn.XLOOKUP($B474, Result_Database!$A$2:$A$500, Result_Database!Y$2:Y$500),
  _xlfn.IFNA(_xlpm.result, "")
)</f>
        <v/>
      </c>
      <c r="AA474" t="str">
        <f>_xlfn.LET(
  _xlpm.result, _xlfn.XLOOKUP($B474, Result_Database!$A$2:$A$500, Result_Database!Z$2:Z$500),
  _xlfn.IFNA(_xlpm.result, "")
)</f>
        <v/>
      </c>
      <c r="AB474" t="str">
        <f>_xlfn.LET(
  _xlpm.result, _xlfn.XLOOKUP($B474, Result_Database!$A$2:$A$500, Result_Database!AA$2:AA$500),
  _xlfn.IFNA(_xlpm.result, "")
)</f>
        <v/>
      </c>
      <c r="AC474" t="str">
        <f>_xlfn.LET(
  _xlpm.result, _xlfn.XLOOKUP($B474, Result_Database!$A$2:$A$500, Result_Database!AB$2:AB$500),
  _xlfn.IFNA(_xlpm.result, "")
)</f>
        <v/>
      </c>
      <c r="AD474" t="str">
        <f>_xlfn.LET(
  _xlpm.result, _xlfn.XLOOKUP($B474, Result_Database!$A$2:$A$500, Result_Database!AC$2:AC$500),
  _xlfn.IFNA(_xlpm.result, "")
)</f>
        <v/>
      </c>
      <c r="AE474" t="str">
        <f>_xlfn.LET(
  _xlpm.result, _xlfn.XLOOKUP($B474, Result_Database!$A$2:$A$500, Result_Database!AD$2:AD$500),
  _xlfn.IFNA(_xlpm.result, "")
)</f>
        <v/>
      </c>
      <c r="AF474" t="str">
        <f>_xlfn.LET(
  _xlpm.result, _xlfn.XLOOKUP($B474, Result_Database!$A$2:$A$500, Result_Database!AE$2:AE$500),
  _xlfn.IFNA(_xlpm.result, "")
)</f>
        <v/>
      </c>
      <c r="AG474" t="str">
        <f>_xlfn.LET(
  _xlpm.result, _xlfn.XLOOKUP($B474, Result_Database!$A$2:$A$500, Result_Database!AF$2:AF$500),
  _xlfn.IFNA(_xlpm.result, "")
)</f>
        <v/>
      </c>
      <c r="AH474" t="str">
        <f>_xlfn.LET(
  _xlpm.result, _xlfn.XLOOKUP($B474, Result_Database!$A$2:$A$500, Result_Database!AG$2:AG$500),
  _xlfn.IFNA(_xlpm.result, "")
)</f>
        <v/>
      </c>
      <c r="AI474" t="str">
        <f>_xlfn.LET(
  _xlpm.result, _xlfn.XLOOKUP($B474, Result_Database!$A$2:$A$500, Result_Database!AH$2:AH$500),
  _xlfn.IFNA(_xlpm.result, "")
)</f>
        <v/>
      </c>
      <c r="AJ474" t="str">
        <f>_xlfn.LET(
  _xlpm.result, _xlfn.XLOOKUP($B474, Result_Database!$A$2:$A$500, Result_Database!AI$2:AI$500),
  _xlfn.IFNA(_xlpm.result, "")
)</f>
        <v/>
      </c>
      <c r="AK474" t="str">
        <f>_xlfn.LET(
  _xlpm.result, _xlfn.XLOOKUP($B474, Result_Database!$A$2:$A$500, Result_Database!AJ$2:AJ$500),
  _xlfn.IFNA(_xlpm.result, "")
)</f>
        <v/>
      </c>
      <c r="AL474" t="str">
        <f>_xlfn.LET(
  _xlpm.result, _xlfn.XLOOKUP($B474, Result_Database!$A$2:$A$500, Result_Database!AK$2:AK$500),
  _xlfn.IFNA(_xlpm.result, "")
)</f>
        <v/>
      </c>
      <c r="AM47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7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7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7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7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7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7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7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7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74" t="str">
        <f>IF(SUM(Table5[[#This Row],[A1]:[C6]])&lt;&gt;0,SUM(Table5[[#This Row],[A1]:[C6]]),"")</f>
        <v/>
      </c>
      <c r="AW474" t="str">
        <f>IF(SUM(Table5[[#This Row],[D7]:[F9]])=0,"",SUM(Table5[[#This Row],[D7]:[F9]]))</f>
        <v/>
      </c>
      <c r="AX47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7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7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7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7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7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74" t="str">
        <f>IF(COUNTIF(Table5[[#This Row],[English Language]:[Electrical/ Electronics]],"WITHHELD")=0,"",COUNTIF(Table5[[#This Row],[English Language]:[Electrical/ Electronics]],"WITHHELD"))</f>
        <v/>
      </c>
      <c r="BE474" t="str">
        <f>IF(SUM(Table5[[#This Row],[NO OF CREDITS]:[BELOW CREDITS]])=0,"",SUM(Table5[[#This Row],[NO OF CREDITS]:[BELOW CREDITS]]))</f>
        <v/>
      </c>
    </row>
    <row r="475" spans="1:57" x14ac:dyDescent="0.3">
      <c r="A475" t="str">
        <f>IF(B475&lt;&gt;"",COUNTA($B$6:B475),"")</f>
        <v/>
      </c>
      <c r="B475" t="str">
        <f>IF(Result_Database!A471="","",Result_Database!A471)</f>
        <v/>
      </c>
      <c r="C475" t="str">
        <f>_xlfn.LET(
_xlpm.result,_xlfn.XLOOKUP($B475,Result_Database!$A$2:$A$500,Result_Database!$B$2:$B$500),
_xlfn.IFNA(_xlpm.result,"")
)</f>
        <v/>
      </c>
      <c r="D475" t="str">
        <f>_xlfn.LET(
  _xlpm.result, _xlfn.XLOOKUP($B475, Result_Database!$A$2:$A$500, Result_Database!C$2:C$500),
  _xlfn.IFNA(_xlpm.result, "")
)</f>
        <v/>
      </c>
      <c r="E475" t="str">
        <f>_xlfn.LET(
  _xlpm.result, _xlfn.XLOOKUP($B475, Result_Database!$A$2:$A$500, Result_Database!D$2:D$500),
  _xlfn.IFNA(_xlpm.result, "")
)</f>
        <v/>
      </c>
      <c r="F475" t="str">
        <f>_xlfn.LET(
  _xlpm.result, _xlfn.XLOOKUP($B475, Result_Database!$A$2:$A$500, Result_Database!E$2:E$500),
  _xlfn.IFNA(_xlpm.result, "")
)</f>
        <v/>
      </c>
      <c r="G475" t="str">
        <f>_xlfn.LET(
  _xlpm.result, _xlfn.XLOOKUP($B475, Result_Database!$A$2:$A$500, Result_Database!F$2:F$500),
  _xlfn.IFNA(_xlpm.result, "")
)</f>
        <v/>
      </c>
      <c r="H475" t="str">
        <f>_xlfn.LET(
  _xlpm.result, _xlfn.XLOOKUP($B475, Result_Database!$A$2:$A$500, Result_Database!G$2:G$500),
  _xlfn.IFNA(_xlpm.result, "")
)</f>
        <v/>
      </c>
      <c r="I475" t="str">
        <f>_xlfn.LET(
  _xlpm.result, _xlfn.XLOOKUP($B475, Result_Database!$A$2:$A$500, Result_Database!H$2:H$500),
  _xlfn.IFNA(_xlpm.result, "")
)</f>
        <v/>
      </c>
      <c r="J475" t="str">
        <f>_xlfn.LET(
  _xlpm.result, _xlfn.XLOOKUP($B475, Result_Database!$A$2:$A$500, Result_Database!I$2:I$500),
  _xlfn.IFNA(_xlpm.result, "")
)</f>
        <v/>
      </c>
      <c r="K475" t="str">
        <f>_xlfn.LET(
  _xlpm.result, _xlfn.XLOOKUP($B475, Result_Database!$A$2:$A$500, Result_Database!J$2:J$500),
  _xlfn.IFNA(_xlpm.result, "")
)</f>
        <v/>
      </c>
      <c r="L475" t="str">
        <f>_xlfn.LET(
  _xlpm.result, _xlfn.XLOOKUP($B475, Result_Database!$A$2:$A$500, Result_Database!K$2:K$500),
  _xlfn.IFNA(_xlpm.result, "")
)</f>
        <v/>
      </c>
      <c r="M475" t="str">
        <f>_xlfn.LET(
  _xlpm.result, _xlfn.XLOOKUP($B475, Result_Database!$A$2:$A$500, Result_Database!L$2:L$500),
  _xlfn.IFNA(_xlpm.result, "")
)</f>
        <v/>
      </c>
      <c r="N475" t="str">
        <f>_xlfn.LET(
  _xlpm.result, _xlfn.XLOOKUP($B475, Result_Database!$A$2:$A$500, Result_Database!M$2:M$500),
  _xlfn.IFNA(_xlpm.result, "")
)</f>
        <v/>
      </c>
      <c r="O475" t="str">
        <f>_xlfn.LET(
  _xlpm.result, _xlfn.XLOOKUP($B475, Result_Database!$A$2:$A$500, Result_Database!N$2:N$500),
  _xlfn.IFNA(_xlpm.result, "")
)</f>
        <v/>
      </c>
      <c r="P475" t="str">
        <f>_xlfn.LET(
  _xlpm.result, _xlfn.XLOOKUP($B475, Result_Database!$A$2:$A$500, Result_Database!O$2:O$500),
  _xlfn.IFNA(_xlpm.result, "")
)</f>
        <v/>
      </c>
      <c r="Q475" t="str">
        <f>_xlfn.LET(
  _xlpm.result, _xlfn.XLOOKUP($B475, Result_Database!$A$2:$A$500, Result_Database!P$2:P$500),
  _xlfn.IFNA(_xlpm.result, "")
)</f>
        <v/>
      </c>
      <c r="R475" t="str">
        <f>_xlfn.LET(
  _xlpm.result, _xlfn.XLOOKUP($B475, Result_Database!$A$2:$A$500, Result_Database!Q$2:Q$500),
  _xlfn.IFNA(_xlpm.result, "")
)</f>
        <v/>
      </c>
      <c r="S475" t="str">
        <f>_xlfn.LET(
  _xlpm.result, _xlfn.XLOOKUP($B475, Result_Database!$A$2:$A$500, Result_Database!R$2:R$500),
  _xlfn.IFNA(_xlpm.result, "")
)</f>
        <v/>
      </c>
      <c r="T475" t="str">
        <f>_xlfn.LET(
  _xlpm.result, _xlfn.XLOOKUP($B475, Result_Database!$A$2:$A$500, Result_Database!S$2:S$500),
  _xlfn.IFNA(_xlpm.result, "")
)</f>
        <v/>
      </c>
      <c r="U475" t="str">
        <f>_xlfn.LET(
  _xlpm.result, _xlfn.XLOOKUP($B475, Result_Database!$A$2:$A$500, Result_Database!T$2:T$500),
  _xlfn.IFNA(_xlpm.result, "")
)</f>
        <v/>
      </c>
      <c r="V475" t="str">
        <f>_xlfn.LET(
  _xlpm.result, _xlfn.XLOOKUP($B475, Result_Database!$A$2:$A$500, Result_Database!U$2:U$500),
  _xlfn.IFNA(_xlpm.result, "")
)</f>
        <v/>
      </c>
      <c r="W475" t="str">
        <f>_xlfn.LET(
  _xlpm.result, _xlfn.XLOOKUP($B475, Result_Database!$A$2:$A$500, Result_Database!V$2:V$500),
  _xlfn.IFNA(_xlpm.result, "")
)</f>
        <v/>
      </c>
      <c r="X475" t="str">
        <f>_xlfn.LET(
  _xlpm.result, _xlfn.XLOOKUP($B475, Result_Database!$A$2:$A$500, Result_Database!W$2:W$500),
  _xlfn.IFNA(_xlpm.result, "")
)</f>
        <v/>
      </c>
      <c r="Y475" t="str">
        <f>_xlfn.LET(
  _xlpm.result, _xlfn.XLOOKUP($B475, Result_Database!$A$2:$A$500, Result_Database!X$2:X$500),
  _xlfn.IFNA(_xlpm.result, "")
)</f>
        <v/>
      </c>
      <c r="Z475" t="str">
        <f>_xlfn.LET(
  _xlpm.result, _xlfn.XLOOKUP($B475, Result_Database!$A$2:$A$500, Result_Database!Y$2:Y$500),
  _xlfn.IFNA(_xlpm.result, "")
)</f>
        <v/>
      </c>
      <c r="AA475" t="str">
        <f>_xlfn.LET(
  _xlpm.result, _xlfn.XLOOKUP($B475, Result_Database!$A$2:$A$500, Result_Database!Z$2:Z$500),
  _xlfn.IFNA(_xlpm.result, "")
)</f>
        <v/>
      </c>
      <c r="AB475" t="str">
        <f>_xlfn.LET(
  _xlpm.result, _xlfn.XLOOKUP($B475, Result_Database!$A$2:$A$500, Result_Database!AA$2:AA$500),
  _xlfn.IFNA(_xlpm.result, "")
)</f>
        <v/>
      </c>
      <c r="AC475" t="str">
        <f>_xlfn.LET(
  _xlpm.result, _xlfn.XLOOKUP($B475, Result_Database!$A$2:$A$500, Result_Database!AB$2:AB$500),
  _xlfn.IFNA(_xlpm.result, "")
)</f>
        <v/>
      </c>
      <c r="AD475" t="str">
        <f>_xlfn.LET(
  _xlpm.result, _xlfn.XLOOKUP($B475, Result_Database!$A$2:$A$500, Result_Database!AC$2:AC$500),
  _xlfn.IFNA(_xlpm.result, "")
)</f>
        <v/>
      </c>
      <c r="AE475" t="str">
        <f>_xlfn.LET(
  _xlpm.result, _xlfn.XLOOKUP($B475, Result_Database!$A$2:$A$500, Result_Database!AD$2:AD$500),
  _xlfn.IFNA(_xlpm.result, "")
)</f>
        <v/>
      </c>
      <c r="AF475" t="str">
        <f>_xlfn.LET(
  _xlpm.result, _xlfn.XLOOKUP($B475, Result_Database!$A$2:$A$500, Result_Database!AE$2:AE$500),
  _xlfn.IFNA(_xlpm.result, "")
)</f>
        <v/>
      </c>
      <c r="AG475" t="str">
        <f>_xlfn.LET(
  _xlpm.result, _xlfn.XLOOKUP($B475, Result_Database!$A$2:$A$500, Result_Database!AF$2:AF$500),
  _xlfn.IFNA(_xlpm.result, "")
)</f>
        <v/>
      </c>
      <c r="AH475" t="str">
        <f>_xlfn.LET(
  _xlpm.result, _xlfn.XLOOKUP($B475, Result_Database!$A$2:$A$500, Result_Database!AG$2:AG$500),
  _xlfn.IFNA(_xlpm.result, "")
)</f>
        <v/>
      </c>
      <c r="AI475" t="str">
        <f>_xlfn.LET(
  _xlpm.result, _xlfn.XLOOKUP($B475, Result_Database!$A$2:$A$500, Result_Database!AH$2:AH$500),
  _xlfn.IFNA(_xlpm.result, "")
)</f>
        <v/>
      </c>
      <c r="AJ475" t="str">
        <f>_xlfn.LET(
  _xlpm.result, _xlfn.XLOOKUP($B475, Result_Database!$A$2:$A$500, Result_Database!AI$2:AI$500),
  _xlfn.IFNA(_xlpm.result, "")
)</f>
        <v/>
      </c>
      <c r="AK475" t="str">
        <f>_xlfn.LET(
  _xlpm.result, _xlfn.XLOOKUP($B475, Result_Database!$A$2:$A$500, Result_Database!AJ$2:AJ$500),
  _xlfn.IFNA(_xlpm.result, "")
)</f>
        <v/>
      </c>
      <c r="AL475" t="str">
        <f>_xlfn.LET(
  _xlpm.result, _xlfn.XLOOKUP($B475, Result_Database!$A$2:$A$500, Result_Database!AK$2:AK$500),
  _xlfn.IFNA(_xlpm.result, "")
)</f>
        <v/>
      </c>
      <c r="AM47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7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7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7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7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7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7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7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7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75" t="str">
        <f>IF(SUM(Table5[[#This Row],[A1]:[C6]])&lt;&gt;0,SUM(Table5[[#This Row],[A1]:[C6]]),"")</f>
        <v/>
      </c>
      <c r="AW475" t="str">
        <f>IF(SUM(Table5[[#This Row],[D7]:[F9]])=0,"",SUM(Table5[[#This Row],[D7]:[F9]]))</f>
        <v/>
      </c>
      <c r="AX47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7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7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7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7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7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75" t="str">
        <f>IF(COUNTIF(Table5[[#This Row],[English Language]:[Electrical/ Electronics]],"WITHHELD")=0,"",COUNTIF(Table5[[#This Row],[English Language]:[Electrical/ Electronics]],"WITHHELD"))</f>
        <v/>
      </c>
      <c r="BE475" t="str">
        <f>IF(SUM(Table5[[#This Row],[NO OF CREDITS]:[BELOW CREDITS]])=0,"",SUM(Table5[[#This Row],[NO OF CREDITS]:[BELOW CREDITS]]))</f>
        <v/>
      </c>
    </row>
    <row r="476" spans="1:57" x14ac:dyDescent="0.3">
      <c r="A476" t="str">
        <f>IF(B476&lt;&gt;"",COUNTA($B$6:B476),"")</f>
        <v/>
      </c>
      <c r="B476" t="str">
        <f>IF(Result_Database!A472="","",Result_Database!A472)</f>
        <v/>
      </c>
      <c r="C476" t="str">
        <f>_xlfn.LET(
_xlpm.result,_xlfn.XLOOKUP($B476,Result_Database!$A$2:$A$500,Result_Database!$B$2:$B$500),
_xlfn.IFNA(_xlpm.result,"")
)</f>
        <v/>
      </c>
      <c r="D476" t="str">
        <f>_xlfn.LET(
  _xlpm.result, _xlfn.XLOOKUP($B476, Result_Database!$A$2:$A$500, Result_Database!C$2:C$500),
  _xlfn.IFNA(_xlpm.result, "")
)</f>
        <v/>
      </c>
      <c r="E476" t="str">
        <f>_xlfn.LET(
  _xlpm.result, _xlfn.XLOOKUP($B476, Result_Database!$A$2:$A$500, Result_Database!D$2:D$500),
  _xlfn.IFNA(_xlpm.result, "")
)</f>
        <v/>
      </c>
      <c r="F476" t="str">
        <f>_xlfn.LET(
  _xlpm.result, _xlfn.XLOOKUP($B476, Result_Database!$A$2:$A$500, Result_Database!E$2:E$500),
  _xlfn.IFNA(_xlpm.result, "")
)</f>
        <v/>
      </c>
      <c r="G476" t="str">
        <f>_xlfn.LET(
  _xlpm.result, _xlfn.XLOOKUP($B476, Result_Database!$A$2:$A$500, Result_Database!F$2:F$500),
  _xlfn.IFNA(_xlpm.result, "")
)</f>
        <v/>
      </c>
      <c r="H476" t="str">
        <f>_xlfn.LET(
  _xlpm.result, _xlfn.XLOOKUP($B476, Result_Database!$A$2:$A$500, Result_Database!G$2:G$500),
  _xlfn.IFNA(_xlpm.result, "")
)</f>
        <v/>
      </c>
      <c r="I476" t="str">
        <f>_xlfn.LET(
  _xlpm.result, _xlfn.XLOOKUP($B476, Result_Database!$A$2:$A$500, Result_Database!H$2:H$500),
  _xlfn.IFNA(_xlpm.result, "")
)</f>
        <v/>
      </c>
      <c r="J476" t="str">
        <f>_xlfn.LET(
  _xlpm.result, _xlfn.XLOOKUP($B476, Result_Database!$A$2:$A$500, Result_Database!I$2:I$500),
  _xlfn.IFNA(_xlpm.result, "")
)</f>
        <v/>
      </c>
      <c r="K476" t="str">
        <f>_xlfn.LET(
  _xlpm.result, _xlfn.XLOOKUP($B476, Result_Database!$A$2:$A$500, Result_Database!J$2:J$500),
  _xlfn.IFNA(_xlpm.result, "")
)</f>
        <v/>
      </c>
      <c r="L476" t="str">
        <f>_xlfn.LET(
  _xlpm.result, _xlfn.XLOOKUP($B476, Result_Database!$A$2:$A$500, Result_Database!K$2:K$500),
  _xlfn.IFNA(_xlpm.result, "")
)</f>
        <v/>
      </c>
      <c r="M476" t="str">
        <f>_xlfn.LET(
  _xlpm.result, _xlfn.XLOOKUP($B476, Result_Database!$A$2:$A$500, Result_Database!L$2:L$500),
  _xlfn.IFNA(_xlpm.result, "")
)</f>
        <v/>
      </c>
      <c r="N476" t="str">
        <f>_xlfn.LET(
  _xlpm.result, _xlfn.XLOOKUP($B476, Result_Database!$A$2:$A$500, Result_Database!M$2:M$500),
  _xlfn.IFNA(_xlpm.result, "")
)</f>
        <v/>
      </c>
      <c r="O476" t="str">
        <f>_xlfn.LET(
  _xlpm.result, _xlfn.XLOOKUP($B476, Result_Database!$A$2:$A$500, Result_Database!N$2:N$500),
  _xlfn.IFNA(_xlpm.result, "")
)</f>
        <v/>
      </c>
      <c r="P476" t="str">
        <f>_xlfn.LET(
  _xlpm.result, _xlfn.XLOOKUP($B476, Result_Database!$A$2:$A$500, Result_Database!O$2:O$500),
  _xlfn.IFNA(_xlpm.result, "")
)</f>
        <v/>
      </c>
      <c r="Q476" t="str">
        <f>_xlfn.LET(
  _xlpm.result, _xlfn.XLOOKUP($B476, Result_Database!$A$2:$A$500, Result_Database!P$2:P$500),
  _xlfn.IFNA(_xlpm.result, "")
)</f>
        <v/>
      </c>
      <c r="R476" t="str">
        <f>_xlfn.LET(
  _xlpm.result, _xlfn.XLOOKUP($B476, Result_Database!$A$2:$A$500, Result_Database!Q$2:Q$500),
  _xlfn.IFNA(_xlpm.result, "")
)</f>
        <v/>
      </c>
      <c r="S476" t="str">
        <f>_xlfn.LET(
  _xlpm.result, _xlfn.XLOOKUP($B476, Result_Database!$A$2:$A$500, Result_Database!R$2:R$500),
  _xlfn.IFNA(_xlpm.result, "")
)</f>
        <v/>
      </c>
      <c r="T476" t="str">
        <f>_xlfn.LET(
  _xlpm.result, _xlfn.XLOOKUP($B476, Result_Database!$A$2:$A$500, Result_Database!S$2:S$500),
  _xlfn.IFNA(_xlpm.result, "")
)</f>
        <v/>
      </c>
      <c r="U476" t="str">
        <f>_xlfn.LET(
  _xlpm.result, _xlfn.XLOOKUP($B476, Result_Database!$A$2:$A$500, Result_Database!T$2:T$500),
  _xlfn.IFNA(_xlpm.result, "")
)</f>
        <v/>
      </c>
      <c r="V476" t="str">
        <f>_xlfn.LET(
  _xlpm.result, _xlfn.XLOOKUP($B476, Result_Database!$A$2:$A$500, Result_Database!U$2:U$500),
  _xlfn.IFNA(_xlpm.result, "")
)</f>
        <v/>
      </c>
      <c r="W476" t="str">
        <f>_xlfn.LET(
  _xlpm.result, _xlfn.XLOOKUP($B476, Result_Database!$A$2:$A$500, Result_Database!V$2:V$500),
  _xlfn.IFNA(_xlpm.result, "")
)</f>
        <v/>
      </c>
      <c r="X476" t="str">
        <f>_xlfn.LET(
  _xlpm.result, _xlfn.XLOOKUP($B476, Result_Database!$A$2:$A$500, Result_Database!W$2:W$500),
  _xlfn.IFNA(_xlpm.result, "")
)</f>
        <v/>
      </c>
      <c r="Y476" t="str">
        <f>_xlfn.LET(
  _xlpm.result, _xlfn.XLOOKUP($B476, Result_Database!$A$2:$A$500, Result_Database!X$2:X$500),
  _xlfn.IFNA(_xlpm.result, "")
)</f>
        <v/>
      </c>
      <c r="Z476" t="str">
        <f>_xlfn.LET(
  _xlpm.result, _xlfn.XLOOKUP($B476, Result_Database!$A$2:$A$500, Result_Database!Y$2:Y$500),
  _xlfn.IFNA(_xlpm.result, "")
)</f>
        <v/>
      </c>
      <c r="AA476" t="str">
        <f>_xlfn.LET(
  _xlpm.result, _xlfn.XLOOKUP($B476, Result_Database!$A$2:$A$500, Result_Database!Z$2:Z$500),
  _xlfn.IFNA(_xlpm.result, "")
)</f>
        <v/>
      </c>
      <c r="AB476" t="str">
        <f>_xlfn.LET(
  _xlpm.result, _xlfn.XLOOKUP($B476, Result_Database!$A$2:$A$500, Result_Database!AA$2:AA$500),
  _xlfn.IFNA(_xlpm.result, "")
)</f>
        <v/>
      </c>
      <c r="AC476" t="str">
        <f>_xlfn.LET(
  _xlpm.result, _xlfn.XLOOKUP($B476, Result_Database!$A$2:$A$500, Result_Database!AB$2:AB$500),
  _xlfn.IFNA(_xlpm.result, "")
)</f>
        <v/>
      </c>
      <c r="AD476" t="str">
        <f>_xlfn.LET(
  _xlpm.result, _xlfn.XLOOKUP($B476, Result_Database!$A$2:$A$500, Result_Database!AC$2:AC$500),
  _xlfn.IFNA(_xlpm.result, "")
)</f>
        <v/>
      </c>
      <c r="AE476" t="str">
        <f>_xlfn.LET(
  _xlpm.result, _xlfn.XLOOKUP($B476, Result_Database!$A$2:$A$500, Result_Database!AD$2:AD$500),
  _xlfn.IFNA(_xlpm.result, "")
)</f>
        <v/>
      </c>
      <c r="AF476" t="str">
        <f>_xlfn.LET(
  _xlpm.result, _xlfn.XLOOKUP($B476, Result_Database!$A$2:$A$500, Result_Database!AE$2:AE$500),
  _xlfn.IFNA(_xlpm.result, "")
)</f>
        <v/>
      </c>
      <c r="AG476" t="str">
        <f>_xlfn.LET(
  _xlpm.result, _xlfn.XLOOKUP($B476, Result_Database!$A$2:$A$500, Result_Database!AF$2:AF$500),
  _xlfn.IFNA(_xlpm.result, "")
)</f>
        <v/>
      </c>
      <c r="AH476" t="str">
        <f>_xlfn.LET(
  _xlpm.result, _xlfn.XLOOKUP($B476, Result_Database!$A$2:$A$500, Result_Database!AG$2:AG$500),
  _xlfn.IFNA(_xlpm.result, "")
)</f>
        <v/>
      </c>
      <c r="AI476" t="str">
        <f>_xlfn.LET(
  _xlpm.result, _xlfn.XLOOKUP($B476, Result_Database!$A$2:$A$500, Result_Database!AH$2:AH$500),
  _xlfn.IFNA(_xlpm.result, "")
)</f>
        <v/>
      </c>
      <c r="AJ476" t="str">
        <f>_xlfn.LET(
  _xlpm.result, _xlfn.XLOOKUP($B476, Result_Database!$A$2:$A$500, Result_Database!AI$2:AI$500),
  _xlfn.IFNA(_xlpm.result, "")
)</f>
        <v/>
      </c>
      <c r="AK476" t="str">
        <f>_xlfn.LET(
  _xlpm.result, _xlfn.XLOOKUP($B476, Result_Database!$A$2:$A$500, Result_Database!AJ$2:AJ$500),
  _xlfn.IFNA(_xlpm.result, "")
)</f>
        <v/>
      </c>
      <c r="AL476" t="str">
        <f>_xlfn.LET(
  _xlpm.result, _xlfn.XLOOKUP($B476, Result_Database!$A$2:$A$500, Result_Database!AK$2:AK$500),
  _xlfn.IFNA(_xlpm.result, "")
)</f>
        <v/>
      </c>
      <c r="AM47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7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7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7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7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7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7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7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7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76" t="str">
        <f>IF(SUM(Table5[[#This Row],[A1]:[C6]])&lt;&gt;0,SUM(Table5[[#This Row],[A1]:[C6]]),"")</f>
        <v/>
      </c>
      <c r="AW476" t="str">
        <f>IF(SUM(Table5[[#This Row],[D7]:[F9]])=0,"",SUM(Table5[[#This Row],[D7]:[F9]]))</f>
        <v/>
      </c>
      <c r="AX47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7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7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7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7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7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76" t="str">
        <f>IF(COUNTIF(Table5[[#This Row],[English Language]:[Electrical/ Electronics]],"WITHHELD")=0,"",COUNTIF(Table5[[#This Row],[English Language]:[Electrical/ Electronics]],"WITHHELD"))</f>
        <v/>
      </c>
      <c r="BE476" t="str">
        <f>IF(SUM(Table5[[#This Row],[NO OF CREDITS]:[BELOW CREDITS]])=0,"",SUM(Table5[[#This Row],[NO OF CREDITS]:[BELOW CREDITS]]))</f>
        <v/>
      </c>
    </row>
    <row r="477" spans="1:57" x14ac:dyDescent="0.3">
      <c r="A477" t="str">
        <f>IF(B477&lt;&gt;"",COUNTA($B$6:B477),"")</f>
        <v/>
      </c>
      <c r="B477" t="str">
        <f>IF(Result_Database!A473="","",Result_Database!A473)</f>
        <v/>
      </c>
      <c r="C477" t="str">
        <f>_xlfn.LET(
_xlpm.result,_xlfn.XLOOKUP($B477,Result_Database!$A$2:$A$500,Result_Database!$B$2:$B$500),
_xlfn.IFNA(_xlpm.result,"")
)</f>
        <v/>
      </c>
      <c r="D477" t="str">
        <f>_xlfn.LET(
  _xlpm.result, _xlfn.XLOOKUP($B477, Result_Database!$A$2:$A$500, Result_Database!C$2:C$500),
  _xlfn.IFNA(_xlpm.result, "")
)</f>
        <v/>
      </c>
      <c r="E477" t="str">
        <f>_xlfn.LET(
  _xlpm.result, _xlfn.XLOOKUP($B477, Result_Database!$A$2:$A$500, Result_Database!D$2:D$500),
  _xlfn.IFNA(_xlpm.result, "")
)</f>
        <v/>
      </c>
      <c r="F477" t="str">
        <f>_xlfn.LET(
  _xlpm.result, _xlfn.XLOOKUP($B477, Result_Database!$A$2:$A$500, Result_Database!E$2:E$500),
  _xlfn.IFNA(_xlpm.result, "")
)</f>
        <v/>
      </c>
      <c r="G477" t="str">
        <f>_xlfn.LET(
  _xlpm.result, _xlfn.XLOOKUP($B477, Result_Database!$A$2:$A$500, Result_Database!F$2:F$500),
  _xlfn.IFNA(_xlpm.result, "")
)</f>
        <v/>
      </c>
      <c r="H477" t="str">
        <f>_xlfn.LET(
  _xlpm.result, _xlfn.XLOOKUP($B477, Result_Database!$A$2:$A$500, Result_Database!G$2:G$500),
  _xlfn.IFNA(_xlpm.result, "")
)</f>
        <v/>
      </c>
      <c r="I477" t="str">
        <f>_xlfn.LET(
  _xlpm.result, _xlfn.XLOOKUP($B477, Result_Database!$A$2:$A$500, Result_Database!H$2:H$500),
  _xlfn.IFNA(_xlpm.result, "")
)</f>
        <v/>
      </c>
      <c r="J477" t="str">
        <f>_xlfn.LET(
  _xlpm.result, _xlfn.XLOOKUP($B477, Result_Database!$A$2:$A$500, Result_Database!I$2:I$500),
  _xlfn.IFNA(_xlpm.result, "")
)</f>
        <v/>
      </c>
      <c r="K477" t="str">
        <f>_xlfn.LET(
  _xlpm.result, _xlfn.XLOOKUP($B477, Result_Database!$A$2:$A$500, Result_Database!J$2:J$500),
  _xlfn.IFNA(_xlpm.result, "")
)</f>
        <v/>
      </c>
      <c r="L477" t="str">
        <f>_xlfn.LET(
  _xlpm.result, _xlfn.XLOOKUP($B477, Result_Database!$A$2:$A$500, Result_Database!K$2:K$500),
  _xlfn.IFNA(_xlpm.result, "")
)</f>
        <v/>
      </c>
      <c r="M477" t="str">
        <f>_xlfn.LET(
  _xlpm.result, _xlfn.XLOOKUP($B477, Result_Database!$A$2:$A$500, Result_Database!L$2:L$500),
  _xlfn.IFNA(_xlpm.result, "")
)</f>
        <v/>
      </c>
      <c r="N477" t="str">
        <f>_xlfn.LET(
  _xlpm.result, _xlfn.XLOOKUP($B477, Result_Database!$A$2:$A$500, Result_Database!M$2:M$500),
  _xlfn.IFNA(_xlpm.result, "")
)</f>
        <v/>
      </c>
      <c r="O477" t="str">
        <f>_xlfn.LET(
  _xlpm.result, _xlfn.XLOOKUP($B477, Result_Database!$A$2:$A$500, Result_Database!N$2:N$500),
  _xlfn.IFNA(_xlpm.result, "")
)</f>
        <v/>
      </c>
      <c r="P477" t="str">
        <f>_xlfn.LET(
  _xlpm.result, _xlfn.XLOOKUP($B477, Result_Database!$A$2:$A$500, Result_Database!O$2:O$500),
  _xlfn.IFNA(_xlpm.result, "")
)</f>
        <v/>
      </c>
      <c r="Q477" t="str">
        <f>_xlfn.LET(
  _xlpm.result, _xlfn.XLOOKUP($B477, Result_Database!$A$2:$A$500, Result_Database!P$2:P$500),
  _xlfn.IFNA(_xlpm.result, "")
)</f>
        <v/>
      </c>
      <c r="R477" t="str">
        <f>_xlfn.LET(
  _xlpm.result, _xlfn.XLOOKUP($B477, Result_Database!$A$2:$A$500, Result_Database!Q$2:Q$500),
  _xlfn.IFNA(_xlpm.result, "")
)</f>
        <v/>
      </c>
      <c r="S477" t="str">
        <f>_xlfn.LET(
  _xlpm.result, _xlfn.XLOOKUP($B477, Result_Database!$A$2:$A$500, Result_Database!R$2:R$500),
  _xlfn.IFNA(_xlpm.result, "")
)</f>
        <v/>
      </c>
      <c r="T477" t="str">
        <f>_xlfn.LET(
  _xlpm.result, _xlfn.XLOOKUP($B477, Result_Database!$A$2:$A$500, Result_Database!S$2:S$500),
  _xlfn.IFNA(_xlpm.result, "")
)</f>
        <v/>
      </c>
      <c r="U477" t="str">
        <f>_xlfn.LET(
  _xlpm.result, _xlfn.XLOOKUP($B477, Result_Database!$A$2:$A$500, Result_Database!T$2:T$500),
  _xlfn.IFNA(_xlpm.result, "")
)</f>
        <v/>
      </c>
      <c r="V477" t="str">
        <f>_xlfn.LET(
  _xlpm.result, _xlfn.XLOOKUP($B477, Result_Database!$A$2:$A$500, Result_Database!U$2:U$500),
  _xlfn.IFNA(_xlpm.result, "")
)</f>
        <v/>
      </c>
      <c r="W477" t="str">
        <f>_xlfn.LET(
  _xlpm.result, _xlfn.XLOOKUP($B477, Result_Database!$A$2:$A$500, Result_Database!V$2:V$500),
  _xlfn.IFNA(_xlpm.result, "")
)</f>
        <v/>
      </c>
      <c r="X477" t="str">
        <f>_xlfn.LET(
  _xlpm.result, _xlfn.XLOOKUP($B477, Result_Database!$A$2:$A$500, Result_Database!W$2:W$500),
  _xlfn.IFNA(_xlpm.result, "")
)</f>
        <v/>
      </c>
      <c r="Y477" t="str">
        <f>_xlfn.LET(
  _xlpm.result, _xlfn.XLOOKUP($B477, Result_Database!$A$2:$A$500, Result_Database!X$2:X$500),
  _xlfn.IFNA(_xlpm.result, "")
)</f>
        <v/>
      </c>
      <c r="Z477" t="str">
        <f>_xlfn.LET(
  _xlpm.result, _xlfn.XLOOKUP($B477, Result_Database!$A$2:$A$500, Result_Database!Y$2:Y$500),
  _xlfn.IFNA(_xlpm.result, "")
)</f>
        <v/>
      </c>
      <c r="AA477" t="str">
        <f>_xlfn.LET(
  _xlpm.result, _xlfn.XLOOKUP($B477, Result_Database!$A$2:$A$500, Result_Database!Z$2:Z$500),
  _xlfn.IFNA(_xlpm.result, "")
)</f>
        <v/>
      </c>
      <c r="AB477" t="str">
        <f>_xlfn.LET(
  _xlpm.result, _xlfn.XLOOKUP($B477, Result_Database!$A$2:$A$500, Result_Database!AA$2:AA$500),
  _xlfn.IFNA(_xlpm.result, "")
)</f>
        <v/>
      </c>
      <c r="AC477" t="str">
        <f>_xlfn.LET(
  _xlpm.result, _xlfn.XLOOKUP($B477, Result_Database!$A$2:$A$500, Result_Database!AB$2:AB$500),
  _xlfn.IFNA(_xlpm.result, "")
)</f>
        <v/>
      </c>
      <c r="AD477" t="str">
        <f>_xlfn.LET(
  _xlpm.result, _xlfn.XLOOKUP($B477, Result_Database!$A$2:$A$500, Result_Database!AC$2:AC$500),
  _xlfn.IFNA(_xlpm.result, "")
)</f>
        <v/>
      </c>
      <c r="AE477" t="str">
        <f>_xlfn.LET(
  _xlpm.result, _xlfn.XLOOKUP($B477, Result_Database!$A$2:$A$500, Result_Database!AD$2:AD$500),
  _xlfn.IFNA(_xlpm.result, "")
)</f>
        <v/>
      </c>
      <c r="AF477" t="str">
        <f>_xlfn.LET(
  _xlpm.result, _xlfn.XLOOKUP($B477, Result_Database!$A$2:$A$500, Result_Database!AE$2:AE$500),
  _xlfn.IFNA(_xlpm.result, "")
)</f>
        <v/>
      </c>
      <c r="AG477" t="str">
        <f>_xlfn.LET(
  _xlpm.result, _xlfn.XLOOKUP($B477, Result_Database!$A$2:$A$500, Result_Database!AF$2:AF$500),
  _xlfn.IFNA(_xlpm.result, "")
)</f>
        <v/>
      </c>
      <c r="AH477" t="str">
        <f>_xlfn.LET(
  _xlpm.result, _xlfn.XLOOKUP($B477, Result_Database!$A$2:$A$500, Result_Database!AG$2:AG$500),
  _xlfn.IFNA(_xlpm.result, "")
)</f>
        <v/>
      </c>
      <c r="AI477" t="str">
        <f>_xlfn.LET(
  _xlpm.result, _xlfn.XLOOKUP($B477, Result_Database!$A$2:$A$500, Result_Database!AH$2:AH$500),
  _xlfn.IFNA(_xlpm.result, "")
)</f>
        <v/>
      </c>
      <c r="AJ477" t="str">
        <f>_xlfn.LET(
  _xlpm.result, _xlfn.XLOOKUP($B477, Result_Database!$A$2:$A$500, Result_Database!AI$2:AI$500),
  _xlfn.IFNA(_xlpm.result, "")
)</f>
        <v/>
      </c>
      <c r="AK477" t="str">
        <f>_xlfn.LET(
  _xlpm.result, _xlfn.XLOOKUP($B477, Result_Database!$A$2:$A$500, Result_Database!AJ$2:AJ$500),
  _xlfn.IFNA(_xlpm.result, "")
)</f>
        <v/>
      </c>
      <c r="AL477" t="str">
        <f>_xlfn.LET(
  _xlpm.result, _xlfn.XLOOKUP($B477, Result_Database!$A$2:$A$500, Result_Database!AK$2:AK$500),
  _xlfn.IFNA(_xlpm.result, "")
)</f>
        <v/>
      </c>
      <c r="AM47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7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7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7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7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7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7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7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7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77" t="str">
        <f>IF(SUM(Table5[[#This Row],[A1]:[C6]])&lt;&gt;0,SUM(Table5[[#This Row],[A1]:[C6]]),"")</f>
        <v/>
      </c>
      <c r="AW477" t="str">
        <f>IF(SUM(Table5[[#This Row],[D7]:[F9]])=0,"",SUM(Table5[[#This Row],[D7]:[F9]]))</f>
        <v/>
      </c>
      <c r="AX47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7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7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7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7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7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77" t="str">
        <f>IF(COUNTIF(Table5[[#This Row],[English Language]:[Electrical/ Electronics]],"WITHHELD")=0,"",COUNTIF(Table5[[#This Row],[English Language]:[Electrical/ Electronics]],"WITHHELD"))</f>
        <v/>
      </c>
      <c r="BE477" t="str">
        <f>IF(SUM(Table5[[#This Row],[NO OF CREDITS]:[BELOW CREDITS]])=0,"",SUM(Table5[[#This Row],[NO OF CREDITS]:[BELOW CREDITS]]))</f>
        <v/>
      </c>
    </row>
    <row r="478" spans="1:57" x14ac:dyDescent="0.3">
      <c r="A478" t="str">
        <f>IF(B478&lt;&gt;"",COUNTA($B$6:B478),"")</f>
        <v/>
      </c>
      <c r="B478" t="str">
        <f>IF(Result_Database!A474="","",Result_Database!A474)</f>
        <v/>
      </c>
      <c r="C478" t="str">
        <f>_xlfn.LET(
_xlpm.result,_xlfn.XLOOKUP($B478,Result_Database!$A$2:$A$500,Result_Database!$B$2:$B$500),
_xlfn.IFNA(_xlpm.result,"")
)</f>
        <v/>
      </c>
      <c r="D478" t="str">
        <f>_xlfn.LET(
  _xlpm.result, _xlfn.XLOOKUP($B478, Result_Database!$A$2:$A$500, Result_Database!C$2:C$500),
  _xlfn.IFNA(_xlpm.result, "")
)</f>
        <v/>
      </c>
      <c r="E478" t="str">
        <f>_xlfn.LET(
  _xlpm.result, _xlfn.XLOOKUP($B478, Result_Database!$A$2:$A$500, Result_Database!D$2:D$500),
  _xlfn.IFNA(_xlpm.result, "")
)</f>
        <v/>
      </c>
      <c r="F478" t="str">
        <f>_xlfn.LET(
  _xlpm.result, _xlfn.XLOOKUP($B478, Result_Database!$A$2:$A$500, Result_Database!E$2:E$500),
  _xlfn.IFNA(_xlpm.result, "")
)</f>
        <v/>
      </c>
      <c r="G478" t="str">
        <f>_xlfn.LET(
  _xlpm.result, _xlfn.XLOOKUP($B478, Result_Database!$A$2:$A$500, Result_Database!F$2:F$500),
  _xlfn.IFNA(_xlpm.result, "")
)</f>
        <v/>
      </c>
      <c r="H478" t="str">
        <f>_xlfn.LET(
  _xlpm.result, _xlfn.XLOOKUP($B478, Result_Database!$A$2:$A$500, Result_Database!G$2:G$500),
  _xlfn.IFNA(_xlpm.result, "")
)</f>
        <v/>
      </c>
      <c r="I478" t="str">
        <f>_xlfn.LET(
  _xlpm.result, _xlfn.XLOOKUP($B478, Result_Database!$A$2:$A$500, Result_Database!H$2:H$500),
  _xlfn.IFNA(_xlpm.result, "")
)</f>
        <v/>
      </c>
      <c r="J478" t="str">
        <f>_xlfn.LET(
  _xlpm.result, _xlfn.XLOOKUP($B478, Result_Database!$A$2:$A$500, Result_Database!I$2:I$500),
  _xlfn.IFNA(_xlpm.result, "")
)</f>
        <v/>
      </c>
      <c r="K478" t="str">
        <f>_xlfn.LET(
  _xlpm.result, _xlfn.XLOOKUP($B478, Result_Database!$A$2:$A$500, Result_Database!J$2:J$500),
  _xlfn.IFNA(_xlpm.result, "")
)</f>
        <v/>
      </c>
      <c r="L478" t="str">
        <f>_xlfn.LET(
  _xlpm.result, _xlfn.XLOOKUP($B478, Result_Database!$A$2:$A$500, Result_Database!K$2:K$500),
  _xlfn.IFNA(_xlpm.result, "")
)</f>
        <v/>
      </c>
      <c r="M478" t="str">
        <f>_xlfn.LET(
  _xlpm.result, _xlfn.XLOOKUP($B478, Result_Database!$A$2:$A$500, Result_Database!L$2:L$500),
  _xlfn.IFNA(_xlpm.result, "")
)</f>
        <v/>
      </c>
      <c r="N478" t="str">
        <f>_xlfn.LET(
  _xlpm.result, _xlfn.XLOOKUP($B478, Result_Database!$A$2:$A$500, Result_Database!M$2:M$500),
  _xlfn.IFNA(_xlpm.result, "")
)</f>
        <v/>
      </c>
      <c r="O478" t="str">
        <f>_xlfn.LET(
  _xlpm.result, _xlfn.XLOOKUP($B478, Result_Database!$A$2:$A$500, Result_Database!N$2:N$500),
  _xlfn.IFNA(_xlpm.result, "")
)</f>
        <v/>
      </c>
      <c r="P478" t="str">
        <f>_xlfn.LET(
  _xlpm.result, _xlfn.XLOOKUP($B478, Result_Database!$A$2:$A$500, Result_Database!O$2:O$500),
  _xlfn.IFNA(_xlpm.result, "")
)</f>
        <v/>
      </c>
      <c r="Q478" t="str">
        <f>_xlfn.LET(
  _xlpm.result, _xlfn.XLOOKUP($B478, Result_Database!$A$2:$A$500, Result_Database!P$2:P$500),
  _xlfn.IFNA(_xlpm.result, "")
)</f>
        <v/>
      </c>
      <c r="R478" t="str">
        <f>_xlfn.LET(
  _xlpm.result, _xlfn.XLOOKUP($B478, Result_Database!$A$2:$A$500, Result_Database!Q$2:Q$500),
  _xlfn.IFNA(_xlpm.result, "")
)</f>
        <v/>
      </c>
      <c r="S478" t="str">
        <f>_xlfn.LET(
  _xlpm.result, _xlfn.XLOOKUP($B478, Result_Database!$A$2:$A$500, Result_Database!R$2:R$500),
  _xlfn.IFNA(_xlpm.result, "")
)</f>
        <v/>
      </c>
      <c r="T478" t="str">
        <f>_xlfn.LET(
  _xlpm.result, _xlfn.XLOOKUP($B478, Result_Database!$A$2:$A$500, Result_Database!S$2:S$500),
  _xlfn.IFNA(_xlpm.result, "")
)</f>
        <v/>
      </c>
      <c r="U478" t="str">
        <f>_xlfn.LET(
  _xlpm.result, _xlfn.XLOOKUP($B478, Result_Database!$A$2:$A$500, Result_Database!T$2:T$500),
  _xlfn.IFNA(_xlpm.result, "")
)</f>
        <v/>
      </c>
      <c r="V478" t="str">
        <f>_xlfn.LET(
  _xlpm.result, _xlfn.XLOOKUP($B478, Result_Database!$A$2:$A$500, Result_Database!U$2:U$500),
  _xlfn.IFNA(_xlpm.result, "")
)</f>
        <v/>
      </c>
      <c r="W478" t="str">
        <f>_xlfn.LET(
  _xlpm.result, _xlfn.XLOOKUP($B478, Result_Database!$A$2:$A$500, Result_Database!V$2:V$500),
  _xlfn.IFNA(_xlpm.result, "")
)</f>
        <v/>
      </c>
      <c r="X478" t="str">
        <f>_xlfn.LET(
  _xlpm.result, _xlfn.XLOOKUP($B478, Result_Database!$A$2:$A$500, Result_Database!W$2:W$500),
  _xlfn.IFNA(_xlpm.result, "")
)</f>
        <v/>
      </c>
      <c r="Y478" t="str">
        <f>_xlfn.LET(
  _xlpm.result, _xlfn.XLOOKUP($B478, Result_Database!$A$2:$A$500, Result_Database!X$2:X$500),
  _xlfn.IFNA(_xlpm.result, "")
)</f>
        <v/>
      </c>
      <c r="Z478" t="str">
        <f>_xlfn.LET(
  _xlpm.result, _xlfn.XLOOKUP($B478, Result_Database!$A$2:$A$500, Result_Database!Y$2:Y$500),
  _xlfn.IFNA(_xlpm.result, "")
)</f>
        <v/>
      </c>
      <c r="AA478" t="str">
        <f>_xlfn.LET(
  _xlpm.result, _xlfn.XLOOKUP($B478, Result_Database!$A$2:$A$500, Result_Database!Z$2:Z$500),
  _xlfn.IFNA(_xlpm.result, "")
)</f>
        <v/>
      </c>
      <c r="AB478" t="str">
        <f>_xlfn.LET(
  _xlpm.result, _xlfn.XLOOKUP($B478, Result_Database!$A$2:$A$500, Result_Database!AA$2:AA$500),
  _xlfn.IFNA(_xlpm.result, "")
)</f>
        <v/>
      </c>
      <c r="AC478" t="str">
        <f>_xlfn.LET(
  _xlpm.result, _xlfn.XLOOKUP($B478, Result_Database!$A$2:$A$500, Result_Database!AB$2:AB$500),
  _xlfn.IFNA(_xlpm.result, "")
)</f>
        <v/>
      </c>
      <c r="AD478" t="str">
        <f>_xlfn.LET(
  _xlpm.result, _xlfn.XLOOKUP($B478, Result_Database!$A$2:$A$500, Result_Database!AC$2:AC$500),
  _xlfn.IFNA(_xlpm.result, "")
)</f>
        <v/>
      </c>
      <c r="AE478" t="str">
        <f>_xlfn.LET(
  _xlpm.result, _xlfn.XLOOKUP($B478, Result_Database!$A$2:$A$500, Result_Database!AD$2:AD$500),
  _xlfn.IFNA(_xlpm.result, "")
)</f>
        <v/>
      </c>
      <c r="AF478" t="str">
        <f>_xlfn.LET(
  _xlpm.result, _xlfn.XLOOKUP($B478, Result_Database!$A$2:$A$500, Result_Database!AE$2:AE$500),
  _xlfn.IFNA(_xlpm.result, "")
)</f>
        <v/>
      </c>
      <c r="AG478" t="str">
        <f>_xlfn.LET(
  _xlpm.result, _xlfn.XLOOKUP($B478, Result_Database!$A$2:$A$500, Result_Database!AF$2:AF$500),
  _xlfn.IFNA(_xlpm.result, "")
)</f>
        <v/>
      </c>
      <c r="AH478" t="str">
        <f>_xlfn.LET(
  _xlpm.result, _xlfn.XLOOKUP($B478, Result_Database!$A$2:$A$500, Result_Database!AG$2:AG$500),
  _xlfn.IFNA(_xlpm.result, "")
)</f>
        <v/>
      </c>
      <c r="AI478" t="str">
        <f>_xlfn.LET(
  _xlpm.result, _xlfn.XLOOKUP($B478, Result_Database!$A$2:$A$500, Result_Database!AH$2:AH$500),
  _xlfn.IFNA(_xlpm.result, "")
)</f>
        <v/>
      </c>
      <c r="AJ478" t="str">
        <f>_xlfn.LET(
  _xlpm.result, _xlfn.XLOOKUP($B478, Result_Database!$A$2:$A$500, Result_Database!AI$2:AI$500),
  _xlfn.IFNA(_xlpm.result, "")
)</f>
        <v/>
      </c>
      <c r="AK478" t="str">
        <f>_xlfn.LET(
  _xlpm.result, _xlfn.XLOOKUP($B478, Result_Database!$A$2:$A$500, Result_Database!AJ$2:AJ$500),
  _xlfn.IFNA(_xlpm.result, "")
)</f>
        <v/>
      </c>
      <c r="AL478" t="str">
        <f>_xlfn.LET(
  _xlpm.result, _xlfn.XLOOKUP($B478, Result_Database!$A$2:$A$500, Result_Database!AK$2:AK$500),
  _xlfn.IFNA(_xlpm.result, "")
)</f>
        <v/>
      </c>
      <c r="AM47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7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7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7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7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7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7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7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7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78" t="str">
        <f>IF(SUM(Table5[[#This Row],[A1]:[C6]])&lt;&gt;0,SUM(Table5[[#This Row],[A1]:[C6]]),"")</f>
        <v/>
      </c>
      <c r="AW478" t="str">
        <f>IF(SUM(Table5[[#This Row],[D7]:[F9]])=0,"",SUM(Table5[[#This Row],[D7]:[F9]]))</f>
        <v/>
      </c>
      <c r="AX47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7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7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7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7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7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78" t="str">
        <f>IF(COUNTIF(Table5[[#This Row],[English Language]:[Electrical/ Electronics]],"WITHHELD")=0,"",COUNTIF(Table5[[#This Row],[English Language]:[Electrical/ Electronics]],"WITHHELD"))</f>
        <v/>
      </c>
      <c r="BE478" t="str">
        <f>IF(SUM(Table5[[#This Row],[NO OF CREDITS]:[BELOW CREDITS]])=0,"",SUM(Table5[[#This Row],[NO OF CREDITS]:[BELOW CREDITS]]))</f>
        <v/>
      </c>
    </row>
    <row r="479" spans="1:57" x14ac:dyDescent="0.3">
      <c r="A479" t="str">
        <f>IF(B479&lt;&gt;"",COUNTA($B$6:B479),"")</f>
        <v/>
      </c>
      <c r="B479" t="str">
        <f>IF(Result_Database!A475="","",Result_Database!A475)</f>
        <v/>
      </c>
      <c r="C479" t="str">
        <f>_xlfn.LET(
_xlpm.result,_xlfn.XLOOKUP($B479,Result_Database!$A$2:$A$500,Result_Database!$B$2:$B$500),
_xlfn.IFNA(_xlpm.result,"")
)</f>
        <v/>
      </c>
      <c r="D479" t="str">
        <f>_xlfn.LET(
  _xlpm.result, _xlfn.XLOOKUP($B479, Result_Database!$A$2:$A$500, Result_Database!C$2:C$500),
  _xlfn.IFNA(_xlpm.result, "")
)</f>
        <v/>
      </c>
      <c r="E479" t="str">
        <f>_xlfn.LET(
  _xlpm.result, _xlfn.XLOOKUP($B479, Result_Database!$A$2:$A$500, Result_Database!D$2:D$500),
  _xlfn.IFNA(_xlpm.result, "")
)</f>
        <v/>
      </c>
      <c r="F479" t="str">
        <f>_xlfn.LET(
  _xlpm.result, _xlfn.XLOOKUP($B479, Result_Database!$A$2:$A$500, Result_Database!E$2:E$500),
  _xlfn.IFNA(_xlpm.result, "")
)</f>
        <v/>
      </c>
      <c r="G479" t="str">
        <f>_xlfn.LET(
  _xlpm.result, _xlfn.XLOOKUP($B479, Result_Database!$A$2:$A$500, Result_Database!F$2:F$500),
  _xlfn.IFNA(_xlpm.result, "")
)</f>
        <v/>
      </c>
      <c r="H479" t="str">
        <f>_xlfn.LET(
  _xlpm.result, _xlfn.XLOOKUP($B479, Result_Database!$A$2:$A$500, Result_Database!G$2:G$500),
  _xlfn.IFNA(_xlpm.result, "")
)</f>
        <v/>
      </c>
      <c r="I479" t="str">
        <f>_xlfn.LET(
  _xlpm.result, _xlfn.XLOOKUP($B479, Result_Database!$A$2:$A$500, Result_Database!H$2:H$500),
  _xlfn.IFNA(_xlpm.result, "")
)</f>
        <v/>
      </c>
      <c r="J479" t="str">
        <f>_xlfn.LET(
  _xlpm.result, _xlfn.XLOOKUP($B479, Result_Database!$A$2:$A$500, Result_Database!I$2:I$500),
  _xlfn.IFNA(_xlpm.result, "")
)</f>
        <v/>
      </c>
      <c r="K479" t="str">
        <f>_xlfn.LET(
  _xlpm.result, _xlfn.XLOOKUP($B479, Result_Database!$A$2:$A$500, Result_Database!J$2:J$500),
  _xlfn.IFNA(_xlpm.result, "")
)</f>
        <v/>
      </c>
      <c r="L479" t="str">
        <f>_xlfn.LET(
  _xlpm.result, _xlfn.XLOOKUP($B479, Result_Database!$A$2:$A$500, Result_Database!K$2:K$500),
  _xlfn.IFNA(_xlpm.result, "")
)</f>
        <v/>
      </c>
      <c r="M479" t="str">
        <f>_xlfn.LET(
  _xlpm.result, _xlfn.XLOOKUP($B479, Result_Database!$A$2:$A$500, Result_Database!L$2:L$500),
  _xlfn.IFNA(_xlpm.result, "")
)</f>
        <v/>
      </c>
      <c r="N479" t="str">
        <f>_xlfn.LET(
  _xlpm.result, _xlfn.XLOOKUP($B479, Result_Database!$A$2:$A$500, Result_Database!M$2:M$500),
  _xlfn.IFNA(_xlpm.result, "")
)</f>
        <v/>
      </c>
      <c r="O479" t="str">
        <f>_xlfn.LET(
  _xlpm.result, _xlfn.XLOOKUP($B479, Result_Database!$A$2:$A$500, Result_Database!N$2:N$500),
  _xlfn.IFNA(_xlpm.result, "")
)</f>
        <v/>
      </c>
      <c r="P479" t="str">
        <f>_xlfn.LET(
  _xlpm.result, _xlfn.XLOOKUP($B479, Result_Database!$A$2:$A$500, Result_Database!O$2:O$500),
  _xlfn.IFNA(_xlpm.result, "")
)</f>
        <v/>
      </c>
      <c r="Q479" t="str">
        <f>_xlfn.LET(
  _xlpm.result, _xlfn.XLOOKUP($B479, Result_Database!$A$2:$A$500, Result_Database!P$2:P$500),
  _xlfn.IFNA(_xlpm.result, "")
)</f>
        <v/>
      </c>
      <c r="R479" t="str">
        <f>_xlfn.LET(
  _xlpm.result, _xlfn.XLOOKUP($B479, Result_Database!$A$2:$A$500, Result_Database!Q$2:Q$500),
  _xlfn.IFNA(_xlpm.result, "")
)</f>
        <v/>
      </c>
      <c r="S479" t="str">
        <f>_xlfn.LET(
  _xlpm.result, _xlfn.XLOOKUP($B479, Result_Database!$A$2:$A$500, Result_Database!R$2:R$500),
  _xlfn.IFNA(_xlpm.result, "")
)</f>
        <v/>
      </c>
      <c r="T479" t="str">
        <f>_xlfn.LET(
  _xlpm.result, _xlfn.XLOOKUP($B479, Result_Database!$A$2:$A$500, Result_Database!S$2:S$500),
  _xlfn.IFNA(_xlpm.result, "")
)</f>
        <v/>
      </c>
      <c r="U479" t="str">
        <f>_xlfn.LET(
  _xlpm.result, _xlfn.XLOOKUP($B479, Result_Database!$A$2:$A$500, Result_Database!T$2:T$500),
  _xlfn.IFNA(_xlpm.result, "")
)</f>
        <v/>
      </c>
      <c r="V479" t="str">
        <f>_xlfn.LET(
  _xlpm.result, _xlfn.XLOOKUP($B479, Result_Database!$A$2:$A$500, Result_Database!U$2:U$500),
  _xlfn.IFNA(_xlpm.result, "")
)</f>
        <v/>
      </c>
      <c r="W479" t="str">
        <f>_xlfn.LET(
  _xlpm.result, _xlfn.XLOOKUP($B479, Result_Database!$A$2:$A$500, Result_Database!V$2:V$500),
  _xlfn.IFNA(_xlpm.result, "")
)</f>
        <v/>
      </c>
      <c r="X479" t="str">
        <f>_xlfn.LET(
  _xlpm.result, _xlfn.XLOOKUP($B479, Result_Database!$A$2:$A$500, Result_Database!W$2:W$500),
  _xlfn.IFNA(_xlpm.result, "")
)</f>
        <v/>
      </c>
      <c r="Y479" t="str">
        <f>_xlfn.LET(
  _xlpm.result, _xlfn.XLOOKUP($B479, Result_Database!$A$2:$A$500, Result_Database!X$2:X$500),
  _xlfn.IFNA(_xlpm.result, "")
)</f>
        <v/>
      </c>
      <c r="Z479" t="str">
        <f>_xlfn.LET(
  _xlpm.result, _xlfn.XLOOKUP($B479, Result_Database!$A$2:$A$500, Result_Database!Y$2:Y$500),
  _xlfn.IFNA(_xlpm.result, "")
)</f>
        <v/>
      </c>
      <c r="AA479" t="str">
        <f>_xlfn.LET(
  _xlpm.result, _xlfn.XLOOKUP($B479, Result_Database!$A$2:$A$500, Result_Database!Z$2:Z$500),
  _xlfn.IFNA(_xlpm.result, "")
)</f>
        <v/>
      </c>
      <c r="AB479" t="str">
        <f>_xlfn.LET(
  _xlpm.result, _xlfn.XLOOKUP($B479, Result_Database!$A$2:$A$500, Result_Database!AA$2:AA$500),
  _xlfn.IFNA(_xlpm.result, "")
)</f>
        <v/>
      </c>
      <c r="AC479" t="str">
        <f>_xlfn.LET(
  _xlpm.result, _xlfn.XLOOKUP($B479, Result_Database!$A$2:$A$500, Result_Database!AB$2:AB$500),
  _xlfn.IFNA(_xlpm.result, "")
)</f>
        <v/>
      </c>
      <c r="AD479" t="str">
        <f>_xlfn.LET(
  _xlpm.result, _xlfn.XLOOKUP($B479, Result_Database!$A$2:$A$500, Result_Database!AC$2:AC$500),
  _xlfn.IFNA(_xlpm.result, "")
)</f>
        <v/>
      </c>
      <c r="AE479" t="str">
        <f>_xlfn.LET(
  _xlpm.result, _xlfn.XLOOKUP($B479, Result_Database!$A$2:$A$500, Result_Database!AD$2:AD$500),
  _xlfn.IFNA(_xlpm.result, "")
)</f>
        <v/>
      </c>
      <c r="AF479" t="str">
        <f>_xlfn.LET(
  _xlpm.result, _xlfn.XLOOKUP($B479, Result_Database!$A$2:$A$500, Result_Database!AE$2:AE$500),
  _xlfn.IFNA(_xlpm.result, "")
)</f>
        <v/>
      </c>
      <c r="AG479" t="str">
        <f>_xlfn.LET(
  _xlpm.result, _xlfn.XLOOKUP($B479, Result_Database!$A$2:$A$500, Result_Database!AF$2:AF$500),
  _xlfn.IFNA(_xlpm.result, "")
)</f>
        <v/>
      </c>
      <c r="AH479" t="str">
        <f>_xlfn.LET(
  _xlpm.result, _xlfn.XLOOKUP($B479, Result_Database!$A$2:$A$500, Result_Database!AG$2:AG$500),
  _xlfn.IFNA(_xlpm.result, "")
)</f>
        <v/>
      </c>
      <c r="AI479" t="str">
        <f>_xlfn.LET(
  _xlpm.result, _xlfn.XLOOKUP($B479, Result_Database!$A$2:$A$500, Result_Database!AH$2:AH$500),
  _xlfn.IFNA(_xlpm.result, "")
)</f>
        <v/>
      </c>
      <c r="AJ479" t="str">
        <f>_xlfn.LET(
  _xlpm.result, _xlfn.XLOOKUP($B479, Result_Database!$A$2:$A$500, Result_Database!AI$2:AI$500),
  _xlfn.IFNA(_xlpm.result, "")
)</f>
        <v/>
      </c>
      <c r="AK479" t="str">
        <f>_xlfn.LET(
  _xlpm.result, _xlfn.XLOOKUP($B479, Result_Database!$A$2:$A$500, Result_Database!AJ$2:AJ$500),
  _xlfn.IFNA(_xlpm.result, "")
)</f>
        <v/>
      </c>
      <c r="AL479" t="str">
        <f>_xlfn.LET(
  _xlpm.result, _xlfn.XLOOKUP($B479, Result_Database!$A$2:$A$500, Result_Database!AK$2:AK$500),
  _xlfn.IFNA(_xlpm.result, "")
)</f>
        <v/>
      </c>
      <c r="AM47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7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7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7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7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7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7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7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7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79" t="str">
        <f>IF(SUM(Table5[[#This Row],[A1]:[C6]])&lt;&gt;0,SUM(Table5[[#This Row],[A1]:[C6]]),"")</f>
        <v/>
      </c>
      <c r="AW479" t="str">
        <f>IF(SUM(Table5[[#This Row],[D7]:[F9]])=0,"",SUM(Table5[[#This Row],[D7]:[F9]]))</f>
        <v/>
      </c>
      <c r="AX47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7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7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7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7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7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79" t="str">
        <f>IF(COUNTIF(Table5[[#This Row],[English Language]:[Electrical/ Electronics]],"WITHHELD")=0,"",COUNTIF(Table5[[#This Row],[English Language]:[Electrical/ Electronics]],"WITHHELD"))</f>
        <v/>
      </c>
      <c r="BE479" t="str">
        <f>IF(SUM(Table5[[#This Row],[NO OF CREDITS]:[BELOW CREDITS]])=0,"",SUM(Table5[[#This Row],[NO OF CREDITS]:[BELOW CREDITS]]))</f>
        <v/>
      </c>
    </row>
    <row r="480" spans="1:57" x14ac:dyDescent="0.3">
      <c r="A480" t="str">
        <f>IF(B480&lt;&gt;"",COUNTA($B$6:B480),"")</f>
        <v/>
      </c>
      <c r="B480" t="str">
        <f>IF(Result_Database!A476="","",Result_Database!A476)</f>
        <v/>
      </c>
      <c r="C480" t="str">
        <f>_xlfn.LET(
_xlpm.result,_xlfn.XLOOKUP($B480,Result_Database!$A$2:$A$500,Result_Database!$B$2:$B$500),
_xlfn.IFNA(_xlpm.result,"")
)</f>
        <v/>
      </c>
      <c r="D480" t="str">
        <f>_xlfn.LET(
  _xlpm.result, _xlfn.XLOOKUP($B480, Result_Database!$A$2:$A$500, Result_Database!C$2:C$500),
  _xlfn.IFNA(_xlpm.result, "")
)</f>
        <v/>
      </c>
      <c r="E480" t="str">
        <f>_xlfn.LET(
  _xlpm.result, _xlfn.XLOOKUP($B480, Result_Database!$A$2:$A$500, Result_Database!D$2:D$500),
  _xlfn.IFNA(_xlpm.result, "")
)</f>
        <v/>
      </c>
      <c r="F480" t="str">
        <f>_xlfn.LET(
  _xlpm.result, _xlfn.XLOOKUP($B480, Result_Database!$A$2:$A$500, Result_Database!E$2:E$500),
  _xlfn.IFNA(_xlpm.result, "")
)</f>
        <v/>
      </c>
      <c r="G480" t="str">
        <f>_xlfn.LET(
  _xlpm.result, _xlfn.XLOOKUP($B480, Result_Database!$A$2:$A$500, Result_Database!F$2:F$500),
  _xlfn.IFNA(_xlpm.result, "")
)</f>
        <v/>
      </c>
      <c r="H480" t="str">
        <f>_xlfn.LET(
  _xlpm.result, _xlfn.XLOOKUP($B480, Result_Database!$A$2:$A$500, Result_Database!G$2:G$500),
  _xlfn.IFNA(_xlpm.result, "")
)</f>
        <v/>
      </c>
      <c r="I480" t="str">
        <f>_xlfn.LET(
  _xlpm.result, _xlfn.XLOOKUP($B480, Result_Database!$A$2:$A$500, Result_Database!H$2:H$500),
  _xlfn.IFNA(_xlpm.result, "")
)</f>
        <v/>
      </c>
      <c r="J480" t="str">
        <f>_xlfn.LET(
  _xlpm.result, _xlfn.XLOOKUP($B480, Result_Database!$A$2:$A$500, Result_Database!I$2:I$500),
  _xlfn.IFNA(_xlpm.result, "")
)</f>
        <v/>
      </c>
      <c r="K480" t="str">
        <f>_xlfn.LET(
  _xlpm.result, _xlfn.XLOOKUP($B480, Result_Database!$A$2:$A$500, Result_Database!J$2:J$500),
  _xlfn.IFNA(_xlpm.result, "")
)</f>
        <v/>
      </c>
      <c r="L480" t="str">
        <f>_xlfn.LET(
  _xlpm.result, _xlfn.XLOOKUP($B480, Result_Database!$A$2:$A$500, Result_Database!K$2:K$500),
  _xlfn.IFNA(_xlpm.result, "")
)</f>
        <v/>
      </c>
      <c r="M480" t="str">
        <f>_xlfn.LET(
  _xlpm.result, _xlfn.XLOOKUP($B480, Result_Database!$A$2:$A$500, Result_Database!L$2:L$500),
  _xlfn.IFNA(_xlpm.result, "")
)</f>
        <v/>
      </c>
      <c r="N480" t="str">
        <f>_xlfn.LET(
  _xlpm.result, _xlfn.XLOOKUP($B480, Result_Database!$A$2:$A$500, Result_Database!M$2:M$500),
  _xlfn.IFNA(_xlpm.result, "")
)</f>
        <v/>
      </c>
      <c r="O480" t="str">
        <f>_xlfn.LET(
  _xlpm.result, _xlfn.XLOOKUP($B480, Result_Database!$A$2:$A$500, Result_Database!N$2:N$500),
  _xlfn.IFNA(_xlpm.result, "")
)</f>
        <v/>
      </c>
      <c r="P480" t="str">
        <f>_xlfn.LET(
  _xlpm.result, _xlfn.XLOOKUP($B480, Result_Database!$A$2:$A$500, Result_Database!O$2:O$500),
  _xlfn.IFNA(_xlpm.result, "")
)</f>
        <v/>
      </c>
      <c r="Q480" t="str">
        <f>_xlfn.LET(
  _xlpm.result, _xlfn.XLOOKUP($B480, Result_Database!$A$2:$A$500, Result_Database!P$2:P$500),
  _xlfn.IFNA(_xlpm.result, "")
)</f>
        <v/>
      </c>
      <c r="R480" t="str">
        <f>_xlfn.LET(
  _xlpm.result, _xlfn.XLOOKUP($B480, Result_Database!$A$2:$A$500, Result_Database!Q$2:Q$500),
  _xlfn.IFNA(_xlpm.result, "")
)</f>
        <v/>
      </c>
      <c r="S480" t="str">
        <f>_xlfn.LET(
  _xlpm.result, _xlfn.XLOOKUP($B480, Result_Database!$A$2:$A$500, Result_Database!R$2:R$500),
  _xlfn.IFNA(_xlpm.result, "")
)</f>
        <v/>
      </c>
      <c r="T480" t="str">
        <f>_xlfn.LET(
  _xlpm.result, _xlfn.XLOOKUP($B480, Result_Database!$A$2:$A$500, Result_Database!S$2:S$500),
  _xlfn.IFNA(_xlpm.result, "")
)</f>
        <v/>
      </c>
      <c r="U480" t="str">
        <f>_xlfn.LET(
  _xlpm.result, _xlfn.XLOOKUP($B480, Result_Database!$A$2:$A$500, Result_Database!T$2:T$500),
  _xlfn.IFNA(_xlpm.result, "")
)</f>
        <v/>
      </c>
      <c r="V480" t="str">
        <f>_xlfn.LET(
  _xlpm.result, _xlfn.XLOOKUP($B480, Result_Database!$A$2:$A$500, Result_Database!U$2:U$500),
  _xlfn.IFNA(_xlpm.result, "")
)</f>
        <v/>
      </c>
      <c r="W480" t="str">
        <f>_xlfn.LET(
  _xlpm.result, _xlfn.XLOOKUP($B480, Result_Database!$A$2:$A$500, Result_Database!V$2:V$500),
  _xlfn.IFNA(_xlpm.result, "")
)</f>
        <v/>
      </c>
      <c r="X480" t="str">
        <f>_xlfn.LET(
  _xlpm.result, _xlfn.XLOOKUP($B480, Result_Database!$A$2:$A$500, Result_Database!W$2:W$500),
  _xlfn.IFNA(_xlpm.result, "")
)</f>
        <v/>
      </c>
      <c r="Y480" t="str">
        <f>_xlfn.LET(
  _xlpm.result, _xlfn.XLOOKUP($B480, Result_Database!$A$2:$A$500, Result_Database!X$2:X$500),
  _xlfn.IFNA(_xlpm.result, "")
)</f>
        <v/>
      </c>
      <c r="Z480" t="str">
        <f>_xlfn.LET(
  _xlpm.result, _xlfn.XLOOKUP($B480, Result_Database!$A$2:$A$500, Result_Database!Y$2:Y$500),
  _xlfn.IFNA(_xlpm.result, "")
)</f>
        <v/>
      </c>
      <c r="AA480" t="str">
        <f>_xlfn.LET(
  _xlpm.result, _xlfn.XLOOKUP($B480, Result_Database!$A$2:$A$500, Result_Database!Z$2:Z$500),
  _xlfn.IFNA(_xlpm.result, "")
)</f>
        <v/>
      </c>
      <c r="AB480" t="str">
        <f>_xlfn.LET(
  _xlpm.result, _xlfn.XLOOKUP($B480, Result_Database!$A$2:$A$500, Result_Database!AA$2:AA$500),
  _xlfn.IFNA(_xlpm.result, "")
)</f>
        <v/>
      </c>
      <c r="AC480" t="str">
        <f>_xlfn.LET(
  _xlpm.result, _xlfn.XLOOKUP($B480, Result_Database!$A$2:$A$500, Result_Database!AB$2:AB$500),
  _xlfn.IFNA(_xlpm.result, "")
)</f>
        <v/>
      </c>
      <c r="AD480" t="str">
        <f>_xlfn.LET(
  _xlpm.result, _xlfn.XLOOKUP($B480, Result_Database!$A$2:$A$500, Result_Database!AC$2:AC$500),
  _xlfn.IFNA(_xlpm.result, "")
)</f>
        <v/>
      </c>
      <c r="AE480" t="str">
        <f>_xlfn.LET(
  _xlpm.result, _xlfn.XLOOKUP($B480, Result_Database!$A$2:$A$500, Result_Database!AD$2:AD$500),
  _xlfn.IFNA(_xlpm.result, "")
)</f>
        <v/>
      </c>
      <c r="AF480" t="str">
        <f>_xlfn.LET(
  _xlpm.result, _xlfn.XLOOKUP($B480, Result_Database!$A$2:$A$500, Result_Database!AE$2:AE$500),
  _xlfn.IFNA(_xlpm.result, "")
)</f>
        <v/>
      </c>
      <c r="AG480" t="str">
        <f>_xlfn.LET(
  _xlpm.result, _xlfn.XLOOKUP($B480, Result_Database!$A$2:$A$500, Result_Database!AF$2:AF$500),
  _xlfn.IFNA(_xlpm.result, "")
)</f>
        <v/>
      </c>
      <c r="AH480" t="str">
        <f>_xlfn.LET(
  _xlpm.result, _xlfn.XLOOKUP($B480, Result_Database!$A$2:$A$500, Result_Database!AG$2:AG$500),
  _xlfn.IFNA(_xlpm.result, "")
)</f>
        <v/>
      </c>
      <c r="AI480" t="str">
        <f>_xlfn.LET(
  _xlpm.result, _xlfn.XLOOKUP($B480, Result_Database!$A$2:$A$500, Result_Database!AH$2:AH$500),
  _xlfn.IFNA(_xlpm.result, "")
)</f>
        <v/>
      </c>
      <c r="AJ480" t="str">
        <f>_xlfn.LET(
  _xlpm.result, _xlfn.XLOOKUP($B480, Result_Database!$A$2:$A$500, Result_Database!AI$2:AI$500),
  _xlfn.IFNA(_xlpm.result, "")
)</f>
        <v/>
      </c>
      <c r="AK480" t="str">
        <f>_xlfn.LET(
  _xlpm.result, _xlfn.XLOOKUP($B480, Result_Database!$A$2:$A$500, Result_Database!AJ$2:AJ$500),
  _xlfn.IFNA(_xlpm.result, "")
)</f>
        <v/>
      </c>
      <c r="AL480" t="str">
        <f>_xlfn.LET(
  _xlpm.result, _xlfn.XLOOKUP($B480, Result_Database!$A$2:$A$500, Result_Database!AK$2:AK$500),
  _xlfn.IFNA(_xlpm.result, "")
)</f>
        <v/>
      </c>
      <c r="AM48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8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8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8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8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8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8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8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8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80" t="str">
        <f>IF(SUM(Table5[[#This Row],[A1]:[C6]])&lt;&gt;0,SUM(Table5[[#This Row],[A1]:[C6]]),"")</f>
        <v/>
      </c>
      <c r="AW480" t="str">
        <f>IF(SUM(Table5[[#This Row],[D7]:[F9]])=0,"",SUM(Table5[[#This Row],[D7]:[F9]]))</f>
        <v/>
      </c>
      <c r="AX48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8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8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8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8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8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80" t="str">
        <f>IF(COUNTIF(Table5[[#This Row],[English Language]:[Electrical/ Electronics]],"WITHHELD")=0,"",COUNTIF(Table5[[#This Row],[English Language]:[Electrical/ Electronics]],"WITHHELD"))</f>
        <v/>
      </c>
      <c r="BE480" t="str">
        <f>IF(SUM(Table5[[#This Row],[NO OF CREDITS]:[BELOW CREDITS]])=0,"",SUM(Table5[[#This Row],[NO OF CREDITS]:[BELOW CREDITS]]))</f>
        <v/>
      </c>
    </row>
    <row r="481" spans="1:57" x14ac:dyDescent="0.3">
      <c r="A481" t="str">
        <f>IF(B481&lt;&gt;"",COUNTA($B$6:B481),"")</f>
        <v/>
      </c>
      <c r="B481" t="str">
        <f>IF(Result_Database!A477="","",Result_Database!A477)</f>
        <v/>
      </c>
      <c r="C481" t="str">
        <f>_xlfn.LET(
_xlpm.result,_xlfn.XLOOKUP($B481,Result_Database!$A$2:$A$500,Result_Database!$B$2:$B$500),
_xlfn.IFNA(_xlpm.result,"")
)</f>
        <v/>
      </c>
      <c r="D481" t="str">
        <f>_xlfn.LET(
  _xlpm.result, _xlfn.XLOOKUP($B481, Result_Database!$A$2:$A$500, Result_Database!C$2:C$500),
  _xlfn.IFNA(_xlpm.result, "")
)</f>
        <v/>
      </c>
      <c r="E481" t="str">
        <f>_xlfn.LET(
  _xlpm.result, _xlfn.XLOOKUP($B481, Result_Database!$A$2:$A$500, Result_Database!D$2:D$500),
  _xlfn.IFNA(_xlpm.result, "")
)</f>
        <v/>
      </c>
      <c r="F481" t="str">
        <f>_xlfn.LET(
  _xlpm.result, _xlfn.XLOOKUP($B481, Result_Database!$A$2:$A$500, Result_Database!E$2:E$500),
  _xlfn.IFNA(_xlpm.result, "")
)</f>
        <v/>
      </c>
      <c r="G481" t="str">
        <f>_xlfn.LET(
  _xlpm.result, _xlfn.XLOOKUP($B481, Result_Database!$A$2:$A$500, Result_Database!F$2:F$500),
  _xlfn.IFNA(_xlpm.result, "")
)</f>
        <v/>
      </c>
      <c r="H481" t="str">
        <f>_xlfn.LET(
  _xlpm.result, _xlfn.XLOOKUP($B481, Result_Database!$A$2:$A$500, Result_Database!G$2:G$500),
  _xlfn.IFNA(_xlpm.result, "")
)</f>
        <v/>
      </c>
      <c r="I481" t="str">
        <f>_xlfn.LET(
  _xlpm.result, _xlfn.XLOOKUP($B481, Result_Database!$A$2:$A$500, Result_Database!H$2:H$500),
  _xlfn.IFNA(_xlpm.result, "")
)</f>
        <v/>
      </c>
      <c r="J481" t="str">
        <f>_xlfn.LET(
  _xlpm.result, _xlfn.XLOOKUP($B481, Result_Database!$A$2:$A$500, Result_Database!I$2:I$500),
  _xlfn.IFNA(_xlpm.result, "")
)</f>
        <v/>
      </c>
      <c r="K481" t="str">
        <f>_xlfn.LET(
  _xlpm.result, _xlfn.XLOOKUP($B481, Result_Database!$A$2:$A$500, Result_Database!J$2:J$500),
  _xlfn.IFNA(_xlpm.result, "")
)</f>
        <v/>
      </c>
      <c r="L481" t="str">
        <f>_xlfn.LET(
  _xlpm.result, _xlfn.XLOOKUP($B481, Result_Database!$A$2:$A$500, Result_Database!K$2:K$500),
  _xlfn.IFNA(_xlpm.result, "")
)</f>
        <v/>
      </c>
      <c r="M481" t="str">
        <f>_xlfn.LET(
  _xlpm.result, _xlfn.XLOOKUP($B481, Result_Database!$A$2:$A$500, Result_Database!L$2:L$500),
  _xlfn.IFNA(_xlpm.result, "")
)</f>
        <v/>
      </c>
      <c r="N481" t="str">
        <f>_xlfn.LET(
  _xlpm.result, _xlfn.XLOOKUP($B481, Result_Database!$A$2:$A$500, Result_Database!M$2:M$500),
  _xlfn.IFNA(_xlpm.result, "")
)</f>
        <v/>
      </c>
      <c r="O481" t="str">
        <f>_xlfn.LET(
  _xlpm.result, _xlfn.XLOOKUP($B481, Result_Database!$A$2:$A$500, Result_Database!N$2:N$500),
  _xlfn.IFNA(_xlpm.result, "")
)</f>
        <v/>
      </c>
      <c r="P481" t="str">
        <f>_xlfn.LET(
  _xlpm.result, _xlfn.XLOOKUP($B481, Result_Database!$A$2:$A$500, Result_Database!O$2:O$500),
  _xlfn.IFNA(_xlpm.result, "")
)</f>
        <v/>
      </c>
      <c r="Q481" t="str">
        <f>_xlfn.LET(
  _xlpm.result, _xlfn.XLOOKUP($B481, Result_Database!$A$2:$A$500, Result_Database!P$2:P$500),
  _xlfn.IFNA(_xlpm.result, "")
)</f>
        <v/>
      </c>
      <c r="R481" t="str">
        <f>_xlfn.LET(
  _xlpm.result, _xlfn.XLOOKUP($B481, Result_Database!$A$2:$A$500, Result_Database!Q$2:Q$500),
  _xlfn.IFNA(_xlpm.result, "")
)</f>
        <v/>
      </c>
      <c r="S481" t="str">
        <f>_xlfn.LET(
  _xlpm.result, _xlfn.XLOOKUP($B481, Result_Database!$A$2:$A$500, Result_Database!R$2:R$500),
  _xlfn.IFNA(_xlpm.result, "")
)</f>
        <v/>
      </c>
      <c r="T481" t="str">
        <f>_xlfn.LET(
  _xlpm.result, _xlfn.XLOOKUP($B481, Result_Database!$A$2:$A$500, Result_Database!S$2:S$500),
  _xlfn.IFNA(_xlpm.result, "")
)</f>
        <v/>
      </c>
      <c r="U481" t="str">
        <f>_xlfn.LET(
  _xlpm.result, _xlfn.XLOOKUP($B481, Result_Database!$A$2:$A$500, Result_Database!T$2:T$500),
  _xlfn.IFNA(_xlpm.result, "")
)</f>
        <v/>
      </c>
      <c r="V481" t="str">
        <f>_xlfn.LET(
  _xlpm.result, _xlfn.XLOOKUP($B481, Result_Database!$A$2:$A$500, Result_Database!U$2:U$500),
  _xlfn.IFNA(_xlpm.result, "")
)</f>
        <v/>
      </c>
      <c r="W481" t="str">
        <f>_xlfn.LET(
  _xlpm.result, _xlfn.XLOOKUP($B481, Result_Database!$A$2:$A$500, Result_Database!V$2:V$500),
  _xlfn.IFNA(_xlpm.result, "")
)</f>
        <v/>
      </c>
      <c r="X481" t="str">
        <f>_xlfn.LET(
  _xlpm.result, _xlfn.XLOOKUP($B481, Result_Database!$A$2:$A$500, Result_Database!W$2:W$500),
  _xlfn.IFNA(_xlpm.result, "")
)</f>
        <v/>
      </c>
      <c r="Y481" t="str">
        <f>_xlfn.LET(
  _xlpm.result, _xlfn.XLOOKUP($B481, Result_Database!$A$2:$A$500, Result_Database!X$2:X$500),
  _xlfn.IFNA(_xlpm.result, "")
)</f>
        <v/>
      </c>
      <c r="Z481" t="str">
        <f>_xlfn.LET(
  _xlpm.result, _xlfn.XLOOKUP($B481, Result_Database!$A$2:$A$500, Result_Database!Y$2:Y$500),
  _xlfn.IFNA(_xlpm.result, "")
)</f>
        <v/>
      </c>
      <c r="AA481" t="str">
        <f>_xlfn.LET(
  _xlpm.result, _xlfn.XLOOKUP($B481, Result_Database!$A$2:$A$500, Result_Database!Z$2:Z$500),
  _xlfn.IFNA(_xlpm.result, "")
)</f>
        <v/>
      </c>
      <c r="AB481" t="str">
        <f>_xlfn.LET(
  _xlpm.result, _xlfn.XLOOKUP($B481, Result_Database!$A$2:$A$500, Result_Database!AA$2:AA$500),
  _xlfn.IFNA(_xlpm.result, "")
)</f>
        <v/>
      </c>
      <c r="AC481" t="str">
        <f>_xlfn.LET(
  _xlpm.result, _xlfn.XLOOKUP($B481, Result_Database!$A$2:$A$500, Result_Database!AB$2:AB$500),
  _xlfn.IFNA(_xlpm.result, "")
)</f>
        <v/>
      </c>
      <c r="AD481" t="str">
        <f>_xlfn.LET(
  _xlpm.result, _xlfn.XLOOKUP($B481, Result_Database!$A$2:$A$500, Result_Database!AC$2:AC$500),
  _xlfn.IFNA(_xlpm.result, "")
)</f>
        <v/>
      </c>
      <c r="AE481" t="str">
        <f>_xlfn.LET(
  _xlpm.result, _xlfn.XLOOKUP($B481, Result_Database!$A$2:$A$500, Result_Database!AD$2:AD$500),
  _xlfn.IFNA(_xlpm.result, "")
)</f>
        <v/>
      </c>
      <c r="AF481" t="str">
        <f>_xlfn.LET(
  _xlpm.result, _xlfn.XLOOKUP($B481, Result_Database!$A$2:$A$500, Result_Database!AE$2:AE$500),
  _xlfn.IFNA(_xlpm.result, "")
)</f>
        <v/>
      </c>
      <c r="AG481" t="str">
        <f>_xlfn.LET(
  _xlpm.result, _xlfn.XLOOKUP($B481, Result_Database!$A$2:$A$500, Result_Database!AF$2:AF$500),
  _xlfn.IFNA(_xlpm.result, "")
)</f>
        <v/>
      </c>
      <c r="AH481" t="str">
        <f>_xlfn.LET(
  _xlpm.result, _xlfn.XLOOKUP($B481, Result_Database!$A$2:$A$500, Result_Database!AG$2:AG$500),
  _xlfn.IFNA(_xlpm.result, "")
)</f>
        <v/>
      </c>
      <c r="AI481" t="str">
        <f>_xlfn.LET(
  _xlpm.result, _xlfn.XLOOKUP($B481, Result_Database!$A$2:$A$500, Result_Database!AH$2:AH$500),
  _xlfn.IFNA(_xlpm.result, "")
)</f>
        <v/>
      </c>
      <c r="AJ481" t="str">
        <f>_xlfn.LET(
  _xlpm.result, _xlfn.XLOOKUP($B481, Result_Database!$A$2:$A$500, Result_Database!AI$2:AI$500),
  _xlfn.IFNA(_xlpm.result, "")
)</f>
        <v/>
      </c>
      <c r="AK481" t="str">
        <f>_xlfn.LET(
  _xlpm.result, _xlfn.XLOOKUP($B481, Result_Database!$A$2:$A$500, Result_Database!AJ$2:AJ$500),
  _xlfn.IFNA(_xlpm.result, "")
)</f>
        <v/>
      </c>
      <c r="AL481" t="str">
        <f>_xlfn.LET(
  _xlpm.result, _xlfn.XLOOKUP($B481, Result_Database!$A$2:$A$500, Result_Database!AK$2:AK$500),
  _xlfn.IFNA(_xlpm.result, "")
)</f>
        <v/>
      </c>
      <c r="AM48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8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8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8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8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8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8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8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8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81" t="str">
        <f>IF(SUM(Table5[[#This Row],[A1]:[C6]])&lt;&gt;0,SUM(Table5[[#This Row],[A1]:[C6]]),"")</f>
        <v/>
      </c>
      <c r="AW481" t="str">
        <f>IF(SUM(Table5[[#This Row],[D7]:[F9]])=0,"",SUM(Table5[[#This Row],[D7]:[F9]]))</f>
        <v/>
      </c>
      <c r="AX48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8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8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8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8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8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81" t="str">
        <f>IF(COUNTIF(Table5[[#This Row],[English Language]:[Electrical/ Electronics]],"WITHHELD")=0,"",COUNTIF(Table5[[#This Row],[English Language]:[Electrical/ Electronics]],"WITHHELD"))</f>
        <v/>
      </c>
      <c r="BE481" t="str">
        <f>IF(SUM(Table5[[#This Row],[NO OF CREDITS]:[BELOW CREDITS]])=0,"",SUM(Table5[[#This Row],[NO OF CREDITS]:[BELOW CREDITS]]))</f>
        <v/>
      </c>
    </row>
    <row r="482" spans="1:57" x14ac:dyDescent="0.3">
      <c r="A482" t="str">
        <f>IF(B482&lt;&gt;"",COUNTA($B$6:B482),"")</f>
        <v/>
      </c>
      <c r="B482" t="str">
        <f>IF(Result_Database!A478="","",Result_Database!A478)</f>
        <v/>
      </c>
      <c r="C482" t="str">
        <f>_xlfn.LET(
_xlpm.result,_xlfn.XLOOKUP($B482,Result_Database!$A$2:$A$500,Result_Database!$B$2:$B$500),
_xlfn.IFNA(_xlpm.result,"")
)</f>
        <v/>
      </c>
      <c r="D482" t="str">
        <f>_xlfn.LET(
  _xlpm.result, _xlfn.XLOOKUP($B482, Result_Database!$A$2:$A$500, Result_Database!C$2:C$500),
  _xlfn.IFNA(_xlpm.result, "")
)</f>
        <v/>
      </c>
      <c r="E482" t="str">
        <f>_xlfn.LET(
  _xlpm.result, _xlfn.XLOOKUP($B482, Result_Database!$A$2:$A$500, Result_Database!D$2:D$500),
  _xlfn.IFNA(_xlpm.result, "")
)</f>
        <v/>
      </c>
      <c r="F482" t="str">
        <f>_xlfn.LET(
  _xlpm.result, _xlfn.XLOOKUP($B482, Result_Database!$A$2:$A$500, Result_Database!E$2:E$500),
  _xlfn.IFNA(_xlpm.result, "")
)</f>
        <v/>
      </c>
      <c r="G482" t="str">
        <f>_xlfn.LET(
  _xlpm.result, _xlfn.XLOOKUP($B482, Result_Database!$A$2:$A$500, Result_Database!F$2:F$500),
  _xlfn.IFNA(_xlpm.result, "")
)</f>
        <v/>
      </c>
      <c r="H482" t="str">
        <f>_xlfn.LET(
  _xlpm.result, _xlfn.XLOOKUP($B482, Result_Database!$A$2:$A$500, Result_Database!G$2:G$500),
  _xlfn.IFNA(_xlpm.result, "")
)</f>
        <v/>
      </c>
      <c r="I482" t="str">
        <f>_xlfn.LET(
  _xlpm.result, _xlfn.XLOOKUP($B482, Result_Database!$A$2:$A$500, Result_Database!H$2:H$500),
  _xlfn.IFNA(_xlpm.result, "")
)</f>
        <v/>
      </c>
      <c r="J482" t="str">
        <f>_xlfn.LET(
  _xlpm.result, _xlfn.XLOOKUP($B482, Result_Database!$A$2:$A$500, Result_Database!I$2:I$500),
  _xlfn.IFNA(_xlpm.result, "")
)</f>
        <v/>
      </c>
      <c r="K482" t="str">
        <f>_xlfn.LET(
  _xlpm.result, _xlfn.XLOOKUP($B482, Result_Database!$A$2:$A$500, Result_Database!J$2:J$500),
  _xlfn.IFNA(_xlpm.result, "")
)</f>
        <v/>
      </c>
      <c r="L482" t="str">
        <f>_xlfn.LET(
  _xlpm.result, _xlfn.XLOOKUP($B482, Result_Database!$A$2:$A$500, Result_Database!K$2:K$500),
  _xlfn.IFNA(_xlpm.result, "")
)</f>
        <v/>
      </c>
      <c r="M482" t="str">
        <f>_xlfn.LET(
  _xlpm.result, _xlfn.XLOOKUP($B482, Result_Database!$A$2:$A$500, Result_Database!L$2:L$500),
  _xlfn.IFNA(_xlpm.result, "")
)</f>
        <v/>
      </c>
      <c r="N482" t="str">
        <f>_xlfn.LET(
  _xlpm.result, _xlfn.XLOOKUP($B482, Result_Database!$A$2:$A$500, Result_Database!M$2:M$500),
  _xlfn.IFNA(_xlpm.result, "")
)</f>
        <v/>
      </c>
      <c r="O482" t="str">
        <f>_xlfn.LET(
  _xlpm.result, _xlfn.XLOOKUP($B482, Result_Database!$A$2:$A$500, Result_Database!N$2:N$500),
  _xlfn.IFNA(_xlpm.result, "")
)</f>
        <v/>
      </c>
      <c r="P482" t="str">
        <f>_xlfn.LET(
  _xlpm.result, _xlfn.XLOOKUP($B482, Result_Database!$A$2:$A$500, Result_Database!O$2:O$500),
  _xlfn.IFNA(_xlpm.result, "")
)</f>
        <v/>
      </c>
      <c r="Q482" t="str">
        <f>_xlfn.LET(
  _xlpm.result, _xlfn.XLOOKUP($B482, Result_Database!$A$2:$A$500, Result_Database!P$2:P$500),
  _xlfn.IFNA(_xlpm.result, "")
)</f>
        <v/>
      </c>
      <c r="R482" t="str">
        <f>_xlfn.LET(
  _xlpm.result, _xlfn.XLOOKUP($B482, Result_Database!$A$2:$A$500, Result_Database!Q$2:Q$500),
  _xlfn.IFNA(_xlpm.result, "")
)</f>
        <v/>
      </c>
      <c r="S482" t="str">
        <f>_xlfn.LET(
  _xlpm.result, _xlfn.XLOOKUP($B482, Result_Database!$A$2:$A$500, Result_Database!R$2:R$500),
  _xlfn.IFNA(_xlpm.result, "")
)</f>
        <v/>
      </c>
      <c r="T482" t="str">
        <f>_xlfn.LET(
  _xlpm.result, _xlfn.XLOOKUP($B482, Result_Database!$A$2:$A$500, Result_Database!S$2:S$500),
  _xlfn.IFNA(_xlpm.result, "")
)</f>
        <v/>
      </c>
      <c r="U482" t="str">
        <f>_xlfn.LET(
  _xlpm.result, _xlfn.XLOOKUP($B482, Result_Database!$A$2:$A$500, Result_Database!T$2:T$500),
  _xlfn.IFNA(_xlpm.result, "")
)</f>
        <v/>
      </c>
      <c r="V482" t="str">
        <f>_xlfn.LET(
  _xlpm.result, _xlfn.XLOOKUP($B482, Result_Database!$A$2:$A$500, Result_Database!U$2:U$500),
  _xlfn.IFNA(_xlpm.result, "")
)</f>
        <v/>
      </c>
      <c r="W482" t="str">
        <f>_xlfn.LET(
  _xlpm.result, _xlfn.XLOOKUP($B482, Result_Database!$A$2:$A$500, Result_Database!V$2:V$500),
  _xlfn.IFNA(_xlpm.result, "")
)</f>
        <v/>
      </c>
      <c r="X482" t="str">
        <f>_xlfn.LET(
  _xlpm.result, _xlfn.XLOOKUP($B482, Result_Database!$A$2:$A$500, Result_Database!W$2:W$500),
  _xlfn.IFNA(_xlpm.result, "")
)</f>
        <v/>
      </c>
      <c r="Y482" t="str">
        <f>_xlfn.LET(
  _xlpm.result, _xlfn.XLOOKUP($B482, Result_Database!$A$2:$A$500, Result_Database!X$2:X$500),
  _xlfn.IFNA(_xlpm.result, "")
)</f>
        <v/>
      </c>
      <c r="Z482" t="str">
        <f>_xlfn.LET(
  _xlpm.result, _xlfn.XLOOKUP($B482, Result_Database!$A$2:$A$500, Result_Database!Y$2:Y$500),
  _xlfn.IFNA(_xlpm.result, "")
)</f>
        <v/>
      </c>
      <c r="AA482" t="str">
        <f>_xlfn.LET(
  _xlpm.result, _xlfn.XLOOKUP($B482, Result_Database!$A$2:$A$500, Result_Database!Z$2:Z$500),
  _xlfn.IFNA(_xlpm.result, "")
)</f>
        <v/>
      </c>
      <c r="AB482" t="str">
        <f>_xlfn.LET(
  _xlpm.result, _xlfn.XLOOKUP($B482, Result_Database!$A$2:$A$500, Result_Database!AA$2:AA$500),
  _xlfn.IFNA(_xlpm.result, "")
)</f>
        <v/>
      </c>
      <c r="AC482" t="str">
        <f>_xlfn.LET(
  _xlpm.result, _xlfn.XLOOKUP($B482, Result_Database!$A$2:$A$500, Result_Database!AB$2:AB$500),
  _xlfn.IFNA(_xlpm.result, "")
)</f>
        <v/>
      </c>
      <c r="AD482" t="str">
        <f>_xlfn.LET(
  _xlpm.result, _xlfn.XLOOKUP($B482, Result_Database!$A$2:$A$500, Result_Database!AC$2:AC$500),
  _xlfn.IFNA(_xlpm.result, "")
)</f>
        <v/>
      </c>
      <c r="AE482" t="str">
        <f>_xlfn.LET(
  _xlpm.result, _xlfn.XLOOKUP($B482, Result_Database!$A$2:$A$500, Result_Database!AD$2:AD$500),
  _xlfn.IFNA(_xlpm.result, "")
)</f>
        <v/>
      </c>
      <c r="AF482" t="str">
        <f>_xlfn.LET(
  _xlpm.result, _xlfn.XLOOKUP($B482, Result_Database!$A$2:$A$500, Result_Database!AE$2:AE$500),
  _xlfn.IFNA(_xlpm.result, "")
)</f>
        <v/>
      </c>
      <c r="AG482" t="str">
        <f>_xlfn.LET(
  _xlpm.result, _xlfn.XLOOKUP($B482, Result_Database!$A$2:$A$500, Result_Database!AF$2:AF$500),
  _xlfn.IFNA(_xlpm.result, "")
)</f>
        <v/>
      </c>
      <c r="AH482" t="str">
        <f>_xlfn.LET(
  _xlpm.result, _xlfn.XLOOKUP($B482, Result_Database!$A$2:$A$500, Result_Database!AG$2:AG$500),
  _xlfn.IFNA(_xlpm.result, "")
)</f>
        <v/>
      </c>
      <c r="AI482" t="str">
        <f>_xlfn.LET(
  _xlpm.result, _xlfn.XLOOKUP($B482, Result_Database!$A$2:$A$500, Result_Database!AH$2:AH$500),
  _xlfn.IFNA(_xlpm.result, "")
)</f>
        <v/>
      </c>
      <c r="AJ482" t="str">
        <f>_xlfn.LET(
  _xlpm.result, _xlfn.XLOOKUP($B482, Result_Database!$A$2:$A$500, Result_Database!AI$2:AI$500),
  _xlfn.IFNA(_xlpm.result, "")
)</f>
        <v/>
      </c>
      <c r="AK482" t="str">
        <f>_xlfn.LET(
  _xlpm.result, _xlfn.XLOOKUP($B482, Result_Database!$A$2:$A$500, Result_Database!AJ$2:AJ$500),
  _xlfn.IFNA(_xlpm.result, "")
)</f>
        <v/>
      </c>
      <c r="AL482" t="str">
        <f>_xlfn.LET(
  _xlpm.result, _xlfn.XLOOKUP($B482, Result_Database!$A$2:$A$500, Result_Database!AK$2:AK$500),
  _xlfn.IFNA(_xlpm.result, "")
)</f>
        <v/>
      </c>
      <c r="AM48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8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8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8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8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8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8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8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8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82" t="str">
        <f>IF(SUM(Table5[[#This Row],[A1]:[C6]])&lt;&gt;0,SUM(Table5[[#This Row],[A1]:[C6]]),"")</f>
        <v/>
      </c>
      <c r="AW482" t="str">
        <f>IF(SUM(Table5[[#This Row],[D7]:[F9]])=0,"",SUM(Table5[[#This Row],[D7]:[F9]]))</f>
        <v/>
      </c>
      <c r="AX48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8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8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8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8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8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82" t="str">
        <f>IF(COUNTIF(Table5[[#This Row],[English Language]:[Electrical/ Electronics]],"WITHHELD")=0,"",COUNTIF(Table5[[#This Row],[English Language]:[Electrical/ Electronics]],"WITHHELD"))</f>
        <v/>
      </c>
      <c r="BE482" t="str">
        <f>IF(SUM(Table5[[#This Row],[NO OF CREDITS]:[BELOW CREDITS]])=0,"",SUM(Table5[[#This Row],[NO OF CREDITS]:[BELOW CREDITS]]))</f>
        <v/>
      </c>
    </row>
    <row r="483" spans="1:57" x14ac:dyDescent="0.3">
      <c r="A483" t="str">
        <f>IF(B483&lt;&gt;"",COUNTA($B$6:B483),"")</f>
        <v/>
      </c>
      <c r="B483" t="str">
        <f>IF(Result_Database!A479="","",Result_Database!A479)</f>
        <v/>
      </c>
      <c r="C483" t="str">
        <f>_xlfn.LET(
_xlpm.result,_xlfn.XLOOKUP($B483,Result_Database!$A$2:$A$500,Result_Database!$B$2:$B$500),
_xlfn.IFNA(_xlpm.result,"")
)</f>
        <v/>
      </c>
      <c r="D483" t="str">
        <f>_xlfn.LET(
  _xlpm.result, _xlfn.XLOOKUP($B483, Result_Database!$A$2:$A$500, Result_Database!C$2:C$500),
  _xlfn.IFNA(_xlpm.result, "")
)</f>
        <v/>
      </c>
      <c r="E483" t="str">
        <f>_xlfn.LET(
  _xlpm.result, _xlfn.XLOOKUP($B483, Result_Database!$A$2:$A$500, Result_Database!D$2:D$500),
  _xlfn.IFNA(_xlpm.result, "")
)</f>
        <v/>
      </c>
      <c r="F483" t="str">
        <f>_xlfn.LET(
  _xlpm.result, _xlfn.XLOOKUP($B483, Result_Database!$A$2:$A$500, Result_Database!E$2:E$500),
  _xlfn.IFNA(_xlpm.result, "")
)</f>
        <v/>
      </c>
      <c r="G483" t="str">
        <f>_xlfn.LET(
  _xlpm.result, _xlfn.XLOOKUP($B483, Result_Database!$A$2:$A$500, Result_Database!F$2:F$500),
  _xlfn.IFNA(_xlpm.result, "")
)</f>
        <v/>
      </c>
      <c r="H483" t="str">
        <f>_xlfn.LET(
  _xlpm.result, _xlfn.XLOOKUP($B483, Result_Database!$A$2:$A$500, Result_Database!G$2:G$500),
  _xlfn.IFNA(_xlpm.result, "")
)</f>
        <v/>
      </c>
      <c r="I483" t="str">
        <f>_xlfn.LET(
  _xlpm.result, _xlfn.XLOOKUP($B483, Result_Database!$A$2:$A$500, Result_Database!H$2:H$500),
  _xlfn.IFNA(_xlpm.result, "")
)</f>
        <v/>
      </c>
      <c r="J483" t="str">
        <f>_xlfn.LET(
  _xlpm.result, _xlfn.XLOOKUP($B483, Result_Database!$A$2:$A$500, Result_Database!I$2:I$500),
  _xlfn.IFNA(_xlpm.result, "")
)</f>
        <v/>
      </c>
      <c r="K483" t="str">
        <f>_xlfn.LET(
  _xlpm.result, _xlfn.XLOOKUP($B483, Result_Database!$A$2:$A$500, Result_Database!J$2:J$500),
  _xlfn.IFNA(_xlpm.result, "")
)</f>
        <v/>
      </c>
      <c r="L483" t="str">
        <f>_xlfn.LET(
  _xlpm.result, _xlfn.XLOOKUP($B483, Result_Database!$A$2:$A$500, Result_Database!K$2:K$500),
  _xlfn.IFNA(_xlpm.result, "")
)</f>
        <v/>
      </c>
      <c r="M483" t="str">
        <f>_xlfn.LET(
  _xlpm.result, _xlfn.XLOOKUP($B483, Result_Database!$A$2:$A$500, Result_Database!L$2:L$500),
  _xlfn.IFNA(_xlpm.result, "")
)</f>
        <v/>
      </c>
      <c r="N483" t="str">
        <f>_xlfn.LET(
  _xlpm.result, _xlfn.XLOOKUP($B483, Result_Database!$A$2:$A$500, Result_Database!M$2:M$500),
  _xlfn.IFNA(_xlpm.result, "")
)</f>
        <v/>
      </c>
      <c r="O483" t="str">
        <f>_xlfn.LET(
  _xlpm.result, _xlfn.XLOOKUP($B483, Result_Database!$A$2:$A$500, Result_Database!N$2:N$500),
  _xlfn.IFNA(_xlpm.result, "")
)</f>
        <v/>
      </c>
      <c r="P483" t="str">
        <f>_xlfn.LET(
  _xlpm.result, _xlfn.XLOOKUP($B483, Result_Database!$A$2:$A$500, Result_Database!O$2:O$500),
  _xlfn.IFNA(_xlpm.result, "")
)</f>
        <v/>
      </c>
      <c r="Q483" t="str">
        <f>_xlfn.LET(
  _xlpm.result, _xlfn.XLOOKUP($B483, Result_Database!$A$2:$A$500, Result_Database!P$2:P$500),
  _xlfn.IFNA(_xlpm.result, "")
)</f>
        <v/>
      </c>
      <c r="R483" t="str">
        <f>_xlfn.LET(
  _xlpm.result, _xlfn.XLOOKUP($B483, Result_Database!$A$2:$A$500, Result_Database!Q$2:Q$500),
  _xlfn.IFNA(_xlpm.result, "")
)</f>
        <v/>
      </c>
      <c r="S483" t="str">
        <f>_xlfn.LET(
  _xlpm.result, _xlfn.XLOOKUP($B483, Result_Database!$A$2:$A$500, Result_Database!R$2:R$500),
  _xlfn.IFNA(_xlpm.result, "")
)</f>
        <v/>
      </c>
      <c r="T483" t="str">
        <f>_xlfn.LET(
  _xlpm.result, _xlfn.XLOOKUP($B483, Result_Database!$A$2:$A$500, Result_Database!S$2:S$500),
  _xlfn.IFNA(_xlpm.result, "")
)</f>
        <v/>
      </c>
      <c r="U483" t="str">
        <f>_xlfn.LET(
  _xlpm.result, _xlfn.XLOOKUP($B483, Result_Database!$A$2:$A$500, Result_Database!T$2:T$500),
  _xlfn.IFNA(_xlpm.result, "")
)</f>
        <v/>
      </c>
      <c r="V483" t="str">
        <f>_xlfn.LET(
  _xlpm.result, _xlfn.XLOOKUP($B483, Result_Database!$A$2:$A$500, Result_Database!U$2:U$500),
  _xlfn.IFNA(_xlpm.result, "")
)</f>
        <v/>
      </c>
      <c r="W483" t="str">
        <f>_xlfn.LET(
  _xlpm.result, _xlfn.XLOOKUP($B483, Result_Database!$A$2:$A$500, Result_Database!V$2:V$500),
  _xlfn.IFNA(_xlpm.result, "")
)</f>
        <v/>
      </c>
      <c r="X483" t="str">
        <f>_xlfn.LET(
  _xlpm.result, _xlfn.XLOOKUP($B483, Result_Database!$A$2:$A$500, Result_Database!W$2:W$500),
  _xlfn.IFNA(_xlpm.result, "")
)</f>
        <v/>
      </c>
      <c r="Y483" t="str">
        <f>_xlfn.LET(
  _xlpm.result, _xlfn.XLOOKUP($B483, Result_Database!$A$2:$A$500, Result_Database!X$2:X$500),
  _xlfn.IFNA(_xlpm.result, "")
)</f>
        <v/>
      </c>
      <c r="Z483" t="str">
        <f>_xlfn.LET(
  _xlpm.result, _xlfn.XLOOKUP($B483, Result_Database!$A$2:$A$500, Result_Database!Y$2:Y$500),
  _xlfn.IFNA(_xlpm.result, "")
)</f>
        <v/>
      </c>
      <c r="AA483" t="str">
        <f>_xlfn.LET(
  _xlpm.result, _xlfn.XLOOKUP($B483, Result_Database!$A$2:$A$500, Result_Database!Z$2:Z$500),
  _xlfn.IFNA(_xlpm.result, "")
)</f>
        <v/>
      </c>
      <c r="AB483" t="str">
        <f>_xlfn.LET(
  _xlpm.result, _xlfn.XLOOKUP($B483, Result_Database!$A$2:$A$500, Result_Database!AA$2:AA$500),
  _xlfn.IFNA(_xlpm.result, "")
)</f>
        <v/>
      </c>
      <c r="AC483" t="str">
        <f>_xlfn.LET(
  _xlpm.result, _xlfn.XLOOKUP($B483, Result_Database!$A$2:$A$500, Result_Database!AB$2:AB$500),
  _xlfn.IFNA(_xlpm.result, "")
)</f>
        <v/>
      </c>
      <c r="AD483" t="str">
        <f>_xlfn.LET(
  _xlpm.result, _xlfn.XLOOKUP($B483, Result_Database!$A$2:$A$500, Result_Database!AC$2:AC$500),
  _xlfn.IFNA(_xlpm.result, "")
)</f>
        <v/>
      </c>
      <c r="AE483" t="str">
        <f>_xlfn.LET(
  _xlpm.result, _xlfn.XLOOKUP($B483, Result_Database!$A$2:$A$500, Result_Database!AD$2:AD$500),
  _xlfn.IFNA(_xlpm.result, "")
)</f>
        <v/>
      </c>
      <c r="AF483" t="str">
        <f>_xlfn.LET(
  _xlpm.result, _xlfn.XLOOKUP($B483, Result_Database!$A$2:$A$500, Result_Database!AE$2:AE$500),
  _xlfn.IFNA(_xlpm.result, "")
)</f>
        <v/>
      </c>
      <c r="AG483" t="str">
        <f>_xlfn.LET(
  _xlpm.result, _xlfn.XLOOKUP($B483, Result_Database!$A$2:$A$500, Result_Database!AF$2:AF$500),
  _xlfn.IFNA(_xlpm.result, "")
)</f>
        <v/>
      </c>
      <c r="AH483" t="str">
        <f>_xlfn.LET(
  _xlpm.result, _xlfn.XLOOKUP($B483, Result_Database!$A$2:$A$500, Result_Database!AG$2:AG$500),
  _xlfn.IFNA(_xlpm.result, "")
)</f>
        <v/>
      </c>
      <c r="AI483" t="str">
        <f>_xlfn.LET(
  _xlpm.result, _xlfn.XLOOKUP($B483, Result_Database!$A$2:$A$500, Result_Database!AH$2:AH$500),
  _xlfn.IFNA(_xlpm.result, "")
)</f>
        <v/>
      </c>
      <c r="AJ483" t="str">
        <f>_xlfn.LET(
  _xlpm.result, _xlfn.XLOOKUP($B483, Result_Database!$A$2:$A$500, Result_Database!AI$2:AI$500),
  _xlfn.IFNA(_xlpm.result, "")
)</f>
        <v/>
      </c>
      <c r="AK483" t="str">
        <f>_xlfn.LET(
  _xlpm.result, _xlfn.XLOOKUP($B483, Result_Database!$A$2:$A$500, Result_Database!AJ$2:AJ$500),
  _xlfn.IFNA(_xlpm.result, "")
)</f>
        <v/>
      </c>
      <c r="AL483" t="str">
        <f>_xlfn.LET(
  _xlpm.result, _xlfn.XLOOKUP($B483, Result_Database!$A$2:$A$500, Result_Database!AK$2:AK$500),
  _xlfn.IFNA(_xlpm.result, "")
)</f>
        <v/>
      </c>
      <c r="AM48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8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8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8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8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8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8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8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8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83" t="str">
        <f>IF(SUM(Table5[[#This Row],[A1]:[C6]])&lt;&gt;0,SUM(Table5[[#This Row],[A1]:[C6]]),"")</f>
        <v/>
      </c>
      <c r="AW483" t="str">
        <f>IF(SUM(Table5[[#This Row],[D7]:[F9]])=0,"",SUM(Table5[[#This Row],[D7]:[F9]]))</f>
        <v/>
      </c>
      <c r="AX48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8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8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8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8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8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83" t="str">
        <f>IF(COUNTIF(Table5[[#This Row],[English Language]:[Electrical/ Electronics]],"WITHHELD")=0,"",COUNTIF(Table5[[#This Row],[English Language]:[Electrical/ Electronics]],"WITHHELD"))</f>
        <v/>
      </c>
      <c r="BE483" t="str">
        <f>IF(SUM(Table5[[#This Row],[NO OF CREDITS]:[BELOW CREDITS]])=0,"",SUM(Table5[[#This Row],[NO OF CREDITS]:[BELOW CREDITS]]))</f>
        <v/>
      </c>
    </row>
    <row r="484" spans="1:57" x14ac:dyDescent="0.3">
      <c r="A484" t="str">
        <f>IF(B484&lt;&gt;"",COUNTA($B$6:B484),"")</f>
        <v/>
      </c>
      <c r="B484" t="str">
        <f>IF(Result_Database!A480="","",Result_Database!A480)</f>
        <v/>
      </c>
      <c r="C484" t="str">
        <f>_xlfn.LET(
_xlpm.result,_xlfn.XLOOKUP($B484,Result_Database!$A$2:$A$500,Result_Database!$B$2:$B$500),
_xlfn.IFNA(_xlpm.result,"")
)</f>
        <v/>
      </c>
      <c r="D484" t="str">
        <f>_xlfn.LET(
  _xlpm.result, _xlfn.XLOOKUP($B484, Result_Database!$A$2:$A$500, Result_Database!C$2:C$500),
  _xlfn.IFNA(_xlpm.result, "")
)</f>
        <v/>
      </c>
      <c r="E484" t="str">
        <f>_xlfn.LET(
  _xlpm.result, _xlfn.XLOOKUP($B484, Result_Database!$A$2:$A$500, Result_Database!D$2:D$500),
  _xlfn.IFNA(_xlpm.result, "")
)</f>
        <v/>
      </c>
      <c r="F484" t="str">
        <f>_xlfn.LET(
  _xlpm.result, _xlfn.XLOOKUP($B484, Result_Database!$A$2:$A$500, Result_Database!E$2:E$500),
  _xlfn.IFNA(_xlpm.result, "")
)</f>
        <v/>
      </c>
      <c r="G484" t="str">
        <f>_xlfn.LET(
  _xlpm.result, _xlfn.XLOOKUP($B484, Result_Database!$A$2:$A$500, Result_Database!F$2:F$500),
  _xlfn.IFNA(_xlpm.result, "")
)</f>
        <v/>
      </c>
      <c r="H484" t="str">
        <f>_xlfn.LET(
  _xlpm.result, _xlfn.XLOOKUP($B484, Result_Database!$A$2:$A$500, Result_Database!G$2:G$500),
  _xlfn.IFNA(_xlpm.result, "")
)</f>
        <v/>
      </c>
      <c r="I484" t="str">
        <f>_xlfn.LET(
  _xlpm.result, _xlfn.XLOOKUP($B484, Result_Database!$A$2:$A$500, Result_Database!H$2:H$500),
  _xlfn.IFNA(_xlpm.result, "")
)</f>
        <v/>
      </c>
      <c r="J484" t="str">
        <f>_xlfn.LET(
  _xlpm.result, _xlfn.XLOOKUP($B484, Result_Database!$A$2:$A$500, Result_Database!I$2:I$500),
  _xlfn.IFNA(_xlpm.result, "")
)</f>
        <v/>
      </c>
      <c r="K484" t="str">
        <f>_xlfn.LET(
  _xlpm.result, _xlfn.XLOOKUP($B484, Result_Database!$A$2:$A$500, Result_Database!J$2:J$500),
  _xlfn.IFNA(_xlpm.result, "")
)</f>
        <v/>
      </c>
      <c r="L484" t="str">
        <f>_xlfn.LET(
  _xlpm.result, _xlfn.XLOOKUP($B484, Result_Database!$A$2:$A$500, Result_Database!K$2:K$500),
  _xlfn.IFNA(_xlpm.result, "")
)</f>
        <v/>
      </c>
      <c r="M484" t="str">
        <f>_xlfn.LET(
  _xlpm.result, _xlfn.XLOOKUP($B484, Result_Database!$A$2:$A$500, Result_Database!L$2:L$500),
  _xlfn.IFNA(_xlpm.result, "")
)</f>
        <v/>
      </c>
      <c r="N484" t="str">
        <f>_xlfn.LET(
  _xlpm.result, _xlfn.XLOOKUP($B484, Result_Database!$A$2:$A$500, Result_Database!M$2:M$500),
  _xlfn.IFNA(_xlpm.result, "")
)</f>
        <v/>
      </c>
      <c r="O484" t="str">
        <f>_xlfn.LET(
  _xlpm.result, _xlfn.XLOOKUP($B484, Result_Database!$A$2:$A$500, Result_Database!N$2:N$500),
  _xlfn.IFNA(_xlpm.result, "")
)</f>
        <v/>
      </c>
      <c r="P484" t="str">
        <f>_xlfn.LET(
  _xlpm.result, _xlfn.XLOOKUP($B484, Result_Database!$A$2:$A$500, Result_Database!O$2:O$500),
  _xlfn.IFNA(_xlpm.result, "")
)</f>
        <v/>
      </c>
      <c r="Q484" t="str">
        <f>_xlfn.LET(
  _xlpm.result, _xlfn.XLOOKUP($B484, Result_Database!$A$2:$A$500, Result_Database!P$2:P$500),
  _xlfn.IFNA(_xlpm.result, "")
)</f>
        <v/>
      </c>
      <c r="R484" t="str">
        <f>_xlfn.LET(
  _xlpm.result, _xlfn.XLOOKUP($B484, Result_Database!$A$2:$A$500, Result_Database!Q$2:Q$500),
  _xlfn.IFNA(_xlpm.result, "")
)</f>
        <v/>
      </c>
      <c r="S484" t="str">
        <f>_xlfn.LET(
  _xlpm.result, _xlfn.XLOOKUP($B484, Result_Database!$A$2:$A$500, Result_Database!R$2:R$500),
  _xlfn.IFNA(_xlpm.result, "")
)</f>
        <v/>
      </c>
      <c r="T484" t="str">
        <f>_xlfn.LET(
  _xlpm.result, _xlfn.XLOOKUP($B484, Result_Database!$A$2:$A$500, Result_Database!S$2:S$500),
  _xlfn.IFNA(_xlpm.result, "")
)</f>
        <v/>
      </c>
      <c r="U484" t="str">
        <f>_xlfn.LET(
  _xlpm.result, _xlfn.XLOOKUP($B484, Result_Database!$A$2:$A$500, Result_Database!T$2:T$500),
  _xlfn.IFNA(_xlpm.result, "")
)</f>
        <v/>
      </c>
      <c r="V484" t="str">
        <f>_xlfn.LET(
  _xlpm.result, _xlfn.XLOOKUP($B484, Result_Database!$A$2:$A$500, Result_Database!U$2:U$500),
  _xlfn.IFNA(_xlpm.result, "")
)</f>
        <v/>
      </c>
      <c r="W484" t="str">
        <f>_xlfn.LET(
  _xlpm.result, _xlfn.XLOOKUP($B484, Result_Database!$A$2:$A$500, Result_Database!V$2:V$500),
  _xlfn.IFNA(_xlpm.result, "")
)</f>
        <v/>
      </c>
      <c r="X484" t="str">
        <f>_xlfn.LET(
  _xlpm.result, _xlfn.XLOOKUP($B484, Result_Database!$A$2:$A$500, Result_Database!W$2:W$500),
  _xlfn.IFNA(_xlpm.result, "")
)</f>
        <v/>
      </c>
      <c r="Y484" t="str">
        <f>_xlfn.LET(
  _xlpm.result, _xlfn.XLOOKUP($B484, Result_Database!$A$2:$A$500, Result_Database!X$2:X$500),
  _xlfn.IFNA(_xlpm.result, "")
)</f>
        <v/>
      </c>
      <c r="Z484" t="str">
        <f>_xlfn.LET(
  _xlpm.result, _xlfn.XLOOKUP($B484, Result_Database!$A$2:$A$500, Result_Database!Y$2:Y$500),
  _xlfn.IFNA(_xlpm.result, "")
)</f>
        <v/>
      </c>
      <c r="AA484" t="str">
        <f>_xlfn.LET(
  _xlpm.result, _xlfn.XLOOKUP($B484, Result_Database!$A$2:$A$500, Result_Database!Z$2:Z$500),
  _xlfn.IFNA(_xlpm.result, "")
)</f>
        <v/>
      </c>
      <c r="AB484" t="str">
        <f>_xlfn.LET(
  _xlpm.result, _xlfn.XLOOKUP($B484, Result_Database!$A$2:$A$500, Result_Database!AA$2:AA$500),
  _xlfn.IFNA(_xlpm.result, "")
)</f>
        <v/>
      </c>
      <c r="AC484" t="str">
        <f>_xlfn.LET(
  _xlpm.result, _xlfn.XLOOKUP($B484, Result_Database!$A$2:$A$500, Result_Database!AB$2:AB$500),
  _xlfn.IFNA(_xlpm.result, "")
)</f>
        <v/>
      </c>
      <c r="AD484" t="str">
        <f>_xlfn.LET(
  _xlpm.result, _xlfn.XLOOKUP($B484, Result_Database!$A$2:$A$500, Result_Database!AC$2:AC$500),
  _xlfn.IFNA(_xlpm.result, "")
)</f>
        <v/>
      </c>
      <c r="AE484" t="str">
        <f>_xlfn.LET(
  _xlpm.result, _xlfn.XLOOKUP($B484, Result_Database!$A$2:$A$500, Result_Database!AD$2:AD$500),
  _xlfn.IFNA(_xlpm.result, "")
)</f>
        <v/>
      </c>
      <c r="AF484" t="str">
        <f>_xlfn.LET(
  _xlpm.result, _xlfn.XLOOKUP($B484, Result_Database!$A$2:$A$500, Result_Database!AE$2:AE$500),
  _xlfn.IFNA(_xlpm.result, "")
)</f>
        <v/>
      </c>
      <c r="AG484" t="str">
        <f>_xlfn.LET(
  _xlpm.result, _xlfn.XLOOKUP($B484, Result_Database!$A$2:$A$500, Result_Database!AF$2:AF$500),
  _xlfn.IFNA(_xlpm.result, "")
)</f>
        <v/>
      </c>
      <c r="AH484" t="str">
        <f>_xlfn.LET(
  _xlpm.result, _xlfn.XLOOKUP($B484, Result_Database!$A$2:$A$500, Result_Database!AG$2:AG$500),
  _xlfn.IFNA(_xlpm.result, "")
)</f>
        <v/>
      </c>
      <c r="AI484" t="str">
        <f>_xlfn.LET(
  _xlpm.result, _xlfn.XLOOKUP($B484, Result_Database!$A$2:$A$500, Result_Database!AH$2:AH$500),
  _xlfn.IFNA(_xlpm.result, "")
)</f>
        <v/>
      </c>
      <c r="AJ484" t="str">
        <f>_xlfn.LET(
  _xlpm.result, _xlfn.XLOOKUP($B484, Result_Database!$A$2:$A$500, Result_Database!AI$2:AI$500),
  _xlfn.IFNA(_xlpm.result, "")
)</f>
        <v/>
      </c>
      <c r="AK484" t="str">
        <f>_xlfn.LET(
  _xlpm.result, _xlfn.XLOOKUP($B484, Result_Database!$A$2:$A$500, Result_Database!AJ$2:AJ$500),
  _xlfn.IFNA(_xlpm.result, "")
)</f>
        <v/>
      </c>
      <c r="AL484" t="str">
        <f>_xlfn.LET(
  _xlpm.result, _xlfn.XLOOKUP($B484, Result_Database!$A$2:$A$500, Result_Database!AK$2:AK$500),
  _xlfn.IFNA(_xlpm.result, "")
)</f>
        <v/>
      </c>
      <c r="AM48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8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8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8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8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8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8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8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8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84" t="str">
        <f>IF(SUM(Table5[[#This Row],[A1]:[C6]])&lt;&gt;0,SUM(Table5[[#This Row],[A1]:[C6]]),"")</f>
        <v/>
      </c>
      <c r="AW484" t="str">
        <f>IF(SUM(Table5[[#This Row],[D7]:[F9]])=0,"",SUM(Table5[[#This Row],[D7]:[F9]]))</f>
        <v/>
      </c>
      <c r="AX48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8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8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8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8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8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84" t="str">
        <f>IF(COUNTIF(Table5[[#This Row],[English Language]:[Electrical/ Electronics]],"WITHHELD")=0,"",COUNTIF(Table5[[#This Row],[English Language]:[Electrical/ Electronics]],"WITHHELD"))</f>
        <v/>
      </c>
      <c r="BE484" t="str">
        <f>IF(SUM(Table5[[#This Row],[NO OF CREDITS]:[BELOW CREDITS]])=0,"",SUM(Table5[[#This Row],[NO OF CREDITS]:[BELOW CREDITS]]))</f>
        <v/>
      </c>
    </row>
    <row r="485" spans="1:57" x14ac:dyDescent="0.3">
      <c r="A485" t="str">
        <f>IF(B485&lt;&gt;"",COUNTA($B$6:B485),"")</f>
        <v/>
      </c>
      <c r="B485" t="str">
        <f>IF(Result_Database!A481="","",Result_Database!A481)</f>
        <v/>
      </c>
      <c r="C485" t="str">
        <f>_xlfn.LET(
_xlpm.result,_xlfn.XLOOKUP($B485,Result_Database!$A$2:$A$500,Result_Database!$B$2:$B$500),
_xlfn.IFNA(_xlpm.result,"")
)</f>
        <v/>
      </c>
      <c r="D485" t="str">
        <f>_xlfn.LET(
  _xlpm.result, _xlfn.XLOOKUP($B485, Result_Database!$A$2:$A$500, Result_Database!C$2:C$500),
  _xlfn.IFNA(_xlpm.result, "")
)</f>
        <v/>
      </c>
      <c r="E485" t="str">
        <f>_xlfn.LET(
  _xlpm.result, _xlfn.XLOOKUP($B485, Result_Database!$A$2:$A$500, Result_Database!D$2:D$500),
  _xlfn.IFNA(_xlpm.result, "")
)</f>
        <v/>
      </c>
      <c r="F485" t="str">
        <f>_xlfn.LET(
  _xlpm.result, _xlfn.XLOOKUP($B485, Result_Database!$A$2:$A$500, Result_Database!E$2:E$500),
  _xlfn.IFNA(_xlpm.result, "")
)</f>
        <v/>
      </c>
      <c r="G485" t="str">
        <f>_xlfn.LET(
  _xlpm.result, _xlfn.XLOOKUP($B485, Result_Database!$A$2:$A$500, Result_Database!F$2:F$500),
  _xlfn.IFNA(_xlpm.result, "")
)</f>
        <v/>
      </c>
      <c r="H485" t="str">
        <f>_xlfn.LET(
  _xlpm.result, _xlfn.XLOOKUP($B485, Result_Database!$A$2:$A$500, Result_Database!G$2:G$500),
  _xlfn.IFNA(_xlpm.result, "")
)</f>
        <v/>
      </c>
      <c r="I485" t="str">
        <f>_xlfn.LET(
  _xlpm.result, _xlfn.XLOOKUP($B485, Result_Database!$A$2:$A$500, Result_Database!H$2:H$500),
  _xlfn.IFNA(_xlpm.result, "")
)</f>
        <v/>
      </c>
      <c r="J485" t="str">
        <f>_xlfn.LET(
  _xlpm.result, _xlfn.XLOOKUP($B485, Result_Database!$A$2:$A$500, Result_Database!I$2:I$500),
  _xlfn.IFNA(_xlpm.result, "")
)</f>
        <v/>
      </c>
      <c r="K485" t="str">
        <f>_xlfn.LET(
  _xlpm.result, _xlfn.XLOOKUP($B485, Result_Database!$A$2:$A$500, Result_Database!J$2:J$500),
  _xlfn.IFNA(_xlpm.result, "")
)</f>
        <v/>
      </c>
      <c r="L485" t="str">
        <f>_xlfn.LET(
  _xlpm.result, _xlfn.XLOOKUP($B485, Result_Database!$A$2:$A$500, Result_Database!K$2:K$500),
  _xlfn.IFNA(_xlpm.result, "")
)</f>
        <v/>
      </c>
      <c r="M485" t="str">
        <f>_xlfn.LET(
  _xlpm.result, _xlfn.XLOOKUP($B485, Result_Database!$A$2:$A$500, Result_Database!L$2:L$500),
  _xlfn.IFNA(_xlpm.result, "")
)</f>
        <v/>
      </c>
      <c r="N485" t="str">
        <f>_xlfn.LET(
  _xlpm.result, _xlfn.XLOOKUP($B485, Result_Database!$A$2:$A$500, Result_Database!M$2:M$500),
  _xlfn.IFNA(_xlpm.result, "")
)</f>
        <v/>
      </c>
      <c r="O485" t="str">
        <f>_xlfn.LET(
  _xlpm.result, _xlfn.XLOOKUP($B485, Result_Database!$A$2:$A$500, Result_Database!N$2:N$500),
  _xlfn.IFNA(_xlpm.result, "")
)</f>
        <v/>
      </c>
      <c r="P485" t="str">
        <f>_xlfn.LET(
  _xlpm.result, _xlfn.XLOOKUP($B485, Result_Database!$A$2:$A$500, Result_Database!O$2:O$500),
  _xlfn.IFNA(_xlpm.result, "")
)</f>
        <v/>
      </c>
      <c r="Q485" t="str">
        <f>_xlfn.LET(
  _xlpm.result, _xlfn.XLOOKUP($B485, Result_Database!$A$2:$A$500, Result_Database!P$2:P$500),
  _xlfn.IFNA(_xlpm.result, "")
)</f>
        <v/>
      </c>
      <c r="R485" t="str">
        <f>_xlfn.LET(
  _xlpm.result, _xlfn.XLOOKUP($B485, Result_Database!$A$2:$A$500, Result_Database!Q$2:Q$500),
  _xlfn.IFNA(_xlpm.result, "")
)</f>
        <v/>
      </c>
      <c r="S485" t="str">
        <f>_xlfn.LET(
  _xlpm.result, _xlfn.XLOOKUP($B485, Result_Database!$A$2:$A$500, Result_Database!R$2:R$500),
  _xlfn.IFNA(_xlpm.result, "")
)</f>
        <v/>
      </c>
      <c r="T485" t="str">
        <f>_xlfn.LET(
  _xlpm.result, _xlfn.XLOOKUP($B485, Result_Database!$A$2:$A$500, Result_Database!S$2:S$500),
  _xlfn.IFNA(_xlpm.result, "")
)</f>
        <v/>
      </c>
      <c r="U485" t="str">
        <f>_xlfn.LET(
  _xlpm.result, _xlfn.XLOOKUP($B485, Result_Database!$A$2:$A$500, Result_Database!T$2:T$500),
  _xlfn.IFNA(_xlpm.result, "")
)</f>
        <v/>
      </c>
      <c r="V485" t="str">
        <f>_xlfn.LET(
  _xlpm.result, _xlfn.XLOOKUP($B485, Result_Database!$A$2:$A$500, Result_Database!U$2:U$500),
  _xlfn.IFNA(_xlpm.result, "")
)</f>
        <v/>
      </c>
      <c r="W485" t="str">
        <f>_xlfn.LET(
  _xlpm.result, _xlfn.XLOOKUP($B485, Result_Database!$A$2:$A$500, Result_Database!V$2:V$500),
  _xlfn.IFNA(_xlpm.result, "")
)</f>
        <v/>
      </c>
      <c r="X485" t="str">
        <f>_xlfn.LET(
  _xlpm.result, _xlfn.XLOOKUP($B485, Result_Database!$A$2:$A$500, Result_Database!W$2:W$500),
  _xlfn.IFNA(_xlpm.result, "")
)</f>
        <v/>
      </c>
      <c r="Y485" t="str">
        <f>_xlfn.LET(
  _xlpm.result, _xlfn.XLOOKUP($B485, Result_Database!$A$2:$A$500, Result_Database!X$2:X$500),
  _xlfn.IFNA(_xlpm.result, "")
)</f>
        <v/>
      </c>
      <c r="Z485" t="str">
        <f>_xlfn.LET(
  _xlpm.result, _xlfn.XLOOKUP($B485, Result_Database!$A$2:$A$500, Result_Database!Y$2:Y$500),
  _xlfn.IFNA(_xlpm.result, "")
)</f>
        <v/>
      </c>
      <c r="AA485" t="str">
        <f>_xlfn.LET(
  _xlpm.result, _xlfn.XLOOKUP($B485, Result_Database!$A$2:$A$500, Result_Database!Z$2:Z$500),
  _xlfn.IFNA(_xlpm.result, "")
)</f>
        <v/>
      </c>
      <c r="AB485" t="str">
        <f>_xlfn.LET(
  _xlpm.result, _xlfn.XLOOKUP($B485, Result_Database!$A$2:$A$500, Result_Database!AA$2:AA$500),
  _xlfn.IFNA(_xlpm.result, "")
)</f>
        <v/>
      </c>
      <c r="AC485" t="str">
        <f>_xlfn.LET(
  _xlpm.result, _xlfn.XLOOKUP($B485, Result_Database!$A$2:$A$500, Result_Database!AB$2:AB$500),
  _xlfn.IFNA(_xlpm.result, "")
)</f>
        <v/>
      </c>
      <c r="AD485" t="str">
        <f>_xlfn.LET(
  _xlpm.result, _xlfn.XLOOKUP($B485, Result_Database!$A$2:$A$500, Result_Database!AC$2:AC$500),
  _xlfn.IFNA(_xlpm.result, "")
)</f>
        <v/>
      </c>
      <c r="AE485" t="str">
        <f>_xlfn.LET(
  _xlpm.result, _xlfn.XLOOKUP($B485, Result_Database!$A$2:$A$500, Result_Database!AD$2:AD$500),
  _xlfn.IFNA(_xlpm.result, "")
)</f>
        <v/>
      </c>
      <c r="AF485" t="str">
        <f>_xlfn.LET(
  _xlpm.result, _xlfn.XLOOKUP($B485, Result_Database!$A$2:$A$500, Result_Database!AE$2:AE$500),
  _xlfn.IFNA(_xlpm.result, "")
)</f>
        <v/>
      </c>
      <c r="AG485" t="str">
        <f>_xlfn.LET(
  _xlpm.result, _xlfn.XLOOKUP($B485, Result_Database!$A$2:$A$500, Result_Database!AF$2:AF$500),
  _xlfn.IFNA(_xlpm.result, "")
)</f>
        <v/>
      </c>
      <c r="AH485" t="str">
        <f>_xlfn.LET(
  _xlpm.result, _xlfn.XLOOKUP($B485, Result_Database!$A$2:$A$500, Result_Database!AG$2:AG$500),
  _xlfn.IFNA(_xlpm.result, "")
)</f>
        <v/>
      </c>
      <c r="AI485" t="str">
        <f>_xlfn.LET(
  _xlpm.result, _xlfn.XLOOKUP($B485, Result_Database!$A$2:$A$500, Result_Database!AH$2:AH$500),
  _xlfn.IFNA(_xlpm.result, "")
)</f>
        <v/>
      </c>
      <c r="AJ485" t="str">
        <f>_xlfn.LET(
  _xlpm.result, _xlfn.XLOOKUP($B485, Result_Database!$A$2:$A$500, Result_Database!AI$2:AI$500),
  _xlfn.IFNA(_xlpm.result, "")
)</f>
        <v/>
      </c>
      <c r="AK485" t="str">
        <f>_xlfn.LET(
  _xlpm.result, _xlfn.XLOOKUP($B485, Result_Database!$A$2:$A$500, Result_Database!AJ$2:AJ$500),
  _xlfn.IFNA(_xlpm.result, "")
)</f>
        <v/>
      </c>
      <c r="AL485" t="str">
        <f>_xlfn.LET(
  _xlpm.result, _xlfn.XLOOKUP($B485, Result_Database!$A$2:$A$500, Result_Database!AK$2:AK$500),
  _xlfn.IFNA(_xlpm.result, "")
)</f>
        <v/>
      </c>
      <c r="AM48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8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8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8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8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8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8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8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8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85" t="str">
        <f>IF(SUM(Table5[[#This Row],[A1]:[C6]])&lt;&gt;0,SUM(Table5[[#This Row],[A1]:[C6]]),"")</f>
        <v/>
      </c>
      <c r="AW485" t="str">
        <f>IF(SUM(Table5[[#This Row],[D7]:[F9]])=0,"",SUM(Table5[[#This Row],[D7]:[F9]]))</f>
        <v/>
      </c>
      <c r="AX48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8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8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8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8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8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85" t="str">
        <f>IF(COUNTIF(Table5[[#This Row],[English Language]:[Electrical/ Electronics]],"WITHHELD")=0,"",COUNTIF(Table5[[#This Row],[English Language]:[Electrical/ Electronics]],"WITHHELD"))</f>
        <v/>
      </c>
      <c r="BE485" t="str">
        <f>IF(SUM(Table5[[#This Row],[NO OF CREDITS]:[BELOW CREDITS]])=0,"",SUM(Table5[[#This Row],[NO OF CREDITS]:[BELOW CREDITS]]))</f>
        <v/>
      </c>
    </row>
    <row r="486" spans="1:57" x14ac:dyDescent="0.3">
      <c r="A486" t="str">
        <f>IF(B486&lt;&gt;"",COUNTA($B$6:B486),"")</f>
        <v/>
      </c>
      <c r="B486" t="str">
        <f>IF(Result_Database!A482="","",Result_Database!A482)</f>
        <v/>
      </c>
      <c r="C486" t="str">
        <f>_xlfn.LET(
_xlpm.result,_xlfn.XLOOKUP($B486,Result_Database!$A$2:$A$500,Result_Database!$B$2:$B$500),
_xlfn.IFNA(_xlpm.result,"")
)</f>
        <v/>
      </c>
      <c r="D486" t="str">
        <f>_xlfn.LET(
  _xlpm.result, _xlfn.XLOOKUP($B486, Result_Database!$A$2:$A$500, Result_Database!C$2:C$500),
  _xlfn.IFNA(_xlpm.result, "")
)</f>
        <v/>
      </c>
      <c r="E486" t="str">
        <f>_xlfn.LET(
  _xlpm.result, _xlfn.XLOOKUP($B486, Result_Database!$A$2:$A$500, Result_Database!D$2:D$500),
  _xlfn.IFNA(_xlpm.result, "")
)</f>
        <v/>
      </c>
      <c r="F486" t="str">
        <f>_xlfn.LET(
  _xlpm.result, _xlfn.XLOOKUP($B486, Result_Database!$A$2:$A$500, Result_Database!E$2:E$500),
  _xlfn.IFNA(_xlpm.result, "")
)</f>
        <v/>
      </c>
      <c r="G486" t="str">
        <f>_xlfn.LET(
  _xlpm.result, _xlfn.XLOOKUP($B486, Result_Database!$A$2:$A$500, Result_Database!F$2:F$500),
  _xlfn.IFNA(_xlpm.result, "")
)</f>
        <v/>
      </c>
      <c r="H486" t="str">
        <f>_xlfn.LET(
  _xlpm.result, _xlfn.XLOOKUP($B486, Result_Database!$A$2:$A$500, Result_Database!G$2:G$500),
  _xlfn.IFNA(_xlpm.result, "")
)</f>
        <v/>
      </c>
      <c r="I486" t="str">
        <f>_xlfn.LET(
  _xlpm.result, _xlfn.XLOOKUP($B486, Result_Database!$A$2:$A$500, Result_Database!H$2:H$500),
  _xlfn.IFNA(_xlpm.result, "")
)</f>
        <v/>
      </c>
      <c r="J486" t="str">
        <f>_xlfn.LET(
  _xlpm.result, _xlfn.XLOOKUP($B486, Result_Database!$A$2:$A$500, Result_Database!I$2:I$500),
  _xlfn.IFNA(_xlpm.result, "")
)</f>
        <v/>
      </c>
      <c r="K486" t="str">
        <f>_xlfn.LET(
  _xlpm.result, _xlfn.XLOOKUP($B486, Result_Database!$A$2:$A$500, Result_Database!J$2:J$500),
  _xlfn.IFNA(_xlpm.result, "")
)</f>
        <v/>
      </c>
      <c r="L486" t="str">
        <f>_xlfn.LET(
  _xlpm.result, _xlfn.XLOOKUP($B486, Result_Database!$A$2:$A$500, Result_Database!K$2:K$500),
  _xlfn.IFNA(_xlpm.result, "")
)</f>
        <v/>
      </c>
      <c r="M486" t="str">
        <f>_xlfn.LET(
  _xlpm.result, _xlfn.XLOOKUP($B486, Result_Database!$A$2:$A$500, Result_Database!L$2:L$500),
  _xlfn.IFNA(_xlpm.result, "")
)</f>
        <v/>
      </c>
      <c r="N486" t="str">
        <f>_xlfn.LET(
  _xlpm.result, _xlfn.XLOOKUP($B486, Result_Database!$A$2:$A$500, Result_Database!M$2:M$500),
  _xlfn.IFNA(_xlpm.result, "")
)</f>
        <v/>
      </c>
      <c r="O486" t="str">
        <f>_xlfn.LET(
  _xlpm.result, _xlfn.XLOOKUP($B486, Result_Database!$A$2:$A$500, Result_Database!N$2:N$500),
  _xlfn.IFNA(_xlpm.result, "")
)</f>
        <v/>
      </c>
      <c r="P486" t="str">
        <f>_xlfn.LET(
  _xlpm.result, _xlfn.XLOOKUP($B486, Result_Database!$A$2:$A$500, Result_Database!O$2:O$500),
  _xlfn.IFNA(_xlpm.result, "")
)</f>
        <v/>
      </c>
      <c r="Q486" t="str">
        <f>_xlfn.LET(
  _xlpm.result, _xlfn.XLOOKUP($B486, Result_Database!$A$2:$A$500, Result_Database!P$2:P$500),
  _xlfn.IFNA(_xlpm.result, "")
)</f>
        <v/>
      </c>
      <c r="R486" t="str">
        <f>_xlfn.LET(
  _xlpm.result, _xlfn.XLOOKUP($B486, Result_Database!$A$2:$A$500, Result_Database!Q$2:Q$500),
  _xlfn.IFNA(_xlpm.result, "")
)</f>
        <v/>
      </c>
      <c r="S486" t="str">
        <f>_xlfn.LET(
  _xlpm.result, _xlfn.XLOOKUP($B486, Result_Database!$A$2:$A$500, Result_Database!R$2:R$500),
  _xlfn.IFNA(_xlpm.result, "")
)</f>
        <v/>
      </c>
      <c r="T486" t="str">
        <f>_xlfn.LET(
  _xlpm.result, _xlfn.XLOOKUP($B486, Result_Database!$A$2:$A$500, Result_Database!S$2:S$500),
  _xlfn.IFNA(_xlpm.result, "")
)</f>
        <v/>
      </c>
      <c r="U486" t="str">
        <f>_xlfn.LET(
  _xlpm.result, _xlfn.XLOOKUP($B486, Result_Database!$A$2:$A$500, Result_Database!T$2:T$500),
  _xlfn.IFNA(_xlpm.result, "")
)</f>
        <v/>
      </c>
      <c r="V486" t="str">
        <f>_xlfn.LET(
  _xlpm.result, _xlfn.XLOOKUP($B486, Result_Database!$A$2:$A$500, Result_Database!U$2:U$500),
  _xlfn.IFNA(_xlpm.result, "")
)</f>
        <v/>
      </c>
      <c r="W486" t="str">
        <f>_xlfn.LET(
  _xlpm.result, _xlfn.XLOOKUP($B486, Result_Database!$A$2:$A$500, Result_Database!V$2:V$500),
  _xlfn.IFNA(_xlpm.result, "")
)</f>
        <v/>
      </c>
      <c r="X486" t="str">
        <f>_xlfn.LET(
  _xlpm.result, _xlfn.XLOOKUP($B486, Result_Database!$A$2:$A$500, Result_Database!W$2:W$500),
  _xlfn.IFNA(_xlpm.result, "")
)</f>
        <v/>
      </c>
      <c r="Y486" t="str">
        <f>_xlfn.LET(
  _xlpm.result, _xlfn.XLOOKUP($B486, Result_Database!$A$2:$A$500, Result_Database!X$2:X$500),
  _xlfn.IFNA(_xlpm.result, "")
)</f>
        <v/>
      </c>
      <c r="Z486" t="str">
        <f>_xlfn.LET(
  _xlpm.result, _xlfn.XLOOKUP($B486, Result_Database!$A$2:$A$500, Result_Database!Y$2:Y$500),
  _xlfn.IFNA(_xlpm.result, "")
)</f>
        <v/>
      </c>
      <c r="AA486" t="str">
        <f>_xlfn.LET(
  _xlpm.result, _xlfn.XLOOKUP($B486, Result_Database!$A$2:$A$500, Result_Database!Z$2:Z$500),
  _xlfn.IFNA(_xlpm.result, "")
)</f>
        <v/>
      </c>
      <c r="AB486" t="str">
        <f>_xlfn.LET(
  _xlpm.result, _xlfn.XLOOKUP($B486, Result_Database!$A$2:$A$500, Result_Database!AA$2:AA$500),
  _xlfn.IFNA(_xlpm.result, "")
)</f>
        <v/>
      </c>
      <c r="AC486" t="str">
        <f>_xlfn.LET(
  _xlpm.result, _xlfn.XLOOKUP($B486, Result_Database!$A$2:$A$500, Result_Database!AB$2:AB$500),
  _xlfn.IFNA(_xlpm.result, "")
)</f>
        <v/>
      </c>
      <c r="AD486" t="str">
        <f>_xlfn.LET(
  _xlpm.result, _xlfn.XLOOKUP($B486, Result_Database!$A$2:$A$500, Result_Database!AC$2:AC$500),
  _xlfn.IFNA(_xlpm.result, "")
)</f>
        <v/>
      </c>
      <c r="AE486" t="str">
        <f>_xlfn.LET(
  _xlpm.result, _xlfn.XLOOKUP($B486, Result_Database!$A$2:$A$500, Result_Database!AD$2:AD$500),
  _xlfn.IFNA(_xlpm.result, "")
)</f>
        <v/>
      </c>
      <c r="AF486" t="str">
        <f>_xlfn.LET(
  _xlpm.result, _xlfn.XLOOKUP($B486, Result_Database!$A$2:$A$500, Result_Database!AE$2:AE$500),
  _xlfn.IFNA(_xlpm.result, "")
)</f>
        <v/>
      </c>
      <c r="AG486" t="str">
        <f>_xlfn.LET(
  _xlpm.result, _xlfn.XLOOKUP($B486, Result_Database!$A$2:$A$500, Result_Database!AF$2:AF$500),
  _xlfn.IFNA(_xlpm.result, "")
)</f>
        <v/>
      </c>
      <c r="AH486" t="str">
        <f>_xlfn.LET(
  _xlpm.result, _xlfn.XLOOKUP($B486, Result_Database!$A$2:$A$500, Result_Database!AG$2:AG$500),
  _xlfn.IFNA(_xlpm.result, "")
)</f>
        <v/>
      </c>
      <c r="AI486" t="str">
        <f>_xlfn.LET(
  _xlpm.result, _xlfn.XLOOKUP($B486, Result_Database!$A$2:$A$500, Result_Database!AH$2:AH$500),
  _xlfn.IFNA(_xlpm.result, "")
)</f>
        <v/>
      </c>
      <c r="AJ486" t="str">
        <f>_xlfn.LET(
  _xlpm.result, _xlfn.XLOOKUP($B486, Result_Database!$A$2:$A$500, Result_Database!AI$2:AI$500),
  _xlfn.IFNA(_xlpm.result, "")
)</f>
        <v/>
      </c>
      <c r="AK486" t="str">
        <f>_xlfn.LET(
  _xlpm.result, _xlfn.XLOOKUP($B486, Result_Database!$A$2:$A$500, Result_Database!AJ$2:AJ$500),
  _xlfn.IFNA(_xlpm.result, "")
)</f>
        <v/>
      </c>
      <c r="AL486" t="str">
        <f>_xlfn.LET(
  _xlpm.result, _xlfn.XLOOKUP($B486, Result_Database!$A$2:$A$500, Result_Database!AK$2:AK$500),
  _xlfn.IFNA(_xlpm.result, "")
)</f>
        <v/>
      </c>
      <c r="AM48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8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8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8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8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8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8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8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8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86" t="str">
        <f>IF(SUM(Table5[[#This Row],[A1]:[C6]])&lt;&gt;0,SUM(Table5[[#This Row],[A1]:[C6]]),"")</f>
        <v/>
      </c>
      <c r="AW486" t="str">
        <f>IF(SUM(Table5[[#This Row],[D7]:[F9]])=0,"",SUM(Table5[[#This Row],[D7]:[F9]]))</f>
        <v/>
      </c>
      <c r="AX48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8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8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8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8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8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86" t="str">
        <f>IF(COUNTIF(Table5[[#This Row],[English Language]:[Electrical/ Electronics]],"WITHHELD")=0,"",COUNTIF(Table5[[#This Row],[English Language]:[Electrical/ Electronics]],"WITHHELD"))</f>
        <v/>
      </c>
      <c r="BE486" t="str">
        <f>IF(SUM(Table5[[#This Row],[NO OF CREDITS]:[BELOW CREDITS]])=0,"",SUM(Table5[[#This Row],[NO OF CREDITS]:[BELOW CREDITS]]))</f>
        <v/>
      </c>
    </row>
    <row r="487" spans="1:57" x14ac:dyDescent="0.3">
      <c r="A487" t="str">
        <f>IF(B487&lt;&gt;"",COUNTA($B$6:B487),"")</f>
        <v/>
      </c>
      <c r="B487" t="str">
        <f>IF(Result_Database!A483="","",Result_Database!A483)</f>
        <v/>
      </c>
      <c r="C487" t="str">
        <f>_xlfn.LET(
_xlpm.result,_xlfn.XLOOKUP($B487,Result_Database!$A$2:$A$500,Result_Database!$B$2:$B$500),
_xlfn.IFNA(_xlpm.result,"")
)</f>
        <v/>
      </c>
      <c r="D487" t="str">
        <f>_xlfn.LET(
  _xlpm.result, _xlfn.XLOOKUP($B487, Result_Database!$A$2:$A$500, Result_Database!C$2:C$500),
  _xlfn.IFNA(_xlpm.result, "")
)</f>
        <v/>
      </c>
      <c r="E487" t="str">
        <f>_xlfn.LET(
  _xlpm.result, _xlfn.XLOOKUP($B487, Result_Database!$A$2:$A$500, Result_Database!D$2:D$500),
  _xlfn.IFNA(_xlpm.result, "")
)</f>
        <v/>
      </c>
      <c r="F487" t="str">
        <f>_xlfn.LET(
  _xlpm.result, _xlfn.XLOOKUP($B487, Result_Database!$A$2:$A$500, Result_Database!E$2:E$500),
  _xlfn.IFNA(_xlpm.result, "")
)</f>
        <v/>
      </c>
      <c r="G487" t="str">
        <f>_xlfn.LET(
  _xlpm.result, _xlfn.XLOOKUP($B487, Result_Database!$A$2:$A$500, Result_Database!F$2:F$500),
  _xlfn.IFNA(_xlpm.result, "")
)</f>
        <v/>
      </c>
      <c r="H487" t="str">
        <f>_xlfn.LET(
  _xlpm.result, _xlfn.XLOOKUP($B487, Result_Database!$A$2:$A$500, Result_Database!G$2:G$500),
  _xlfn.IFNA(_xlpm.result, "")
)</f>
        <v/>
      </c>
      <c r="I487" t="str">
        <f>_xlfn.LET(
  _xlpm.result, _xlfn.XLOOKUP($B487, Result_Database!$A$2:$A$500, Result_Database!H$2:H$500),
  _xlfn.IFNA(_xlpm.result, "")
)</f>
        <v/>
      </c>
      <c r="J487" t="str">
        <f>_xlfn.LET(
  _xlpm.result, _xlfn.XLOOKUP($B487, Result_Database!$A$2:$A$500, Result_Database!I$2:I$500),
  _xlfn.IFNA(_xlpm.result, "")
)</f>
        <v/>
      </c>
      <c r="K487" t="str">
        <f>_xlfn.LET(
  _xlpm.result, _xlfn.XLOOKUP($B487, Result_Database!$A$2:$A$500, Result_Database!J$2:J$500),
  _xlfn.IFNA(_xlpm.result, "")
)</f>
        <v/>
      </c>
      <c r="L487" t="str">
        <f>_xlfn.LET(
  _xlpm.result, _xlfn.XLOOKUP($B487, Result_Database!$A$2:$A$500, Result_Database!K$2:K$500),
  _xlfn.IFNA(_xlpm.result, "")
)</f>
        <v/>
      </c>
      <c r="M487" t="str">
        <f>_xlfn.LET(
  _xlpm.result, _xlfn.XLOOKUP($B487, Result_Database!$A$2:$A$500, Result_Database!L$2:L$500),
  _xlfn.IFNA(_xlpm.result, "")
)</f>
        <v/>
      </c>
      <c r="N487" t="str">
        <f>_xlfn.LET(
  _xlpm.result, _xlfn.XLOOKUP($B487, Result_Database!$A$2:$A$500, Result_Database!M$2:M$500),
  _xlfn.IFNA(_xlpm.result, "")
)</f>
        <v/>
      </c>
      <c r="O487" t="str">
        <f>_xlfn.LET(
  _xlpm.result, _xlfn.XLOOKUP($B487, Result_Database!$A$2:$A$500, Result_Database!N$2:N$500),
  _xlfn.IFNA(_xlpm.result, "")
)</f>
        <v/>
      </c>
      <c r="P487" t="str">
        <f>_xlfn.LET(
  _xlpm.result, _xlfn.XLOOKUP($B487, Result_Database!$A$2:$A$500, Result_Database!O$2:O$500),
  _xlfn.IFNA(_xlpm.result, "")
)</f>
        <v/>
      </c>
      <c r="Q487" t="str">
        <f>_xlfn.LET(
  _xlpm.result, _xlfn.XLOOKUP($B487, Result_Database!$A$2:$A$500, Result_Database!P$2:P$500),
  _xlfn.IFNA(_xlpm.result, "")
)</f>
        <v/>
      </c>
      <c r="R487" t="str">
        <f>_xlfn.LET(
  _xlpm.result, _xlfn.XLOOKUP($B487, Result_Database!$A$2:$A$500, Result_Database!Q$2:Q$500),
  _xlfn.IFNA(_xlpm.result, "")
)</f>
        <v/>
      </c>
      <c r="S487" t="str">
        <f>_xlfn.LET(
  _xlpm.result, _xlfn.XLOOKUP($B487, Result_Database!$A$2:$A$500, Result_Database!R$2:R$500),
  _xlfn.IFNA(_xlpm.result, "")
)</f>
        <v/>
      </c>
      <c r="T487" t="str">
        <f>_xlfn.LET(
  _xlpm.result, _xlfn.XLOOKUP($B487, Result_Database!$A$2:$A$500, Result_Database!S$2:S$500),
  _xlfn.IFNA(_xlpm.result, "")
)</f>
        <v/>
      </c>
      <c r="U487" t="str">
        <f>_xlfn.LET(
  _xlpm.result, _xlfn.XLOOKUP($B487, Result_Database!$A$2:$A$500, Result_Database!T$2:T$500),
  _xlfn.IFNA(_xlpm.result, "")
)</f>
        <v/>
      </c>
      <c r="V487" t="str">
        <f>_xlfn.LET(
  _xlpm.result, _xlfn.XLOOKUP($B487, Result_Database!$A$2:$A$500, Result_Database!U$2:U$500),
  _xlfn.IFNA(_xlpm.result, "")
)</f>
        <v/>
      </c>
      <c r="W487" t="str">
        <f>_xlfn.LET(
  _xlpm.result, _xlfn.XLOOKUP($B487, Result_Database!$A$2:$A$500, Result_Database!V$2:V$500),
  _xlfn.IFNA(_xlpm.result, "")
)</f>
        <v/>
      </c>
      <c r="X487" t="str">
        <f>_xlfn.LET(
  _xlpm.result, _xlfn.XLOOKUP($B487, Result_Database!$A$2:$A$500, Result_Database!W$2:W$500),
  _xlfn.IFNA(_xlpm.result, "")
)</f>
        <v/>
      </c>
      <c r="Y487" t="str">
        <f>_xlfn.LET(
  _xlpm.result, _xlfn.XLOOKUP($B487, Result_Database!$A$2:$A$500, Result_Database!X$2:X$500),
  _xlfn.IFNA(_xlpm.result, "")
)</f>
        <v/>
      </c>
      <c r="Z487" t="str">
        <f>_xlfn.LET(
  _xlpm.result, _xlfn.XLOOKUP($B487, Result_Database!$A$2:$A$500, Result_Database!Y$2:Y$500),
  _xlfn.IFNA(_xlpm.result, "")
)</f>
        <v/>
      </c>
      <c r="AA487" t="str">
        <f>_xlfn.LET(
  _xlpm.result, _xlfn.XLOOKUP($B487, Result_Database!$A$2:$A$500, Result_Database!Z$2:Z$500),
  _xlfn.IFNA(_xlpm.result, "")
)</f>
        <v/>
      </c>
      <c r="AB487" t="str">
        <f>_xlfn.LET(
  _xlpm.result, _xlfn.XLOOKUP($B487, Result_Database!$A$2:$A$500, Result_Database!AA$2:AA$500),
  _xlfn.IFNA(_xlpm.result, "")
)</f>
        <v/>
      </c>
      <c r="AC487" t="str">
        <f>_xlfn.LET(
  _xlpm.result, _xlfn.XLOOKUP($B487, Result_Database!$A$2:$A$500, Result_Database!AB$2:AB$500),
  _xlfn.IFNA(_xlpm.result, "")
)</f>
        <v/>
      </c>
      <c r="AD487" t="str">
        <f>_xlfn.LET(
  _xlpm.result, _xlfn.XLOOKUP($B487, Result_Database!$A$2:$A$500, Result_Database!AC$2:AC$500),
  _xlfn.IFNA(_xlpm.result, "")
)</f>
        <v/>
      </c>
      <c r="AE487" t="str">
        <f>_xlfn.LET(
  _xlpm.result, _xlfn.XLOOKUP($B487, Result_Database!$A$2:$A$500, Result_Database!AD$2:AD$500),
  _xlfn.IFNA(_xlpm.result, "")
)</f>
        <v/>
      </c>
      <c r="AF487" t="str">
        <f>_xlfn.LET(
  _xlpm.result, _xlfn.XLOOKUP($B487, Result_Database!$A$2:$A$500, Result_Database!AE$2:AE$500),
  _xlfn.IFNA(_xlpm.result, "")
)</f>
        <v/>
      </c>
      <c r="AG487" t="str">
        <f>_xlfn.LET(
  _xlpm.result, _xlfn.XLOOKUP($B487, Result_Database!$A$2:$A$500, Result_Database!AF$2:AF$500),
  _xlfn.IFNA(_xlpm.result, "")
)</f>
        <v/>
      </c>
      <c r="AH487" t="str">
        <f>_xlfn.LET(
  _xlpm.result, _xlfn.XLOOKUP($B487, Result_Database!$A$2:$A$500, Result_Database!AG$2:AG$500),
  _xlfn.IFNA(_xlpm.result, "")
)</f>
        <v/>
      </c>
      <c r="AI487" t="str">
        <f>_xlfn.LET(
  _xlpm.result, _xlfn.XLOOKUP($B487, Result_Database!$A$2:$A$500, Result_Database!AH$2:AH$500),
  _xlfn.IFNA(_xlpm.result, "")
)</f>
        <v/>
      </c>
      <c r="AJ487" t="str">
        <f>_xlfn.LET(
  _xlpm.result, _xlfn.XLOOKUP($B487, Result_Database!$A$2:$A$500, Result_Database!AI$2:AI$500),
  _xlfn.IFNA(_xlpm.result, "")
)</f>
        <v/>
      </c>
      <c r="AK487" t="str">
        <f>_xlfn.LET(
  _xlpm.result, _xlfn.XLOOKUP($B487, Result_Database!$A$2:$A$500, Result_Database!AJ$2:AJ$500),
  _xlfn.IFNA(_xlpm.result, "")
)</f>
        <v/>
      </c>
      <c r="AL487" t="str">
        <f>_xlfn.LET(
  _xlpm.result, _xlfn.XLOOKUP($B487, Result_Database!$A$2:$A$500, Result_Database!AK$2:AK$500),
  _xlfn.IFNA(_xlpm.result, "")
)</f>
        <v/>
      </c>
      <c r="AM48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8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8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8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8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8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8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8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8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87" t="str">
        <f>IF(SUM(Table5[[#This Row],[A1]:[C6]])&lt;&gt;0,SUM(Table5[[#This Row],[A1]:[C6]]),"")</f>
        <v/>
      </c>
      <c r="AW487" t="str">
        <f>IF(SUM(Table5[[#This Row],[D7]:[F9]])=0,"",SUM(Table5[[#This Row],[D7]:[F9]]))</f>
        <v/>
      </c>
      <c r="AX48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8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8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8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8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8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87" t="str">
        <f>IF(COUNTIF(Table5[[#This Row],[English Language]:[Electrical/ Electronics]],"WITHHELD")=0,"",COUNTIF(Table5[[#This Row],[English Language]:[Electrical/ Electronics]],"WITHHELD"))</f>
        <v/>
      </c>
      <c r="BE487" t="str">
        <f>IF(SUM(Table5[[#This Row],[NO OF CREDITS]:[BELOW CREDITS]])=0,"",SUM(Table5[[#This Row],[NO OF CREDITS]:[BELOW CREDITS]]))</f>
        <v/>
      </c>
    </row>
    <row r="488" spans="1:57" x14ac:dyDescent="0.3">
      <c r="A488" t="str">
        <f>IF(B488&lt;&gt;"",COUNTA($B$6:B488),"")</f>
        <v/>
      </c>
      <c r="B488" t="str">
        <f>IF(Result_Database!A484="","",Result_Database!A484)</f>
        <v/>
      </c>
      <c r="C488" t="str">
        <f>_xlfn.LET(
_xlpm.result,_xlfn.XLOOKUP($B488,Result_Database!$A$2:$A$500,Result_Database!$B$2:$B$500),
_xlfn.IFNA(_xlpm.result,"")
)</f>
        <v/>
      </c>
      <c r="D488" t="str">
        <f>_xlfn.LET(
  _xlpm.result, _xlfn.XLOOKUP($B488, Result_Database!$A$2:$A$500, Result_Database!C$2:C$500),
  _xlfn.IFNA(_xlpm.result, "")
)</f>
        <v/>
      </c>
      <c r="E488" t="str">
        <f>_xlfn.LET(
  _xlpm.result, _xlfn.XLOOKUP($B488, Result_Database!$A$2:$A$500, Result_Database!D$2:D$500),
  _xlfn.IFNA(_xlpm.result, "")
)</f>
        <v/>
      </c>
      <c r="F488" t="str">
        <f>_xlfn.LET(
  _xlpm.result, _xlfn.XLOOKUP($B488, Result_Database!$A$2:$A$500, Result_Database!E$2:E$500),
  _xlfn.IFNA(_xlpm.result, "")
)</f>
        <v/>
      </c>
      <c r="G488" t="str">
        <f>_xlfn.LET(
  _xlpm.result, _xlfn.XLOOKUP($B488, Result_Database!$A$2:$A$500, Result_Database!F$2:F$500),
  _xlfn.IFNA(_xlpm.result, "")
)</f>
        <v/>
      </c>
      <c r="H488" t="str">
        <f>_xlfn.LET(
  _xlpm.result, _xlfn.XLOOKUP($B488, Result_Database!$A$2:$A$500, Result_Database!G$2:G$500),
  _xlfn.IFNA(_xlpm.result, "")
)</f>
        <v/>
      </c>
      <c r="I488" t="str">
        <f>_xlfn.LET(
  _xlpm.result, _xlfn.XLOOKUP($B488, Result_Database!$A$2:$A$500, Result_Database!H$2:H$500),
  _xlfn.IFNA(_xlpm.result, "")
)</f>
        <v/>
      </c>
      <c r="J488" t="str">
        <f>_xlfn.LET(
  _xlpm.result, _xlfn.XLOOKUP($B488, Result_Database!$A$2:$A$500, Result_Database!I$2:I$500),
  _xlfn.IFNA(_xlpm.result, "")
)</f>
        <v/>
      </c>
      <c r="K488" t="str">
        <f>_xlfn.LET(
  _xlpm.result, _xlfn.XLOOKUP($B488, Result_Database!$A$2:$A$500, Result_Database!J$2:J$500),
  _xlfn.IFNA(_xlpm.result, "")
)</f>
        <v/>
      </c>
      <c r="L488" t="str">
        <f>_xlfn.LET(
  _xlpm.result, _xlfn.XLOOKUP($B488, Result_Database!$A$2:$A$500, Result_Database!K$2:K$500),
  _xlfn.IFNA(_xlpm.result, "")
)</f>
        <v/>
      </c>
      <c r="M488" t="str">
        <f>_xlfn.LET(
  _xlpm.result, _xlfn.XLOOKUP($B488, Result_Database!$A$2:$A$500, Result_Database!L$2:L$500),
  _xlfn.IFNA(_xlpm.result, "")
)</f>
        <v/>
      </c>
      <c r="N488" t="str">
        <f>_xlfn.LET(
  _xlpm.result, _xlfn.XLOOKUP($B488, Result_Database!$A$2:$A$500, Result_Database!M$2:M$500),
  _xlfn.IFNA(_xlpm.result, "")
)</f>
        <v/>
      </c>
      <c r="O488" t="str">
        <f>_xlfn.LET(
  _xlpm.result, _xlfn.XLOOKUP($B488, Result_Database!$A$2:$A$500, Result_Database!N$2:N$500),
  _xlfn.IFNA(_xlpm.result, "")
)</f>
        <v/>
      </c>
      <c r="P488" t="str">
        <f>_xlfn.LET(
  _xlpm.result, _xlfn.XLOOKUP($B488, Result_Database!$A$2:$A$500, Result_Database!O$2:O$500),
  _xlfn.IFNA(_xlpm.result, "")
)</f>
        <v/>
      </c>
      <c r="Q488" t="str">
        <f>_xlfn.LET(
  _xlpm.result, _xlfn.XLOOKUP($B488, Result_Database!$A$2:$A$500, Result_Database!P$2:P$500),
  _xlfn.IFNA(_xlpm.result, "")
)</f>
        <v/>
      </c>
      <c r="R488" t="str">
        <f>_xlfn.LET(
  _xlpm.result, _xlfn.XLOOKUP($B488, Result_Database!$A$2:$A$500, Result_Database!Q$2:Q$500),
  _xlfn.IFNA(_xlpm.result, "")
)</f>
        <v/>
      </c>
      <c r="S488" t="str">
        <f>_xlfn.LET(
  _xlpm.result, _xlfn.XLOOKUP($B488, Result_Database!$A$2:$A$500, Result_Database!R$2:R$500),
  _xlfn.IFNA(_xlpm.result, "")
)</f>
        <v/>
      </c>
      <c r="T488" t="str">
        <f>_xlfn.LET(
  _xlpm.result, _xlfn.XLOOKUP($B488, Result_Database!$A$2:$A$500, Result_Database!S$2:S$500),
  _xlfn.IFNA(_xlpm.result, "")
)</f>
        <v/>
      </c>
      <c r="U488" t="str">
        <f>_xlfn.LET(
  _xlpm.result, _xlfn.XLOOKUP($B488, Result_Database!$A$2:$A$500, Result_Database!T$2:T$500),
  _xlfn.IFNA(_xlpm.result, "")
)</f>
        <v/>
      </c>
      <c r="V488" t="str">
        <f>_xlfn.LET(
  _xlpm.result, _xlfn.XLOOKUP($B488, Result_Database!$A$2:$A$500, Result_Database!U$2:U$500),
  _xlfn.IFNA(_xlpm.result, "")
)</f>
        <v/>
      </c>
      <c r="W488" t="str">
        <f>_xlfn.LET(
  _xlpm.result, _xlfn.XLOOKUP($B488, Result_Database!$A$2:$A$500, Result_Database!V$2:V$500),
  _xlfn.IFNA(_xlpm.result, "")
)</f>
        <v/>
      </c>
      <c r="X488" t="str">
        <f>_xlfn.LET(
  _xlpm.result, _xlfn.XLOOKUP($B488, Result_Database!$A$2:$A$500, Result_Database!W$2:W$500),
  _xlfn.IFNA(_xlpm.result, "")
)</f>
        <v/>
      </c>
      <c r="Y488" t="str">
        <f>_xlfn.LET(
  _xlpm.result, _xlfn.XLOOKUP($B488, Result_Database!$A$2:$A$500, Result_Database!X$2:X$500),
  _xlfn.IFNA(_xlpm.result, "")
)</f>
        <v/>
      </c>
      <c r="Z488" t="str">
        <f>_xlfn.LET(
  _xlpm.result, _xlfn.XLOOKUP($B488, Result_Database!$A$2:$A$500, Result_Database!Y$2:Y$500),
  _xlfn.IFNA(_xlpm.result, "")
)</f>
        <v/>
      </c>
      <c r="AA488" t="str">
        <f>_xlfn.LET(
  _xlpm.result, _xlfn.XLOOKUP($B488, Result_Database!$A$2:$A$500, Result_Database!Z$2:Z$500),
  _xlfn.IFNA(_xlpm.result, "")
)</f>
        <v/>
      </c>
      <c r="AB488" t="str">
        <f>_xlfn.LET(
  _xlpm.result, _xlfn.XLOOKUP($B488, Result_Database!$A$2:$A$500, Result_Database!AA$2:AA$500),
  _xlfn.IFNA(_xlpm.result, "")
)</f>
        <v/>
      </c>
      <c r="AC488" t="str">
        <f>_xlfn.LET(
  _xlpm.result, _xlfn.XLOOKUP($B488, Result_Database!$A$2:$A$500, Result_Database!AB$2:AB$500),
  _xlfn.IFNA(_xlpm.result, "")
)</f>
        <v/>
      </c>
      <c r="AD488" t="str">
        <f>_xlfn.LET(
  _xlpm.result, _xlfn.XLOOKUP($B488, Result_Database!$A$2:$A$500, Result_Database!AC$2:AC$500),
  _xlfn.IFNA(_xlpm.result, "")
)</f>
        <v/>
      </c>
      <c r="AE488" t="str">
        <f>_xlfn.LET(
  _xlpm.result, _xlfn.XLOOKUP($B488, Result_Database!$A$2:$A$500, Result_Database!AD$2:AD$500),
  _xlfn.IFNA(_xlpm.result, "")
)</f>
        <v/>
      </c>
      <c r="AF488" t="str">
        <f>_xlfn.LET(
  _xlpm.result, _xlfn.XLOOKUP($B488, Result_Database!$A$2:$A$500, Result_Database!AE$2:AE$500),
  _xlfn.IFNA(_xlpm.result, "")
)</f>
        <v/>
      </c>
      <c r="AG488" t="str">
        <f>_xlfn.LET(
  _xlpm.result, _xlfn.XLOOKUP($B488, Result_Database!$A$2:$A$500, Result_Database!AF$2:AF$500),
  _xlfn.IFNA(_xlpm.result, "")
)</f>
        <v/>
      </c>
      <c r="AH488" t="str">
        <f>_xlfn.LET(
  _xlpm.result, _xlfn.XLOOKUP($B488, Result_Database!$A$2:$A$500, Result_Database!AG$2:AG$500),
  _xlfn.IFNA(_xlpm.result, "")
)</f>
        <v/>
      </c>
      <c r="AI488" t="str">
        <f>_xlfn.LET(
  _xlpm.result, _xlfn.XLOOKUP($B488, Result_Database!$A$2:$A$500, Result_Database!AH$2:AH$500),
  _xlfn.IFNA(_xlpm.result, "")
)</f>
        <v/>
      </c>
      <c r="AJ488" t="str">
        <f>_xlfn.LET(
  _xlpm.result, _xlfn.XLOOKUP($B488, Result_Database!$A$2:$A$500, Result_Database!AI$2:AI$500),
  _xlfn.IFNA(_xlpm.result, "")
)</f>
        <v/>
      </c>
      <c r="AK488" t="str">
        <f>_xlfn.LET(
  _xlpm.result, _xlfn.XLOOKUP($B488, Result_Database!$A$2:$A$500, Result_Database!AJ$2:AJ$500),
  _xlfn.IFNA(_xlpm.result, "")
)</f>
        <v/>
      </c>
      <c r="AL488" t="str">
        <f>_xlfn.LET(
  _xlpm.result, _xlfn.XLOOKUP($B488, Result_Database!$A$2:$A$500, Result_Database!AK$2:AK$500),
  _xlfn.IFNA(_xlpm.result, "")
)</f>
        <v/>
      </c>
      <c r="AM48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8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8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8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8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8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8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8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8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88" t="str">
        <f>IF(SUM(Table5[[#This Row],[A1]:[C6]])&lt;&gt;0,SUM(Table5[[#This Row],[A1]:[C6]]),"")</f>
        <v/>
      </c>
      <c r="AW488" t="str">
        <f>IF(SUM(Table5[[#This Row],[D7]:[F9]])=0,"",SUM(Table5[[#This Row],[D7]:[F9]]))</f>
        <v/>
      </c>
      <c r="AX48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8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8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8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8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8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88" t="str">
        <f>IF(COUNTIF(Table5[[#This Row],[English Language]:[Electrical/ Electronics]],"WITHHELD")=0,"",COUNTIF(Table5[[#This Row],[English Language]:[Electrical/ Electronics]],"WITHHELD"))</f>
        <v/>
      </c>
      <c r="BE488" t="str">
        <f>IF(SUM(Table5[[#This Row],[NO OF CREDITS]:[BELOW CREDITS]])=0,"",SUM(Table5[[#This Row],[NO OF CREDITS]:[BELOW CREDITS]]))</f>
        <v/>
      </c>
    </row>
    <row r="489" spans="1:57" x14ac:dyDescent="0.3">
      <c r="A489" t="str">
        <f>IF(B489&lt;&gt;"",COUNTA($B$6:B489),"")</f>
        <v/>
      </c>
      <c r="B489" t="str">
        <f>IF(Result_Database!A485="","",Result_Database!A485)</f>
        <v/>
      </c>
      <c r="C489" t="str">
        <f>_xlfn.LET(
_xlpm.result,_xlfn.XLOOKUP($B489,Result_Database!$A$2:$A$500,Result_Database!$B$2:$B$500),
_xlfn.IFNA(_xlpm.result,"")
)</f>
        <v/>
      </c>
      <c r="D489" t="str">
        <f>_xlfn.LET(
  _xlpm.result, _xlfn.XLOOKUP($B489, Result_Database!$A$2:$A$500, Result_Database!C$2:C$500),
  _xlfn.IFNA(_xlpm.result, "")
)</f>
        <v/>
      </c>
      <c r="E489" t="str">
        <f>_xlfn.LET(
  _xlpm.result, _xlfn.XLOOKUP($B489, Result_Database!$A$2:$A$500, Result_Database!D$2:D$500),
  _xlfn.IFNA(_xlpm.result, "")
)</f>
        <v/>
      </c>
      <c r="F489" t="str">
        <f>_xlfn.LET(
  _xlpm.result, _xlfn.XLOOKUP($B489, Result_Database!$A$2:$A$500, Result_Database!E$2:E$500),
  _xlfn.IFNA(_xlpm.result, "")
)</f>
        <v/>
      </c>
      <c r="G489" t="str">
        <f>_xlfn.LET(
  _xlpm.result, _xlfn.XLOOKUP($B489, Result_Database!$A$2:$A$500, Result_Database!F$2:F$500),
  _xlfn.IFNA(_xlpm.result, "")
)</f>
        <v/>
      </c>
      <c r="H489" t="str">
        <f>_xlfn.LET(
  _xlpm.result, _xlfn.XLOOKUP($B489, Result_Database!$A$2:$A$500, Result_Database!G$2:G$500),
  _xlfn.IFNA(_xlpm.result, "")
)</f>
        <v/>
      </c>
      <c r="I489" t="str">
        <f>_xlfn.LET(
  _xlpm.result, _xlfn.XLOOKUP($B489, Result_Database!$A$2:$A$500, Result_Database!H$2:H$500),
  _xlfn.IFNA(_xlpm.result, "")
)</f>
        <v/>
      </c>
      <c r="J489" t="str">
        <f>_xlfn.LET(
  _xlpm.result, _xlfn.XLOOKUP($B489, Result_Database!$A$2:$A$500, Result_Database!I$2:I$500),
  _xlfn.IFNA(_xlpm.result, "")
)</f>
        <v/>
      </c>
      <c r="K489" t="str">
        <f>_xlfn.LET(
  _xlpm.result, _xlfn.XLOOKUP($B489, Result_Database!$A$2:$A$500, Result_Database!J$2:J$500),
  _xlfn.IFNA(_xlpm.result, "")
)</f>
        <v/>
      </c>
      <c r="L489" t="str">
        <f>_xlfn.LET(
  _xlpm.result, _xlfn.XLOOKUP($B489, Result_Database!$A$2:$A$500, Result_Database!K$2:K$500),
  _xlfn.IFNA(_xlpm.result, "")
)</f>
        <v/>
      </c>
      <c r="M489" t="str">
        <f>_xlfn.LET(
  _xlpm.result, _xlfn.XLOOKUP($B489, Result_Database!$A$2:$A$500, Result_Database!L$2:L$500),
  _xlfn.IFNA(_xlpm.result, "")
)</f>
        <v/>
      </c>
      <c r="N489" t="str">
        <f>_xlfn.LET(
  _xlpm.result, _xlfn.XLOOKUP($B489, Result_Database!$A$2:$A$500, Result_Database!M$2:M$500),
  _xlfn.IFNA(_xlpm.result, "")
)</f>
        <v/>
      </c>
      <c r="O489" t="str">
        <f>_xlfn.LET(
  _xlpm.result, _xlfn.XLOOKUP($B489, Result_Database!$A$2:$A$500, Result_Database!N$2:N$500),
  _xlfn.IFNA(_xlpm.result, "")
)</f>
        <v/>
      </c>
      <c r="P489" t="str">
        <f>_xlfn.LET(
  _xlpm.result, _xlfn.XLOOKUP($B489, Result_Database!$A$2:$A$500, Result_Database!O$2:O$500),
  _xlfn.IFNA(_xlpm.result, "")
)</f>
        <v/>
      </c>
      <c r="Q489" t="str">
        <f>_xlfn.LET(
  _xlpm.result, _xlfn.XLOOKUP($B489, Result_Database!$A$2:$A$500, Result_Database!P$2:P$500),
  _xlfn.IFNA(_xlpm.result, "")
)</f>
        <v/>
      </c>
      <c r="R489" t="str">
        <f>_xlfn.LET(
  _xlpm.result, _xlfn.XLOOKUP($B489, Result_Database!$A$2:$A$500, Result_Database!Q$2:Q$500),
  _xlfn.IFNA(_xlpm.result, "")
)</f>
        <v/>
      </c>
      <c r="S489" t="str">
        <f>_xlfn.LET(
  _xlpm.result, _xlfn.XLOOKUP($B489, Result_Database!$A$2:$A$500, Result_Database!R$2:R$500),
  _xlfn.IFNA(_xlpm.result, "")
)</f>
        <v/>
      </c>
      <c r="T489" t="str">
        <f>_xlfn.LET(
  _xlpm.result, _xlfn.XLOOKUP($B489, Result_Database!$A$2:$A$500, Result_Database!S$2:S$500),
  _xlfn.IFNA(_xlpm.result, "")
)</f>
        <v/>
      </c>
      <c r="U489" t="str">
        <f>_xlfn.LET(
  _xlpm.result, _xlfn.XLOOKUP($B489, Result_Database!$A$2:$A$500, Result_Database!T$2:T$500),
  _xlfn.IFNA(_xlpm.result, "")
)</f>
        <v/>
      </c>
      <c r="V489" t="str">
        <f>_xlfn.LET(
  _xlpm.result, _xlfn.XLOOKUP($B489, Result_Database!$A$2:$A$500, Result_Database!U$2:U$500),
  _xlfn.IFNA(_xlpm.result, "")
)</f>
        <v/>
      </c>
      <c r="W489" t="str">
        <f>_xlfn.LET(
  _xlpm.result, _xlfn.XLOOKUP($B489, Result_Database!$A$2:$A$500, Result_Database!V$2:V$500),
  _xlfn.IFNA(_xlpm.result, "")
)</f>
        <v/>
      </c>
      <c r="X489" t="str">
        <f>_xlfn.LET(
  _xlpm.result, _xlfn.XLOOKUP($B489, Result_Database!$A$2:$A$500, Result_Database!W$2:W$500),
  _xlfn.IFNA(_xlpm.result, "")
)</f>
        <v/>
      </c>
      <c r="Y489" t="str">
        <f>_xlfn.LET(
  _xlpm.result, _xlfn.XLOOKUP($B489, Result_Database!$A$2:$A$500, Result_Database!X$2:X$500),
  _xlfn.IFNA(_xlpm.result, "")
)</f>
        <v/>
      </c>
      <c r="Z489" t="str">
        <f>_xlfn.LET(
  _xlpm.result, _xlfn.XLOOKUP($B489, Result_Database!$A$2:$A$500, Result_Database!Y$2:Y$500),
  _xlfn.IFNA(_xlpm.result, "")
)</f>
        <v/>
      </c>
      <c r="AA489" t="str">
        <f>_xlfn.LET(
  _xlpm.result, _xlfn.XLOOKUP($B489, Result_Database!$A$2:$A$500, Result_Database!Z$2:Z$500),
  _xlfn.IFNA(_xlpm.result, "")
)</f>
        <v/>
      </c>
      <c r="AB489" t="str">
        <f>_xlfn.LET(
  _xlpm.result, _xlfn.XLOOKUP($B489, Result_Database!$A$2:$A$500, Result_Database!AA$2:AA$500),
  _xlfn.IFNA(_xlpm.result, "")
)</f>
        <v/>
      </c>
      <c r="AC489" t="str">
        <f>_xlfn.LET(
  _xlpm.result, _xlfn.XLOOKUP($B489, Result_Database!$A$2:$A$500, Result_Database!AB$2:AB$500),
  _xlfn.IFNA(_xlpm.result, "")
)</f>
        <v/>
      </c>
      <c r="AD489" t="str">
        <f>_xlfn.LET(
  _xlpm.result, _xlfn.XLOOKUP($B489, Result_Database!$A$2:$A$500, Result_Database!AC$2:AC$500),
  _xlfn.IFNA(_xlpm.result, "")
)</f>
        <v/>
      </c>
      <c r="AE489" t="str">
        <f>_xlfn.LET(
  _xlpm.result, _xlfn.XLOOKUP($B489, Result_Database!$A$2:$A$500, Result_Database!AD$2:AD$500),
  _xlfn.IFNA(_xlpm.result, "")
)</f>
        <v/>
      </c>
      <c r="AF489" t="str">
        <f>_xlfn.LET(
  _xlpm.result, _xlfn.XLOOKUP($B489, Result_Database!$A$2:$A$500, Result_Database!AE$2:AE$500),
  _xlfn.IFNA(_xlpm.result, "")
)</f>
        <v/>
      </c>
      <c r="AG489" t="str">
        <f>_xlfn.LET(
  _xlpm.result, _xlfn.XLOOKUP($B489, Result_Database!$A$2:$A$500, Result_Database!AF$2:AF$500),
  _xlfn.IFNA(_xlpm.result, "")
)</f>
        <v/>
      </c>
      <c r="AH489" t="str">
        <f>_xlfn.LET(
  _xlpm.result, _xlfn.XLOOKUP($B489, Result_Database!$A$2:$A$500, Result_Database!AG$2:AG$500),
  _xlfn.IFNA(_xlpm.result, "")
)</f>
        <v/>
      </c>
      <c r="AI489" t="str">
        <f>_xlfn.LET(
  _xlpm.result, _xlfn.XLOOKUP($B489, Result_Database!$A$2:$A$500, Result_Database!AH$2:AH$500),
  _xlfn.IFNA(_xlpm.result, "")
)</f>
        <v/>
      </c>
      <c r="AJ489" t="str">
        <f>_xlfn.LET(
  _xlpm.result, _xlfn.XLOOKUP($B489, Result_Database!$A$2:$A$500, Result_Database!AI$2:AI$500),
  _xlfn.IFNA(_xlpm.result, "")
)</f>
        <v/>
      </c>
      <c r="AK489" t="str">
        <f>_xlfn.LET(
  _xlpm.result, _xlfn.XLOOKUP($B489, Result_Database!$A$2:$A$500, Result_Database!AJ$2:AJ$500),
  _xlfn.IFNA(_xlpm.result, "")
)</f>
        <v/>
      </c>
      <c r="AL489" t="str">
        <f>_xlfn.LET(
  _xlpm.result, _xlfn.XLOOKUP($B489, Result_Database!$A$2:$A$500, Result_Database!AK$2:AK$500),
  _xlfn.IFNA(_xlpm.result, "")
)</f>
        <v/>
      </c>
      <c r="AM48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8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8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8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8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8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8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8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8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89" t="str">
        <f>IF(SUM(Table5[[#This Row],[A1]:[C6]])&lt;&gt;0,SUM(Table5[[#This Row],[A1]:[C6]]),"")</f>
        <v/>
      </c>
      <c r="AW489" t="str">
        <f>IF(SUM(Table5[[#This Row],[D7]:[F9]])=0,"",SUM(Table5[[#This Row],[D7]:[F9]]))</f>
        <v/>
      </c>
      <c r="AX48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8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8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8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8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8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89" t="str">
        <f>IF(COUNTIF(Table5[[#This Row],[English Language]:[Electrical/ Electronics]],"WITHHELD")=0,"",COUNTIF(Table5[[#This Row],[English Language]:[Electrical/ Electronics]],"WITHHELD"))</f>
        <v/>
      </c>
      <c r="BE489" t="str">
        <f>IF(SUM(Table5[[#This Row],[NO OF CREDITS]:[BELOW CREDITS]])=0,"",SUM(Table5[[#This Row],[NO OF CREDITS]:[BELOW CREDITS]]))</f>
        <v/>
      </c>
    </row>
    <row r="490" spans="1:57" x14ac:dyDescent="0.3">
      <c r="A490" t="str">
        <f>IF(B490&lt;&gt;"",COUNTA($B$6:B490),"")</f>
        <v/>
      </c>
      <c r="B490" t="str">
        <f>IF(Result_Database!A486="","",Result_Database!A486)</f>
        <v/>
      </c>
      <c r="C490" t="str">
        <f>_xlfn.LET(
_xlpm.result,_xlfn.XLOOKUP($B490,Result_Database!$A$2:$A$500,Result_Database!$B$2:$B$500),
_xlfn.IFNA(_xlpm.result,"")
)</f>
        <v/>
      </c>
      <c r="D490" t="str">
        <f>_xlfn.LET(
  _xlpm.result, _xlfn.XLOOKUP($B490, Result_Database!$A$2:$A$500, Result_Database!C$2:C$500),
  _xlfn.IFNA(_xlpm.result, "")
)</f>
        <v/>
      </c>
      <c r="E490" t="str">
        <f>_xlfn.LET(
  _xlpm.result, _xlfn.XLOOKUP($B490, Result_Database!$A$2:$A$500, Result_Database!D$2:D$500),
  _xlfn.IFNA(_xlpm.result, "")
)</f>
        <v/>
      </c>
      <c r="F490" t="str">
        <f>_xlfn.LET(
  _xlpm.result, _xlfn.XLOOKUP($B490, Result_Database!$A$2:$A$500, Result_Database!E$2:E$500),
  _xlfn.IFNA(_xlpm.result, "")
)</f>
        <v/>
      </c>
      <c r="G490" t="str">
        <f>_xlfn.LET(
  _xlpm.result, _xlfn.XLOOKUP($B490, Result_Database!$A$2:$A$500, Result_Database!F$2:F$500),
  _xlfn.IFNA(_xlpm.result, "")
)</f>
        <v/>
      </c>
      <c r="H490" t="str">
        <f>_xlfn.LET(
  _xlpm.result, _xlfn.XLOOKUP($B490, Result_Database!$A$2:$A$500, Result_Database!G$2:G$500),
  _xlfn.IFNA(_xlpm.result, "")
)</f>
        <v/>
      </c>
      <c r="I490" t="str">
        <f>_xlfn.LET(
  _xlpm.result, _xlfn.XLOOKUP($B490, Result_Database!$A$2:$A$500, Result_Database!H$2:H$500),
  _xlfn.IFNA(_xlpm.result, "")
)</f>
        <v/>
      </c>
      <c r="J490" t="str">
        <f>_xlfn.LET(
  _xlpm.result, _xlfn.XLOOKUP($B490, Result_Database!$A$2:$A$500, Result_Database!I$2:I$500),
  _xlfn.IFNA(_xlpm.result, "")
)</f>
        <v/>
      </c>
      <c r="K490" t="str">
        <f>_xlfn.LET(
  _xlpm.result, _xlfn.XLOOKUP($B490, Result_Database!$A$2:$A$500, Result_Database!J$2:J$500),
  _xlfn.IFNA(_xlpm.result, "")
)</f>
        <v/>
      </c>
      <c r="L490" t="str">
        <f>_xlfn.LET(
  _xlpm.result, _xlfn.XLOOKUP($B490, Result_Database!$A$2:$A$500, Result_Database!K$2:K$500),
  _xlfn.IFNA(_xlpm.result, "")
)</f>
        <v/>
      </c>
      <c r="M490" t="str">
        <f>_xlfn.LET(
  _xlpm.result, _xlfn.XLOOKUP($B490, Result_Database!$A$2:$A$500, Result_Database!L$2:L$500),
  _xlfn.IFNA(_xlpm.result, "")
)</f>
        <v/>
      </c>
      <c r="N490" t="str">
        <f>_xlfn.LET(
  _xlpm.result, _xlfn.XLOOKUP($B490, Result_Database!$A$2:$A$500, Result_Database!M$2:M$500),
  _xlfn.IFNA(_xlpm.result, "")
)</f>
        <v/>
      </c>
      <c r="O490" t="str">
        <f>_xlfn.LET(
  _xlpm.result, _xlfn.XLOOKUP($B490, Result_Database!$A$2:$A$500, Result_Database!N$2:N$500),
  _xlfn.IFNA(_xlpm.result, "")
)</f>
        <v/>
      </c>
      <c r="P490" t="str">
        <f>_xlfn.LET(
  _xlpm.result, _xlfn.XLOOKUP($B490, Result_Database!$A$2:$A$500, Result_Database!O$2:O$500),
  _xlfn.IFNA(_xlpm.result, "")
)</f>
        <v/>
      </c>
      <c r="Q490" t="str">
        <f>_xlfn.LET(
  _xlpm.result, _xlfn.XLOOKUP($B490, Result_Database!$A$2:$A$500, Result_Database!P$2:P$500),
  _xlfn.IFNA(_xlpm.result, "")
)</f>
        <v/>
      </c>
      <c r="R490" t="str">
        <f>_xlfn.LET(
  _xlpm.result, _xlfn.XLOOKUP($B490, Result_Database!$A$2:$A$500, Result_Database!Q$2:Q$500),
  _xlfn.IFNA(_xlpm.result, "")
)</f>
        <v/>
      </c>
      <c r="S490" t="str">
        <f>_xlfn.LET(
  _xlpm.result, _xlfn.XLOOKUP($B490, Result_Database!$A$2:$A$500, Result_Database!R$2:R$500),
  _xlfn.IFNA(_xlpm.result, "")
)</f>
        <v/>
      </c>
      <c r="T490" t="str">
        <f>_xlfn.LET(
  _xlpm.result, _xlfn.XLOOKUP($B490, Result_Database!$A$2:$A$500, Result_Database!S$2:S$500),
  _xlfn.IFNA(_xlpm.result, "")
)</f>
        <v/>
      </c>
      <c r="U490" t="str">
        <f>_xlfn.LET(
  _xlpm.result, _xlfn.XLOOKUP($B490, Result_Database!$A$2:$A$500, Result_Database!T$2:T$500),
  _xlfn.IFNA(_xlpm.result, "")
)</f>
        <v/>
      </c>
      <c r="V490" t="str">
        <f>_xlfn.LET(
  _xlpm.result, _xlfn.XLOOKUP($B490, Result_Database!$A$2:$A$500, Result_Database!U$2:U$500),
  _xlfn.IFNA(_xlpm.result, "")
)</f>
        <v/>
      </c>
      <c r="W490" t="str">
        <f>_xlfn.LET(
  _xlpm.result, _xlfn.XLOOKUP($B490, Result_Database!$A$2:$A$500, Result_Database!V$2:V$500),
  _xlfn.IFNA(_xlpm.result, "")
)</f>
        <v/>
      </c>
      <c r="X490" t="str">
        <f>_xlfn.LET(
  _xlpm.result, _xlfn.XLOOKUP($B490, Result_Database!$A$2:$A$500, Result_Database!W$2:W$500),
  _xlfn.IFNA(_xlpm.result, "")
)</f>
        <v/>
      </c>
      <c r="Y490" t="str">
        <f>_xlfn.LET(
  _xlpm.result, _xlfn.XLOOKUP($B490, Result_Database!$A$2:$A$500, Result_Database!X$2:X$500),
  _xlfn.IFNA(_xlpm.result, "")
)</f>
        <v/>
      </c>
      <c r="Z490" t="str">
        <f>_xlfn.LET(
  _xlpm.result, _xlfn.XLOOKUP($B490, Result_Database!$A$2:$A$500, Result_Database!Y$2:Y$500),
  _xlfn.IFNA(_xlpm.result, "")
)</f>
        <v/>
      </c>
      <c r="AA490" t="str">
        <f>_xlfn.LET(
  _xlpm.result, _xlfn.XLOOKUP($B490, Result_Database!$A$2:$A$500, Result_Database!Z$2:Z$500),
  _xlfn.IFNA(_xlpm.result, "")
)</f>
        <v/>
      </c>
      <c r="AB490" t="str">
        <f>_xlfn.LET(
  _xlpm.result, _xlfn.XLOOKUP($B490, Result_Database!$A$2:$A$500, Result_Database!AA$2:AA$500),
  _xlfn.IFNA(_xlpm.result, "")
)</f>
        <v/>
      </c>
      <c r="AC490" t="str">
        <f>_xlfn.LET(
  _xlpm.result, _xlfn.XLOOKUP($B490, Result_Database!$A$2:$A$500, Result_Database!AB$2:AB$500),
  _xlfn.IFNA(_xlpm.result, "")
)</f>
        <v/>
      </c>
      <c r="AD490" t="str">
        <f>_xlfn.LET(
  _xlpm.result, _xlfn.XLOOKUP($B490, Result_Database!$A$2:$A$500, Result_Database!AC$2:AC$500),
  _xlfn.IFNA(_xlpm.result, "")
)</f>
        <v/>
      </c>
      <c r="AE490" t="str">
        <f>_xlfn.LET(
  _xlpm.result, _xlfn.XLOOKUP($B490, Result_Database!$A$2:$A$500, Result_Database!AD$2:AD$500),
  _xlfn.IFNA(_xlpm.result, "")
)</f>
        <v/>
      </c>
      <c r="AF490" t="str">
        <f>_xlfn.LET(
  _xlpm.result, _xlfn.XLOOKUP($B490, Result_Database!$A$2:$A$500, Result_Database!AE$2:AE$500),
  _xlfn.IFNA(_xlpm.result, "")
)</f>
        <v/>
      </c>
      <c r="AG490" t="str">
        <f>_xlfn.LET(
  _xlpm.result, _xlfn.XLOOKUP($B490, Result_Database!$A$2:$A$500, Result_Database!AF$2:AF$500),
  _xlfn.IFNA(_xlpm.result, "")
)</f>
        <v/>
      </c>
      <c r="AH490" t="str">
        <f>_xlfn.LET(
  _xlpm.result, _xlfn.XLOOKUP($B490, Result_Database!$A$2:$A$500, Result_Database!AG$2:AG$500),
  _xlfn.IFNA(_xlpm.result, "")
)</f>
        <v/>
      </c>
      <c r="AI490" t="str">
        <f>_xlfn.LET(
  _xlpm.result, _xlfn.XLOOKUP($B490, Result_Database!$A$2:$A$500, Result_Database!AH$2:AH$500),
  _xlfn.IFNA(_xlpm.result, "")
)</f>
        <v/>
      </c>
      <c r="AJ490" t="str">
        <f>_xlfn.LET(
  _xlpm.result, _xlfn.XLOOKUP($B490, Result_Database!$A$2:$A$500, Result_Database!AI$2:AI$500),
  _xlfn.IFNA(_xlpm.result, "")
)</f>
        <v/>
      </c>
      <c r="AK490" t="str">
        <f>_xlfn.LET(
  _xlpm.result, _xlfn.XLOOKUP($B490, Result_Database!$A$2:$A$500, Result_Database!AJ$2:AJ$500),
  _xlfn.IFNA(_xlpm.result, "")
)</f>
        <v/>
      </c>
      <c r="AL490" t="str">
        <f>_xlfn.LET(
  _xlpm.result, _xlfn.XLOOKUP($B490, Result_Database!$A$2:$A$500, Result_Database!AK$2:AK$500),
  _xlfn.IFNA(_xlpm.result, "")
)</f>
        <v/>
      </c>
      <c r="AM49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9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9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9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9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9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9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9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9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90" t="str">
        <f>IF(SUM(Table5[[#This Row],[A1]:[C6]])&lt;&gt;0,SUM(Table5[[#This Row],[A1]:[C6]]),"")</f>
        <v/>
      </c>
      <c r="AW490" t="str">
        <f>IF(SUM(Table5[[#This Row],[D7]:[F9]])=0,"",SUM(Table5[[#This Row],[D7]:[F9]]))</f>
        <v/>
      </c>
      <c r="AX49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9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9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9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9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9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90" t="str">
        <f>IF(COUNTIF(Table5[[#This Row],[English Language]:[Electrical/ Electronics]],"WITHHELD")=0,"",COUNTIF(Table5[[#This Row],[English Language]:[Electrical/ Electronics]],"WITHHELD"))</f>
        <v/>
      </c>
      <c r="BE490" t="str">
        <f>IF(SUM(Table5[[#This Row],[NO OF CREDITS]:[BELOW CREDITS]])=0,"",SUM(Table5[[#This Row],[NO OF CREDITS]:[BELOW CREDITS]]))</f>
        <v/>
      </c>
    </row>
    <row r="491" spans="1:57" x14ac:dyDescent="0.3">
      <c r="A491" t="str">
        <f>IF(B491&lt;&gt;"",COUNTA($B$6:B491),"")</f>
        <v/>
      </c>
      <c r="B491" t="str">
        <f>IF(Result_Database!A487="","",Result_Database!A487)</f>
        <v/>
      </c>
      <c r="C491" t="str">
        <f>_xlfn.LET(
_xlpm.result,_xlfn.XLOOKUP($B491,Result_Database!$A$2:$A$500,Result_Database!$B$2:$B$500),
_xlfn.IFNA(_xlpm.result,"")
)</f>
        <v/>
      </c>
      <c r="D491" t="str">
        <f>_xlfn.LET(
  _xlpm.result, _xlfn.XLOOKUP($B491, Result_Database!$A$2:$A$500, Result_Database!C$2:C$500),
  _xlfn.IFNA(_xlpm.result, "")
)</f>
        <v/>
      </c>
      <c r="E491" t="str">
        <f>_xlfn.LET(
  _xlpm.result, _xlfn.XLOOKUP($B491, Result_Database!$A$2:$A$500, Result_Database!D$2:D$500),
  _xlfn.IFNA(_xlpm.result, "")
)</f>
        <v/>
      </c>
      <c r="F491" t="str">
        <f>_xlfn.LET(
  _xlpm.result, _xlfn.XLOOKUP($B491, Result_Database!$A$2:$A$500, Result_Database!E$2:E$500),
  _xlfn.IFNA(_xlpm.result, "")
)</f>
        <v/>
      </c>
      <c r="G491" t="str">
        <f>_xlfn.LET(
  _xlpm.result, _xlfn.XLOOKUP($B491, Result_Database!$A$2:$A$500, Result_Database!F$2:F$500),
  _xlfn.IFNA(_xlpm.result, "")
)</f>
        <v/>
      </c>
      <c r="H491" t="str">
        <f>_xlfn.LET(
  _xlpm.result, _xlfn.XLOOKUP($B491, Result_Database!$A$2:$A$500, Result_Database!G$2:G$500),
  _xlfn.IFNA(_xlpm.result, "")
)</f>
        <v/>
      </c>
      <c r="I491" t="str">
        <f>_xlfn.LET(
  _xlpm.result, _xlfn.XLOOKUP($B491, Result_Database!$A$2:$A$500, Result_Database!H$2:H$500),
  _xlfn.IFNA(_xlpm.result, "")
)</f>
        <v/>
      </c>
      <c r="J491" t="str">
        <f>_xlfn.LET(
  _xlpm.result, _xlfn.XLOOKUP($B491, Result_Database!$A$2:$A$500, Result_Database!I$2:I$500),
  _xlfn.IFNA(_xlpm.result, "")
)</f>
        <v/>
      </c>
      <c r="K491" t="str">
        <f>_xlfn.LET(
  _xlpm.result, _xlfn.XLOOKUP($B491, Result_Database!$A$2:$A$500, Result_Database!J$2:J$500),
  _xlfn.IFNA(_xlpm.result, "")
)</f>
        <v/>
      </c>
      <c r="L491" t="str">
        <f>_xlfn.LET(
  _xlpm.result, _xlfn.XLOOKUP($B491, Result_Database!$A$2:$A$500, Result_Database!K$2:K$500),
  _xlfn.IFNA(_xlpm.result, "")
)</f>
        <v/>
      </c>
      <c r="M491" t="str">
        <f>_xlfn.LET(
  _xlpm.result, _xlfn.XLOOKUP($B491, Result_Database!$A$2:$A$500, Result_Database!L$2:L$500),
  _xlfn.IFNA(_xlpm.result, "")
)</f>
        <v/>
      </c>
      <c r="N491" t="str">
        <f>_xlfn.LET(
  _xlpm.result, _xlfn.XLOOKUP($B491, Result_Database!$A$2:$A$500, Result_Database!M$2:M$500),
  _xlfn.IFNA(_xlpm.result, "")
)</f>
        <v/>
      </c>
      <c r="O491" t="str">
        <f>_xlfn.LET(
  _xlpm.result, _xlfn.XLOOKUP($B491, Result_Database!$A$2:$A$500, Result_Database!N$2:N$500),
  _xlfn.IFNA(_xlpm.result, "")
)</f>
        <v/>
      </c>
      <c r="P491" t="str">
        <f>_xlfn.LET(
  _xlpm.result, _xlfn.XLOOKUP($B491, Result_Database!$A$2:$A$500, Result_Database!O$2:O$500),
  _xlfn.IFNA(_xlpm.result, "")
)</f>
        <v/>
      </c>
      <c r="Q491" t="str">
        <f>_xlfn.LET(
  _xlpm.result, _xlfn.XLOOKUP($B491, Result_Database!$A$2:$A$500, Result_Database!P$2:P$500),
  _xlfn.IFNA(_xlpm.result, "")
)</f>
        <v/>
      </c>
      <c r="R491" t="str">
        <f>_xlfn.LET(
  _xlpm.result, _xlfn.XLOOKUP($B491, Result_Database!$A$2:$A$500, Result_Database!Q$2:Q$500),
  _xlfn.IFNA(_xlpm.result, "")
)</f>
        <v/>
      </c>
      <c r="S491" t="str">
        <f>_xlfn.LET(
  _xlpm.result, _xlfn.XLOOKUP($B491, Result_Database!$A$2:$A$500, Result_Database!R$2:R$500),
  _xlfn.IFNA(_xlpm.result, "")
)</f>
        <v/>
      </c>
      <c r="T491" t="str">
        <f>_xlfn.LET(
  _xlpm.result, _xlfn.XLOOKUP($B491, Result_Database!$A$2:$A$500, Result_Database!S$2:S$500),
  _xlfn.IFNA(_xlpm.result, "")
)</f>
        <v/>
      </c>
      <c r="U491" t="str">
        <f>_xlfn.LET(
  _xlpm.result, _xlfn.XLOOKUP($B491, Result_Database!$A$2:$A$500, Result_Database!T$2:T$500),
  _xlfn.IFNA(_xlpm.result, "")
)</f>
        <v/>
      </c>
      <c r="V491" t="str">
        <f>_xlfn.LET(
  _xlpm.result, _xlfn.XLOOKUP($B491, Result_Database!$A$2:$A$500, Result_Database!U$2:U$500),
  _xlfn.IFNA(_xlpm.result, "")
)</f>
        <v/>
      </c>
      <c r="W491" t="str">
        <f>_xlfn.LET(
  _xlpm.result, _xlfn.XLOOKUP($B491, Result_Database!$A$2:$A$500, Result_Database!V$2:V$500),
  _xlfn.IFNA(_xlpm.result, "")
)</f>
        <v/>
      </c>
      <c r="X491" t="str">
        <f>_xlfn.LET(
  _xlpm.result, _xlfn.XLOOKUP($B491, Result_Database!$A$2:$A$500, Result_Database!W$2:W$500),
  _xlfn.IFNA(_xlpm.result, "")
)</f>
        <v/>
      </c>
      <c r="Y491" t="str">
        <f>_xlfn.LET(
  _xlpm.result, _xlfn.XLOOKUP($B491, Result_Database!$A$2:$A$500, Result_Database!X$2:X$500),
  _xlfn.IFNA(_xlpm.result, "")
)</f>
        <v/>
      </c>
      <c r="Z491" t="str">
        <f>_xlfn.LET(
  _xlpm.result, _xlfn.XLOOKUP($B491, Result_Database!$A$2:$A$500, Result_Database!Y$2:Y$500),
  _xlfn.IFNA(_xlpm.result, "")
)</f>
        <v/>
      </c>
      <c r="AA491" t="str">
        <f>_xlfn.LET(
  _xlpm.result, _xlfn.XLOOKUP($B491, Result_Database!$A$2:$A$500, Result_Database!Z$2:Z$500),
  _xlfn.IFNA(_xlpm.result, "")
)</f>
        <v/>
      </c>
      <c r="AB491" t="str">
        <f>_xlfn.LET(
  _xlpm.result, _xlfn.XLOOKUP($B491, Result_Database!$A$2:$A$500, Result_Database!AA$2:AA$500),
  _xlfn.IFNA(_xlpm.result, "")
)</f>
        <v/>
      </c>
      <c r="AC491" t="str">
        <f>_xlfn.LET(
  _xlpm.result, _xlfn.XLOOKUP($B491, Result_Database!$A$2:$A$500, Result_Database!AB$2:AB$500),
  _xlfn.IFNA(_xlpm.result, "")
)</f>
        <v/>
      </c>
      <c r="AD491" t="str">
        <f>_xlfn.LET(
  _xlpm.result, _xlfn.XLOOKUP($B491, Result_Database!$A$2:$A$500, Result_Database!AC$2:AC$500),
  _xlfn.IFNA(_xlpm.result, "")
)</f>
        <v/>
      </c>
      <c r="AE491" t="str">
        <f>_xlfn.LET(
  _xlpm.result, _xlfn.XLOOKUP($B491, Result_Database!$A$2:$A$500, Result_Database!AD$2:AD$500),
  _xlfn.IFNA(_xlpm.result, "")
)</f>
        <v/>
      </c>
      <c r="AF491" t="str">
        <f>_xlfn.LET(
  _xlpm.result, _xlfn.XLOOKUP($B491, Result_Database!$A$2:$A$500, Result_Database!AE$2:AE$500),
  _xlfn.IFNA(_xlpm.result, "")
)</f>
        <v/>
      </c>
      <c r="AG491" t="str">
        <f>_xlfn.LET(
  _xlpm.result, _xlfn.XLOOKUP($B491, Result_Database!$A$2:$A$500, Result_Database!AF$2:AF$500),
  _xlfn.IFNA(_xlpm.result, "")
)</f>
        <v/>
      </c>
      <c r="AH491" t="str">
        <f>_xlfn.LET(
  _xlpm.result, _xlfn.XLOOKUP($B491, Result_Database!$A$2:$A$500, Result_Database!AG$2:AG$500),
  _xlfn.IFNA(_xlpm.result, "")
)</f>
        <v/>
      </c>
      <c r="AI491" t="str">
        <f>_xlfn.LET(
  _xlpm.result, _xlfn.XLOOKUP($B491, Result_Database!$A$2:$A$500, Result_Database!AH$2:AH$500),
  _xlfn.IFNA(_xlpm.result, "")
)</f>
        <v/>
      </c>
      <c r="AJ491" t="str">
        <f>_xlfn.LET(
  _xlpm.result, _xlfn.XLOOKUP($B491, Result_Database!$A$2:$A$500, Result_Database!AI$2:AI$500),
  _xlfn.IFNA(_xlpm.result, "")
)</f>
        <v/>
      </c>
      <c r="AK491" t="str">
        <f>_xlfn.LET(
  _xlpm.result, _xlfn.XLOOKUP($B491, Result_Database!$A$2:$A$500, Result_Database!AJ$2:AJ$500),
  _xlfn.IFNA(_xlpm.result, "")
)</f>
        <v/>
      </c>
      <c r="AL491" t="str">
        <f>_xlfn.LET(
  _xlpm.result, _xlfn.XLOOKUP($B491, Result_Database!$A$2:$A$500, Result_Database!AK$2:AK$500),
  _xlfn.IFNA(_xlpm.result, "")
)</f>
        <v/>
      </c>
      <c r="AM491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91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91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91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91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91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91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91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91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91" t="str">
        <f>IF(SUM(Table5[[#This Row],[A1]:[C6]])&lt;&gt;0,SUM(Table5[[#This Row],[A1]:[C6]]),"")</f>
        <v/>
      </c>
      <c r="AW491" t="str">
        <f>IF(SUM(Table5[[#This Row],[D7]:[F9]])=0,"",SUM(Table5[[#This Row],[D7]:[F9]]))</f>
        <v/>
      </c>
      <c r="AX491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91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91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91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91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91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91" t="str">
        <f>IF(COUNTIF(Table5[[#This Row],[English Language]:[Electrical/ Electronics]],"WITHHELD")=0,"",COUNTIF(Table5[[#This Row],[English Language]:[Electrical/ Electronics]],"WITHHELD"))</f>
        <v/>
      </c>
      <c r="BE491" t="str">
        <f>IF(SUM(Table5[[#This Row],[NO OF CREDITS]:[BELOW CREDITS]])=0,"",SUM(Table5[[#This Row],[NO OF CREDITS]:[BELOW CREDITS]]))</f>
        <v/>
      </c>
    </row>
    <row r="492" spans="1:57" x14ac:dyDescent="0.3">
      <c r="A492" t="str">
        <f>IF(B492&lt;&gt;"",COUNTA($B$6:B492),"")</f>
        <v/>
      </c>
      <c r="B492" t="str">
        <f>IF(Result_Database!A488="","",Result_Database!A488)</f>
        <v/>
      </c>
      <c r="C492" t="str">
        <f>_xlfn.LET(
_xlpm.result,_xlfn.XLOOKUP($B492,Result_Database!$A$2:$A$500,Result_Database!$B$2:$B$500),
_xlfn.IFNA(_xlpm.result,"")
)</f>
        <v/>
      </c>
      <c r="D492" t="str">
        <f>_xlfn.LET(
  _xlpm.result, _xlfn.XLOOKUP($B492, Result_Database!$A$2:$A$500, Result_Database!C$2:C$500),
  _xlfn.IFNA(_xlpm.result, "")
)</f>
        <v/>
      </c>
      <c r="E492" t="str">
        <f>_xlfn.LET(
  _xlpm.result, _xlfn.XLOOKUP($B492, Result_Database!$A$2:$A$500, Result_Database!D$2:D$500),
  _xlfn.IFNA(_xlpm.result, "")
)</f>
        <v/>
      </c>
      <c r="F492" t="str">
        <f>_xlfn.LET(
  _xlpm.result, _xlfn.XLOOKUP($B492, Result_Database!$A$2:$A$500, Result_Database!E$2:E$500),
  _xlfn.IFNA(_xlpm.result, "")
)</f>
        <v/>
      </c>
      <c r="G492" t="str">
        <f>_xlfn.LET(
  _xlpm.result, _xlfn.XLOOKUP($B492, Result_Database!$A$2:$A$500, Result_Database!F$2:F$500),
  _xlfn.IFNA(_xlpm.result, "")
)</f>
        <v/>
      </c>
      <c r="H492" t="str">
        <f>_xlfn.LET(
  _xlpm.result, _xlfn.XLOOKUP($B492, Result_Database!$A$2:$A$500, Result_Database!G$2:G$500),
  _xlfn.IFNA(_xlpm.result, "")
)</f>
        <v/>
      </c>
      <c r="I492" t="str">
        <f>_xlfn.LET(
  _xlpm.result, _xlfn.XLOOKUP($B492, Result_Database!$A$2:$A$500, Result_Database!H$2:H$500),
  _xlfn.IFNA(_xlpm.result, "")
)</f>
        <v/>
      </c>
      <c r="J492" t="str">
        <f>_xlfn.LET(
  _xlpm.result, _xlfn.XLOOKUP($B492, Result_Database!$A$2:$A$500, Result_Database!I$2:I$500),
  _xlfn.IFNA(_xlpm.result, "")
)</f>
        <v/>
      </c>
      <c r="K492" t="str">
        <f>_xlfn.LET(
  _xlpm.result, _xlfn.XLOOKUP($B492, Result_Database!$A$2:$A$500, Result_Database!J$2:J$500),
  _xlfn.IFNA(_xlpm.result, "")
)</f>
        <v/>
      </c>
      <c r="L492" t="str">
        <f>_xlfn.LET(
  _xlpm.result, _xlfn.XLOOKUP($B492, Result_Database!$A$2:$A$500, Result_Database!K$2:K$500),
  _xlfn.IFNA(_xlpm.result, "")
)</f>
        <v/>
      </c>
      <c r="M492" t="str">
        <f>_xlfn.LET(
  _xlpm.result, _xlfn.XLOOKUP($B492, Result_Database!$A$2:$A$500, Result_Database!L$2:L$500),
  _xlfn.IFNA(_xlpm.result, "")
)</f>
        <v/>
      </c>
      <c r="N492" t="str">
        <f>_xlfn.LET(
  _xlpm.result, _xlfn.XLOOKUP($B492, Result_Database!$A$2:$A$500, Result_Database!M$2:M$500),
  _xlfn.IFNA(_xlpm.result, "")
)</f>
        <v/>
      </c>
      <c r="O492" t="str">
        <f>_xlfn.LET(
  _xlpm.result, _xlfn.XLOOKUP($B492, Result_Database!$A$2:$A$500, Result_Database!N$2:N$500),
  _xlfn.IFNA(_xlpm.result, "")
)</f>
        <v/>
      </c>
      <c r="P492" t="str">
        <f>_xlfn.LET(
  _xlpm.result, _xlfn.XLOOKUP($B492, Result_Database!$A$2:$A$500, Result_Database!O$2:O$500),
  _xlfn.IFNA(_xlpm.result, "")
)</f>
        <v/>
      </c>
      <c r="Q492" t="str">
        <f>_xlfn.LET(
  _xlpm.result, _xlfn.XLOOKUP($B492, Result_Database!$A$2:$A$500, Result_Database!P$2:P$500),
  _xlfn.IFNA(_xlpm.result, "")
)</f>
        <v/>
      </c>
      <c r="R492" t="str">
        <f>_xlfn.LET(
  _xlpm.result, _xlfn.XLOOKUP($B492, Result_Database!$A$2:$A$500, Result_Database!Q$2:Q$500),
  _xlfn.IFNA(_xlpm.result, "")
)</f>
        <v/>
      </c>
      <c r="S492" t="str">
        <f>_xlfn.LET(
  _xlpm.result, _xlfn.XLOOKUP($B492, Result_Database!$A$2:$A$500, Result_Database!R$2:R$500),
  _xlfn.IFNA(_xlpm.result, "")
)</f>
        <v/>
      </c>
      <c r="T492" t="str">
        <f>_xlfn.LET(
  _xlpm.result, _xlfn.XLOOKUP($B492, Result_Database!$A$2:$A$500, Result_Database!S$2:S$500),
  _xlfn.IFNA(_xlpm.result, "")
)</f>
        <v/>
      </c>
      <c r="U492" t="str">
        <f>_xlfn.LET(
  _xlpm.result, _xlfn.XLOOKUP($B492, Result_Database!$A$2:$A$500, Result_Database!T$2:T$500),
  _xlfn.IFNA(_xlpm.result, "")
)</f>
        <v/>
      </c>
      <c r="V492" t="str">
        <f>_xlfn.LET(
  _xlpm.result, _xlfn.XLOOKUP($B492, Result_Database!$A$2:$A$500, Result_Database!U$2:U$500),
  _xlfn.IFNA(_xlpm.result, "")
)</f>
        <v/>
      </c>
      <c r="W492" t="str">
        <f>_xlfn.LET(
  _xlpm.result, _xlfn.XLOOKUP($B492, Result_Database!$A$2:$A$500, Result_Database!V$2:V$500),
  _xlfn.IFNA(_xlpm.result, "")
)</f>
        <v/>
      </c>
      <c r="X492" t="str">
        <f>_xlfn.LET(
  _xlpm.result, _xlfn.XLOOKUP($B492, Result_Database!$A$2:$A$500, Result_Database!W$2:W$500),
  _xlfn.IFNA(_xlpm.result, "")
)</f>
        <v/>
      </c>
      <c r="Y492" t="str">
        <f>_xlfn.LET(
  _xlpm.result, _xlfn.XLOOKUP($B492, Result_Database!$A$2:$A$500, Result_Database!X$2:X$500),
  _xlfn.IFNA(_xlpm.result, "")
)</f>
        <v/>
      </c>
      <c r="Z492" t="str">
        <f>_xlfn.LET(
  _xlpm.result, _xlfn.XLOOKUP($B492, Result_Database!$A$2:$A$500, Result_Database!Y$2:Y$500),
  _xlfn.IFNA(_xlpm.result, "")
)</f>
        <v/>
      </c>
      <c r="AA492" t="str">
        <f>_xlfn.LET(
  _xlpm.result, _xlfn.XLOOKUP($B492, Result_Database!$A$2:$A$500, Result_Database!Z$2:Z$500),
  _xlfn.IFNA(_xlpm.result, "")
)</f>
        <v/>
      </c>
      <c r="AB492" t="str">
        <f>_xlfn.LET(
  _xlpm.result, _xlfn.XLOOKUP($B492, Result_Database!$A$2:$A$500, Result_Database!AA$2:AA$500),
  _xlfn.IFNA(_xlpm.result, "")
)</f>
        <v/>
      </c>
      <c r="AC492" t="str">
        <f>_xlfn.LET(
  _xlpm.result, _xlfn.XLOOKUP($B492, Result_Database!$A$2:$A$500, Result_Database!AB$2:AB$500),
  _xlfn.IFNA(_xlpm.result, "")
)</f>
        <v/>
      </c>
      <c r="AD492" t="str">
        <f>_xlfn.LET(
  _xlpm.result, _xlfn.XLOOKUP($B492, Result_Database!$A$2:$A$500, Result_Database!AC$2:AC$500),
  _xlfn.IFNA(_xlpm.result, "")
)</f>
        <v/>
      </c>
      <c r="AE492" t="str">
        <f>_xlfn.LET(
  _xlpm.result, _xlfn.XLOOKUP($B492, Result_Database!$A$2:$A$500, Result_Database!AD$2:AD$500),
  _xlfn.IFNA(_xlpm.result, "")
)</f>
        <v/>
      </c>
      <c r="AF492" t="str">
        <f>_xlfn.LET(
  _xlpm.result, _xlfn.XLOOKUP($B492, Result_Database!$A$2:$A$500, Result_Database!AE$2:AE$500),
  _xlfn.IFNA(_xlpm.result, "")
)</f>
        <v/>
      </c>
      <c r="AG492" t="str">
        <f>_xlfn.LET(
  _xlpm.result, _xlfn.XLOOKUP($B492, Result_Database!$A$2:$A$500, Result_Database!AF$2:AF$500),
  _xlfn.IFNA(_xlpm.result, "")
)</f>
        <v/>
      </c>
      <c r="AH492" t="str">
        <f>_xlfn.LET(
  _xlpm.result, _xlfn.XLOOKUP($B492, Result_Database!$A$2:$A$500, Result_Database!AG$2:AG$500),
  _xlfn.IFNA(_xlpm.result, "")
)</f>
        <v/>
      </c>
      <c r="AI492" t="str">
        <f>_xlfn.LET(
  _xlpm.result, _xlfn.XLOOKUP($B492, Result_Database!$A$2:$A$500, Result_Database!AH$2:AH$500),
  _xlfn.IFNA(_xlpm.result, "")
)</f>
        <v/>
      </c>
      <c r="AJ492" t="str">
        <f>_xlfn.LET(
  _xlpm.result, _xlfn.XLOOKUP($B492, Result_Database!$A$2:$A$500, Result_Database!AI$2:AI$500),
  _xlfn.IFNA(_xlpm.result, "")
)</f>
        <v/>
      </c>
      <c r="AK492" t="str">
        <f>_xlfn.LET(
  _xlpm.result, _xlfn.XLOOKUP($B492, Result_Database!$A$2:$A$500, Result_Database!AJ$2:AJ$500),
  _xlfn.IFNA(_xlpm.result, "")
)</f>
        <v/>
      </c>
      <c r="AL492" t="str">
        <f>_xlfn.LET(
  _xlpm.result, _xlfn.XLOOKUP($B492, Result_Database!$A$2:$A$500, Result_Database!AK$2:AK$500),
  _xlfn.IFNA(_xlpm.result, "")
)</f>
        <v/>
      </c>
      <c r="AM492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92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92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92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92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92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92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92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92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92" t="str">
        <f>IF(SUM(Table5[[#This Row],[A1]:[C6]])&lt;&gt;0,SUM(Table5[[#This Row],[A1]:[C6]]),"")</f>
        <v/>
      </c>
      <c r="AW492" t="str">
        <f>IF(SUM(Table5[[#This Row],[D7]:[F9]])=0,"",SUM(Table5[[#This Row],[D7]:[F9]]))</f>
        <v/>
      </c>
      <c r="AX492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92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92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92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92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92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92" t="str">
        <f>IF(COUNTIF(Table5[[#This Row],[English Language]:[Electrical/ Electronics]],"WITHHELD")=0,"",COUNTIF(Table5[[#This Row],[English Language]:[Electrical/ Electronics]],"WITHHELD"))</f>
        <v/>
      </c>
      <c r="BE492" t="str">
        <f>IF(SUM(Table5[[#This Row],[NO OF CREDITS]:[BELOW CREDITS]])=0,"",SUM(Table5[[#This Row],[NO OF CREDITS]:[BELOW CREDITS]]))</f>
        <v/>
      </c>
    </row>
    <row r="493" spans="1:57" x14ac:dyDescent="0.3">
      <c r="A493" t="str">
        <f>IF(B493&lt;&gt;"",COUNTA($B$6:B493),"")</f>
        <v/>
      </c>
      <c r="B493" t="str">
        <f>IF(Result_Database!A489="","",Result_Database!A489)</f>
        <v/>
      </c>
      <c r="C493" t="str">
        <f>_xlfn.LET(
_xlpm.result,_xlfn.XLOOKUP($B493,Result_Database!$A$2:$A$500,Result_Database!$B$2:$B$500),
_xlfn.IFNA(_xlpm.result,"")
)</f>
        <v/>
      </c>
      <c r="D493" t="str">
        <f>_xlfn.LET(
  _xlpm.result, _xlfn.XLOOKUP($B493, Result_Database!$A$2:$A$500, Result_Database!C$2:C$500),
  _xlfn.IFNA(_xlpm.result, "")
)</f>
        <v/>
      </c>
      <c r="E493" t="str">
        <f>_xlfn.LET(
  _xlpm.result, _xlfn.XLOOKUP($B493, Result_Database!$A$2:$A$500, Result_Database!D$2:D$500),
  _xlfn.IFNA(_xlpm.result, "")
)</f>
        <v/>
      </c>
      <c r="F493" t="str">
        <f>_xlfn.LET(
  _xlpm.result, _xlfn.XLOOKUP($B493, Result_Database!$A$2:$A$500, Result_Database!E$2:E$500),
  _xlfn.IFNA(_xlpm.result, "")
)</f>
        <v/>
      </c>
      <c r="G493" t="str">
        <f>_xlfn.LET(
  _xlpm.result, _xlfn.XLOOKUP($B493, Result_Database!$A$2:$A$500, Result_Database!F$2:F$500),
  _xlfn.IFNA(_xlpm.result, "")
)</f>
        <v/>
      </c>
      <c r="H493" t="str">
        <f>_xlfn.LET(
  _xlpm.result, _xlfn.XLOOKUP($B493, Result_Database!$A$2:$A$500, Result_Database!G$2:G$500),
  _xlfn.IFNA(_xlpm.result, "")
)</f>
        <v/>
      </c>
      <c r="I493" t="str">
        <f>_xlfn.LET(
  _xlpm.result, _xlfn.XLOOKUP($B493, Result_Database!$A$2:$A$500, Result_Database!H$2:H$500),
  _xlfn.IFNA(_xlpm.result, "")
)</f>
        <v/>
      </c>
      <c r="J493" t="str">
        <f>_xlfn.LET(
  _xlpm.result, _xlfn.XLOOKUP($B493, Result_Database!$A$2:$A$500, Result_Database!I$2:I$500),
  _xlfn.IFNA(_xlpm.result, "")
)</f>
        <v/>
      </c>
      <c r="K493" t="str">
        <f>_xlfn.LET(
  _xlpm.result, _xlfn.XLOOKUP($B493, Result_Database!$A$2:$A$500, Result_Database!J$2:J$500),
  _xlfn.IFNA(_xlpm.result, "")
)</f>
        <v/>
      </c>
      <c r="L493" t="str">
        <f>_xlfn.LET(
  _xlpm.result, _xlfn.XLOOKUP($B493, Result_Database!$A$2:$A$500, Result_Database!K$2:K$500),
  _xlfn.IFNA(_xlpm.result, "")
)</f>
        <v/>
      </c>
      <c r="M493" t="str">
        <f>_xlfn.LET(
  _xlpm.result, _xlfn.XLOOKUP($B493, Result_Database!$A$2:$A$500, Result_Database!L$2:L$500),
  _xlfn.IFNA(_xlpm.result, "")
)</f>
        <v/>
      </c>
      <c r="N493" t="str">
        <f>_xlfn.LET(
  _xlpm.result, _xlfn.XLOOKUP($B493, Result_Database!$A$2:$A$500, Result_Database!M$2:M$500),
  _xlfn.IFNA(_xlpm.result, "")
)</f>
        <v/>
      </c>
      <c r="O493" t="str">
        <f>_xlfn.LET(
  _xlpm.result, _xlfn.XLOOKUP($B493, Result_Database!$A$2:$A$500, Result_Database!N$2:N$500),
  _xlfn.IFNA(_xlpm.result, "")
)</f>
        <v/>
      </c>
      <c r="P493" t="str">
        <f>_xlfn.LET(
  _xlpm.result, _xlfn.XLOOKUP($B493, Result_Database!$A$2:$A$500, Result_Database!O$2:O$500),
  _xlfn.IFNA(_xlpm.result, "")
)</f>
        <v/>
      </c>
      <c r="Q493" t="str">
        <f>_xlfn.LET(
  _xlpm.result, _xlfn.XLOOKUP($B493, Result_Database!$A$2:$A$500, Result_Database!P$2:P$500),
  _xlfn.IFNA(_xlpm.result, "")
)</f>
        <v/>
      </c>
      <c r="R493" t="str">
        <f>_xlfn.LET(
  _xlpm.result, _xlfn.XLOOKUP($B493, Result_Database!$A$2:$A$500, Result_Database!Q$2:Q$500),
  _xlfn.IFNA(_xlpm.result, "")
)</f>
        <v/>
      </c>
      <c r="S493" t="str">
        <f>_xlfn.LET(
  _xlpm.result, _xlfn.XLOOKUP($B493, Result_Database!$A$2:$A$500, Result_Database!R$2:R$500),
  _xlfn.IFNA(_xlpm.result, "")
)</f>
        <v/>
      </c>
      <c r="T493" t="str">
        <f>_xlfn.LET(
  _xlpm.result, _xlfn.XLOOKUP($B493, Result_Database!$A$2:$A$500, Result_Database!S$2:S$500),
  _xlfn.IFNA(_xlpm.result, "")
)</f>
        <v/>
      </c>
      <c r="U493" t="str">
        <f>_xlfn.LET(
  _xlpm.result, _xlfn.XLOOKUP($B493, Result_Database!$A$2:$A$500, Result_Database!T$2:T$500),
  _xlfn.IFNA(_xlpm.result, "")
)</f>
        <v/>
      </c>
      <c r="V493" t="str">
        <f>_xlfn.LET(
  _xlpm.result, _xlfn.XLOOKUP($B493, Result_Database!$A$2:$A$500, Result_Database!U$2:U$500),
  _xlfn.IFNA(_xlpm.result, "")
)</f>
        <v/>
      </c>
      <c r="W493" t="str">
        <f>_xlfn.LET(
  _xlpm.result, _xlfn.XLOOKUP($B493, Result_Database!$A$2:$A$500, Result_Database!V$2:V$500),
  _xlfn.IFNA(_xlpm.result, "")
)</f>
        <v/>
      </c>
      <c r="X493" t="str">
        <f>_xlfn.LET(
  _xlpm.result, _xlfn.XLOOKUP($B493, Result_Database!$A$2:$A$500, Result_Database!W$2:W$500),
  _xlfn.IFNA(_xlpm.result, "")
)</f>
        <v/>
      </c>
      <c r="Y493" t="str">
        <f>_xlfn.LET(
  _xlpm.result, _xlfn.XLOOKUP($B493, Result_Database!$A$2:$A$500, Result_Database!X$2:X$500),
  _xlfn.IFNA(_xlpm.result, "")
)</f>
        <v/>
      </c>
      <c r="Z493" t="str">
        <f>_xlfn.LET(
  _xlpm.result, _xlfn.XLOOKUP($B493, Result_Database!$A$2:$A$500, Result_Database!Y$2:Y$500),
  _xlfn.IFNA(_xlpm.result, "")
)</f>
        <v/>
      </c>
      <c r="AA493" t="str">
        <f>_xlfn.LET(
  _xlpm.result, _xlfn.XLOOKUP($B493, Result_Database!$A$2:$A$500, Result_Database!Z$2:Z$500),
  _xlfn.IFNA(_xlpm.result, "")
)</f>
        <v/>
      </c>
      <c r="AB493" t="str">
        <f>_xlfn.LET(
  _xlpm.result, _xlfn.XLOOKUP($B493, Result_Database!$A$2:$A$500, Result_Database!AA$2:AA$500),
  _xlfn.IFNA(_xlpm.result, "")
)</f>
        <v/>
      </c>
      <c r="AC493" t="str">
        <f>_xlfn.LET(
  _xlpm.result, _xlfn.XLOOKUP($B493, Result_Database!$A$2:$A$500, Result_Database!AB$2:AB$500),
  _xlfn.IFNA(_xlpm.result, "")
)</f>
        <v/>
      </c>
      <c r="AD493" t="str">
        <f>_xlfn.LET(
  _xlpm.result, _xlfn.XLOOKUP($B493, Result_Database!$A$2:$A$500, Result_Database!AC$2:AC$500),
  _xlfn.IFNA(_xlpm.result, "")
)</f>
        <v/>
      </c>
      <c r="AE493" t="str">
        <f>_xlfn.LET(
  _xlpm.result, _xlfn.XLOOKUP($B493, Result_Database!$A$2:$A$500, Result_Database!AD$2:AD$500),
  _xlfn.IFNA(_xlpm.result, "")
)</f>
        <v/>
      </c>
      <c r="AF493" t="str">
        <f>_xlfn.LET(
  _xlpm.result, _xlfn.XLOOKUP($B493, Result_Database!$A$2:$A$500, Result_Database!AE$2:AE$500),
  _xlfn.IFNA(_xlpm.result, "")
)</f>
        <v/>
      </c>
      <c r="AG493" t="str">
        <f>_xlfn.LET(
  _xlpm.result, _xlfn.XLOOKUP($B493, Result_Database!$A$2:$A$500, Result_Database!AF$2:AF$500),
  _xlfn.IFNA(_xlpm.result, "")
)</f>
        <v/>
      </c>
      <c r="AH493" t="str">
        <f>_xlfn.LET(
  _xlpm.result, _xlfn.XLOOKUP($B493, Result_Database!$A$2:$A$500, Result_Database!AG$2:AG$500),
  _xlfn.IFNA(_xlpm.result, "")
)</f>
        <v/>
      </c>
      <c r="AI493" t="str">
        <f>_xlfn.LET(
  _xlpm.result, _xlfn.XLOOKUP($B493, Result_Database!$A$2:$A$500, Result_Database!AH$2:AH$500),
  _xlfn.IFNA(_xlpm.result, "")
)</f>
        <v/>
      </c>
      <c r="AJ493" t="str">
        <f>_xlfn.LET(
  _xlpm.result, _xlfn.XLOOKUP($B493, Result_Database!$A$2:$A$500, Result_Database!AI$2:AI$500),
  _xlfn.IFNA(_xlpm.result, "")
)</f>
        <v/>
      </c>
      <c r="AK493" t="str">
        <f>_xlfn.LET(
  _xlpm.result, _xlfn.XLOOKUP($B493, Result_Database!$A$2:$A$500, Result_Database!AJ$2:AJ$500),
  _xlfn.IFNA(_xlpm.result, "")
)</f>
        <v/>
      </c>
      <c r="AL493" t="str">
        <f>_xlfn.LET(
  _xlpm.result, _xlfn.XLOOKUP($B493, Result_Database!$A$2:$A$500, Result_Database!AK$2:AK$500),
  _xlfn.IFNA(_xlpm.result, "")
)</f>
        <v/>
      </c>
      <c r="AM493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93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93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93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93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93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93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93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93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93" t="str">
        <f>IF(SUM(Table5[[#This Row],[A1]:[C6]])&lt;&gt;0,SUM(Table5[[#This Row],[A1]:[C6]]),"")</f>
        <v/>
      </c>
      <c r="AW493" t="str">
        <f>IF(SUM(Table5[[#This Row],[D7]:[F9]])=0,"",SUM(Table5[[#This Row],[D7]:[F9]]))</f>
        <v/>
      </c>
      <c r="AX493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93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93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93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93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93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93" t="str">
        <f>IF(COUNTIF(Table5[[#This Row],[English Language]:[Electrical/ Electronics]],"WITHHELD")=0,"",COUNTIF(Table5[[#This Row],[English Language]:[Electrical/ Electronics]],"WITHHELD"))</f>
        <v/>
      </c>
      <c r="BE493" t="str">
        <f>IF(SUM(Table5[[#This Row],[NO OF CREDITS]:[BELOW CREDITS]])=0,"",SUM(Table5[[#This Row],[NO OF CREDITS]:[BELOW CREDITS]]))</f>
        <v/>
      </c>
    </row>
    <row r="494" spans="1:57" x14ac:dyDescent="0.3">
      <c r="A494" t="str">
        <f>IF(B494&lt;&gt;"",COUNTA($B$6:B494),"")</f>
        <v/>
      </c>
      <c r="B494" t="str">
        <f>IF(Result_Database!A490="","",Result_Database!A490)</f>
        <v/>
      </c>
      <c r="C494" t="str">
        <f>_xlfn.LET(
_xlpm.result,_xlfn.XLOOKUP($B494,Result_Database!$A$2:$A$500,Result_Database!$B$2:$B$500),
_xlfn.IFNA(_xlpm.result,"")
)</f>
        <v/>
      </c>
      <c r="D494" t="str">
        <f>_xlfn.LET(
  _xlpm.result, _xlfn.XLOOKUP($B494, Result_Database!$A$2:$A$500, Result_Database!C$2:C$500),
  _xlfn.IFNA(_xlpm.result, "")
)</f>
        <v/>
      </c>
      <c r="E494" t="str">
        <f>_xlfn.LET(
  _xlpm.result, _xlfn.XLOOKUP($B494, Result_Database!$A$2:$A$500, Result_Database!D$2:D$500),
  _xlfn.IFNA(_xlpm.result, "")
)</f>
        <v/>
      </c>
      <c r="F494" t="str">
        <f>_xlfn.LET(
  _xlpm.result, _xlfn.XLOOKUP($B494, Result_Database!$A$2:$A$500, Result_Database!E$2:E$500),
  _xlfn.IFNA(_xlpm.result, "")
)</f>
        <v/>
      </c>
      <c r="G494" t="str">
        <f>_xlfn.LET(
  _xlpm.result, _xlfn.XLOOKUP($B494, Result_Database!$A$2:$A$500, Result_Database!F$2:F$500),
  _xlfn.IFNA(_xlpm.result, "")
)</f>
        <v/>
      </c>
      <c r="H494" t="str">
        <f>_xlfn.LET(
  _xlpm.result, _xlfn.XLOOKUP($B494, Result_Database!$A$2:$A$500, Result_Database!G$2:G$500),
  _xlfn.IFNA(_xlpm.result, "")
)</f>
        <v/>
      </c>
      <c r="I494" t="str">
        <f>_xlfn.LET(
  _xlpm.result, _xlfn.XLOOKUP($B494, Result_Database!$A$2:$A$500, Result_Database!H$2:H$500),
  _xlfn.IFNA(_xlpm.result, "")
)</f>
        <v/>
      </c>
      <c r="J494" t="str">
        <f>_xlfn.LET(
  _xlpm.result, _xlfn.XLOOKUP($B494, Result_Database!$A$2:$A$500, Result_Database!I$2:I$500),
  _xlfn.IFNA(_xlpm.result, "")
)</f>
        <v/>
      </c>
      <c r="K494" t="str">
        <f>_xlfn.LET(
  _xlpm.result, _xlfn.XLOOKUP($B494, Result_Database!$A$2:$A$500, Result_Database!J$2:J$500),
  _xlfn.IFNA(_xlpm.result, "")
)</f>
        <v/>
      </c>
      <c r="L494" t="str">
        <f>_xlfn.LET(
  _xlpm.result, _xlfn.XLOOKUP($B494, Result_Database!$A$2:$A$500, Result_Database!K$2:K$500),
  _xlfn.IFNA(_xlpm.result, "")
)</f>
        <v/>
      </c>
      <c r="M494" t="str">
        <f>_xlfn.LET(
  _xlpm.result, _xlfn.XLOOKUP($B494, Result_Database!$A$2:$A$500, Result_Database!L$2:L$500),
  _xlfn.IFNA(_xlpm.result, "")
)</f>
        <v/>
      </c>
      <c r="N494" t="str">
        <f>_xlfn.LET(
  _xlpm.result, _xlfn.XLOOKUP($B494, Result_Database!$A$2:$A$500, Result_Database!M$2:M$500),
  _xlfn.IFNA(_xlpm.result, "")
)</f>
        <v/>
      </c>
      <c r="O494" t="str">
        <f>_xlfn.LET(
  _xlpm.result, _xlfn.XLOOKUP($B494, Result_Database!$A$2:$A$500, Result_Database!N$2:N$500),
  _xlfn.IFNA(_xlpm.result, "")
)</f>
        <v/>
      </c>
      <c r="P494" t="str">
        <f>_xlfn.LET(
  _xlpm.result, _xlfn.XLOOKUP($B494, Result_Database!$A$2:$A$500, Result_Database!O$2:O$500),
  _xlfn.IFNA(_xlpm.result, "")
)</f>
        <v/>
      </c>
      <c r="Q494" t="str">
        <f>_xlfn.LET(
  _xlpm.result, _xlfn.XLOOKUP($B494, Result_Database!$A$2:$A$500, Result_Database!P$2:P$500),
  _xlfn.IFNA(_xlpm.result, "")
)</f>
        <v/>
      </c>
      <c r="R494" t="str">
        <f>_xlfn.LET(
  _xlpm.result, _xlfn.XLOOKUP($B494, Result_Database!$A$2:$A$500, Result_Database!Q$2:Q$500),
  _xlfn.IFNA(_xlpm.result, "")
)</f>
        <v/>
      </c>
      <c r="S494" t="str">
        <f>_xlfn.LET(
  _xlpm.result, _xlfn.XLOOKUP($B494, Result_Database!$A$2:$A$500, Result_Database!R$2:R$500),
  _xlfn.IFNA(_xlpm.result, "")
)</f>
        <v/>
      </c>
      <c r="T494" t="str">
        <f>_xlfn.LET(
  _xlpm.result, _xlfn.XLOOKUP($B494, Result_Database!$A$2:$A$500, Result_Database!S$2:S$500),
  _xlfn.IFNA(_xlpm.result, "")
)</f>
        <v/>
      </c>
      <c r="U494" t="str">
        <f>_xlfn.LET(
  _xlpm.result, _xlfn.XLOOKUP($B494, Result_Database!$A$2:$A$500, Result_Database!T$2:T$500),
  _xlfn.IFNA(_xlpm.result, "")
)</f>
        <v/>
      </c>
      <c r="V494" t="str">
        <f>_xlfn.LET(
  _xlpm.result, _xlfn.XLOOKUP($B494, Result_Database!$A$2:$A$500, Result_Database!U$2:U$500),
  _xlfn.IFNA(_xlpm.result, "")
)</f>
        <v/>
      </c>
      <c r="W494" t="str">
        <f>_xlfn.LET(
  _xlpm.result, _xlfn.XLOOKUP($B494, Result_Database!$A$2:$A$500, Result_Database!V$2:V$500),
  _xlfn.IFNA(_xlpm.result, "")
)</f>
        <v/>
      </c>
      <c r="X494" t="str">
        <f>_xlfn.LET(
  _xlpm.result, _xlfn.XLOOKUP($B494, Result_Database!$A$2:$A$500, Result_Database!W$2:W$500),
  _xlfn.IFNA(_xlpm.result, "")
)</f>
        <v/>
      </c>
      <c r="Y494" t="str">
        <f>_xlfn.LET(
  _xlpm.result, _xlfn.XLOOKUP($B494, Result_Database!$A$2:$A$500, Result_Database!X$2:X$500),
  _xlfn.IFNA(_xlpm.result, "")
)</f>
        <v/>
      </c>
      <c r="Z494" t="str">
        <f>_xlfn.LET(
  _xlpm.result, _xlfn.XLOOKUP($B494, Result_Database!$A$2:$A$500, Result_Database!Y$2:Y$500),
  _xlfn.IFNA(_xlpm.result, "")
)</f>
        <v/>
      </c>
      <c r="AA494" t="str">
        <f>_xlfn.LET(
  _xlpm.result, _xlfn.XLOOKUP($B494, Result_Database!$A$2:$A$500, Result_Database!Z$2:Z$500),
  _xlfn.IFNA(_xlpm.result, "")
)</f>
        <v/>
      </c>
      <c r="AB494" t="str">
        <f>_xlfn.LET(
  _xlpm.result, _xlfn.XLOOKUP($B494, Result_Database!$A$2:$A$500, Result_Database!AA$2:AA$500),
  _xlfn.IFNA(_xlpm.result, "")
)</f>
        <v/>
      </c>
      <c r="AC494" t="str">
        <f>_xlfn.LET(
  _xlpm.result, _xlfn.XLOOKUP($B494, Result_Database!$A$2:$A$500, Result_Database!AB$2:AB$500),
  _xlfn.IFNA(_xlpm.result, "")
)</f>
        <v/>
      </c>
      <c r="AD494" t="str">
        <f>_xlfn.LET(
  _xlpm.result, _xlfn.XLOOKUP($B494, Result_Database!$A$2:$A$500, Result_Database!AC$2:AC$500),
  _xlfn.IFNA(_xlpm.result, "")
)</f>
        <v/>
      </c>
      <c r="AE494" t="str">
        <f>_xlfn.LET(
  _xlpm.result, _xlfn.XLOOKUP($B494, Result_Database!$A$2:$A$500, Result_Database!AD$2:AD$500),
  _xlfn.IFNA(_xlpm.result, "")
)</f>
        <v/>
      </c>
      <c r="AF494" t="str">
        <f>_xlfn.LET(
  _xlpm.result, _xlfn.XLOOKUP($B494, Result_Database!$A$2:$A$500, Result_Database!AE$2:AE$500),
  _xlfn.IFNA(_xlpm.result, "")
)</f>
        <v/>
      </c>
      <c r="AG494" t="str">
        <f>_xlfn.LET(
  _xlpm.result, _xlfn.XLOOKUP($B494, Result_Database!$A$2:$A$500, Result_Database!AF$2:AF$500),
  _xlfn.IFNA(_xlpm.result, "")
)</f>
        <v/>
      </c>
      <c r="AH494" t="str">
        <f>_xlfn.LET(
  _xlpm.result, _xlfn.XLOOKUP($B494, Result_Database!$A$2:$A$500, Result_Database!AG$2:AG$500),
  _xlfn.IFNA(_xlpm.result, "")
)</f>
        <v/>
      </c>
      <c r="AI494" t="str">
        <f>_xlfn.LET(
  _xlpm.result, _xlfn.XLOOKUP($B494, Result_Database!$A$2:$A$500, Result_Database!AH$2:AH$500),
  _xlfn.IFNA(_xlpm.result, "")
)</f>
        <v/>
      </c>
      <c r="AJ494" t="str">
        <f>_xlfn.LET(
  _xlpm.result, _xlfn.XLOOKUP($B494, Result_Database!$A$2:$A$500, Result_Database!AI$2:AI$500),
  _xlfn.IFNA(_xlpm.result, "")
)</f>
        <v/>
      </c>
      <c r="AK494" t="str">
        <f>_xlfn.LET(
  _xlpm.result, _xlfn.XLOOKUP($B494, Result_Database!$A$2:$A$500, Result_Database!AJ$2:AJ$500),
  _xlfn.IFNA(_xlpm.result, "")
)</f>
        <v/>
      </c>
      <c r="AL494" t="str">
        <f>_xlfn.LET(
  _xlpm.result, _xlfn.XLOOKUP($B494, Result_Database!$A$2:$A$500, Result_Database!AK$2:AK$500),
  _xlfn.IFNA(_xlpm.result, "")
)</f>
        <v/>
      </c>
      <c r="AM494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94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94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94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94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94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94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94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94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94" t="str">
        <f>IF(SUM(Table5[[#This Row],[A1]:[C6]])&lt;&gt;0,SUM(Table5[[#This Row],[A1]:[C6]]),"")</f>
        <v/>
      </c>
      <c r="AW494" t="str">
        <f>IF(SUM(Table5[[#This Row],[D7]:[F9]])=0,"",SUM(Table5[[#This Row],[D7]:[F9]]))</f>
        <v/>
      </c>
      <c r="AX494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94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94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94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94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94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94" t="str">
        <f>IF(COUNTIF(Table5[[#This Row],[English Language]:[Electrical/ Electronics]],"WITHHELD")=0,"",COUNTIF(Table5[[#This Row],[English Language]:[Electrical/ Electronics]],"WITHHELD"))</f>
        <v/>
      </c>
      <c r="BE494" t="str">
        <f>IF(SUM(Table5[[#This Row],[NO OF CREDITS]:[BELOW CREDITS]])=0,"",SUM(Table5[[#This Row],[NO OF CREDITS]:[BELOW CREDITS]]))</f>
        <v/>
      </c>
    </row>
    <row r="495" spans="1:57" x14ac:dyDescent="0.3">
      <c r="A495" t="str">
        <f>IF(B495&lt;&gt;"",COUNTA($B$6:B495),"")</f>
        <v/>
      </c>
      <c r="B495" t="str">
        <f>IF(Result_Database!A491="","",Result_Database!A491)</f>
        <v/>
      </c>
      <c r="C495" t="str">
        <f>_xlfn.LET(
_xlpm.result,_xlfn.XLOOKUP($B495,Result_Database!$A$2:$A$500,Result_Database!$B$2:$B$500),
_xlfn.IFNA(_xlpm.result,"")
)</f>
        <v/>
      </c>
      <c r="D495" t="str">
        <f>_xlfn.LET(
  _xlpm.result, _xlfn.XLOOKUP($B495, Result_Database!$A$2:$A$500, Result_Database!C$2:C$500),
  _xlfn.IFNA(_xlpm.result, "")
)</f>
        <v/>
      </c>
      <c r="E495" t="str">
        <f>_xlfn.LET(
  _xlpm.result, _xlfn.XLOOKUP($B495, Result_Database!$A$2:$A$500, Result_Database!D$2:D$500),
  _xlfn.IFNA(_xlpm.result, "")
)</f>
        <v/>
      </c>
      <c r="F495" t="str">
        <f>_xlfn.LET(
  _xlpm.result, _xlfn.XLOOKUP($B495, Result_Database!$A$2:$A$500, Result_Database!E$2:E$500),
  _xlfn.IFNA(_xlpm.result, "")
)</f>
        <v/>
      </c>
      <c r="G495" t="str">
        <f>_xlfn.LET(
  _xlpm.result, _xlfn.XLOOKUP($B495, Result_Database!$A$2:$A$500, Result_Database!F$2:F$500),
  _xlfn.IFNA(_xlpm.result, "")
)</f>
        <v/>
      </c>
      <c r="H495" t="str">
        <f>_xlfn.LET(
  _xlpm.result, _xlfn.XLOOKUP($B495, Result_Database!$A$2:$A$500, Result_Database!G$2:G$500),
  _xlfn.IFNA(_xlpm.result, "")
)</f>
        <v/>
      </c>
      <c r="I495" t="str">
        <f>_xlfn.LET(
  _xlpm.result, _xlfn.XLOOKUP($B495, Result_Database!$A$2:$A$500, Result_Database!H$2:H$500),
  _xlfn.IFNA(_xlpm.result, "")
)</f>
        <v/>
      </c>
      <c r="J495" t="str">
        <f>_xlfn.LET(
  _xlpm.result, _xlfn.XLOOKUP($B495, Result_Database!$A$2:$A$500, Result_Database!I$2:I$500),
  _xlfn.IFNA(_xlpm.result, "")
)</f>
        <v/>
      </c>
      <c r="K495" t="str">
        <f>_xlfn.LET(
  _xlpm.result, _xlfn.XLOOKUP($B495, Result_Database!$A$2:$A$500, Result_Database!J$2:J$500),
  _xlfn.IFNA(_xlpm.result, "")
)</f>
        <v/>
      </c>
      <c r="L495" t="str">
        <f>_xlfn.LET(
  _xlpm.result, _xlfn.XLOOKUP($B495, Result_Database!$A$2:$A$500, Result_Database!K$2:K$500),
  _xlfn.IFNA(_xlpm.result, "")
)</f>
        <v/>
      </c>
      <c r="M495" t="str">
        <f>_xlfn.LET(
  _xlpm.result, _xlfn.XLOOKUP($B495, Result_Database!$A$2:$A$500, Result_Database!L$2:L$500),
  _xlfn.IFNA(_xlpm.result, "")
)</f>
        <v/>
      </c>
      <c r="N495" t="str">
        <f>_xlfn.LET(
  _xlpm.result, _xlfn.XLOOKUP($B495, Result_Database!$A$2:$A$500, Result_Database!M$2:M$500),
  _xlfn.IFNA(_xlpm.result, "")
)</f>
        <v/>
      </c>
      <c r="O495" t="str">
        <f>_xlfn.LET(
  _xlpm.result, _xlfn.XLOOKUP($B495, Result_Database!$A$2:$A$500, Result_Database!N$2:N$500),
  _xlfn.IFNA(_xlpm.result, "")
)</f>
        <v/>
      </c>
      <c r="P495" t="str">
        <f>_xlfn.LET(
  _xlpm.result, _xlfn.XLOOKUP($B495, Result_Database!$A$2:$A$500, Result_Database!O$2:O$500),
  _xlfn.IFNA(_xlpm.result, "")
)</f>
        <v/>
      </c>
      <c r="Q495" t="str">
        <f>_xlfn.LET(
  _xlpm.result, _xlfn.XLOOKUP($B495, Result_Database!$A$2:$A$500, Result_Database!P$2:P$500),
  _xlfn.IFNA(_xlpm.result, "")
)</f>
        <v/>
      </c>
      <c r="R495" t="str">
        <f>_xlfn.LET(
  _xlpm.result, _xlfn.XLOOKUP($B495, Result_Database!$A$2:$A$500, Result_Database!Q$2:Q$500),
  _xlfn.IFNA(_xlpm.result, "")
)</f>
        <v/>
      </c>
      <c r="S495" t="str">
        <f>_xlfn.LET(
  _xlpm.result, _xlfn.XLOOKUP($B495, Result_Database!$A$2:$A$500, Result_Database!R$2:R$500),
  _xlfn.IFNA(_xlpm.result, "")
)</f>
        <v/>
      </c>
      <c r="T495" t="str">
        <f>_xlfn.LET(
  _xlpm.result, _xlfn.XLOOKUP($B495, Result_Database!$A$2:$A$500, Result_Database!S$2:S$500),
  _xlfn.IFNA(_xlpm.result, "")
)</f>
        <v/>
      </c>
      <c r="U495" t="str">
        <f>_xlfn.LET(
  _xlpm.result, _xlfn.XLOOKUP($B495, Result_Database!$A$2:$A$500, Result_Database!T$2:T$500),
  _xlfn.IFNA(_xlpm.result, "")
)</f>
        <v/>
      </c>
      <c r="V495" t="str">
        <f>_xlfn.LET(
  _xlpm.result, _xlfn.XLOOKUP($B495, Result_Database!$A$2:$A$500, Result_Database!U$2:U$500),
  _xlfn.IFNA(_xlpm.result, "")
)</f>
        <v/>
      </c>
      <c r="W495" t="str">
        <f>_xlfn.LET(
  _xlpm.result, _xlfn.XLOOKUP($B495, Result_Database!$A$2:$A$500, Result_Database!V$2:V$500),
  _xlfn.IFNA(_xlpm.result, "")
)</f>
        <v/>
      </c>
      <c r="X495" t="str">
        <f>_xlfn.LET(
  _xlpm.result, _xlfn.XLOOKUP($B495, Result_Database!$A$2:$A$500, Result_Database!W$2:W$500),
  _xlfn.IFNA(_xlpm.result, "")
)</f>
        <v/>
      </c>
      <c r="Y495" t="str">
        <f>_xlfn.LET(
  _xlpm.result, _xlfn.XLOOKUP($B495, Result_Database!$A$2:$A$500, Result_Database!X$2:X$500),
  _xlfn.IFNA(_xlpm.result, "")
)</f>
        <v/>
      </c>
      <c r="Z495" t="str">
        <f>_xlfn.LET(
  _xlpm.result, _xlfn.XLOOKUP($B495, Result_Database!$A$2:$A$500, Result_Database!Y$2:Y$500),
  _xlfn.IFNA(_xlpm.result, "")
)</f>
        <v/>
      </c>
      <c r="AA495" t="str">
        <f>_xlfn.LET(
  _xlpm.result, _xlfn.XLOOKUP($B495, Result_Database!$A$2:$A$500, Result_Database!Z$2:Z$500),
  _xlfn.IFNA(_xlpm.result, "")
)</f>
        <v/>
      </c>
      <c r="AB495" t="str">
        <f>_xlfn.LET(
  _xlpm.result, _xlfn.XLOOKUP($B495, Result_Database!$A$2:$A$500, Result_Database!AA$2:AA$500),
  _xlfn.IFNA(_xlpm.result, "")
)</f>
        <v/>
      </c>
      <c r="AC495" t="str">
        <f>_xlfn.LET(
  _xlpm.result, _xlfn.XLOOKUP($B495, Result_Database!$A$2:$A$500, Result_Database!AB$2:AB$500),
  _xlfn.IFNA(_xlpm.result, "")
)</f>
        <v/>
      </c>
      <c r="AD495" t="str">
        <f>_xlfn.LET(
  _xlpm.result, _xlfn.XLOOKUP($B495, Result_Database!$A$2:$A$500, Result_Database!AC$2:AC$500),
  _xlfn.IFNA(_xlpm.result, "")
)</f>
        <v/>
      </c>
      <c r="AE495" t="str">
        <f>_xlfn.LET(
  _xlpm.result, _xlfn.XLOOKUP($B495, Result_Database!$A$2:$A$500, Result_Database!AD$2:AD$500),
  _xlfn.IFNA(_xlpm.result, "")
)</f>
        <v/>
      </c>
      <c r="AF495" t="str">
        <f>_xlfn.LET(
  _xlpm.result, _xlfn.XLOOKUP($B495, Result_Database!$A$2:$A$500, Result_Database!AE$2:AE$500),
  _xlfn.IFNA(_xlpm.result, "")
)</f>
        <v/>
      </c>
      <c r="AG495" t="str">
        <f>_xlfn.LET(
  _xlpm.result, _xlfn.XLOOKUP($B495, Result_Database!$A$2:$A$500, Result_Database!AF$2:AF$500),
  _xlfn.IFNA(_xlpm.result, "")
)</f>
        <v/>
      </c>
      <c r="AH495" t="str">
        <f>_xlfn.LET(
  _xlpm.result, _xlfn.XLOOKUP($B495, Result_Database!$A$2:$A$500, Result_Database!AG$2:AG$500),
  _xlfn.IFNA(_xlpm.result, "")
)</f>
        <v/>
      </c>
      <c r="AI495" t="str">
        <f>_xlfn.LET(
  _xlpm.result, _xlfn.XLOOKUP($B495, Result_Database!$A$2:$A$500, Result_Database!AH$2:AH$500),
  _xlfn.IFNA(_xlpm.result, "")
)</f>
        <v/>
      </c>
      <c r="AJ495" t="str">
        <f>_xlfn.LET(
  _xlpm.result, _xlfn.XLOOKUP($B495, Result_Database!$A$2:$A$500, Result_Database!AI$2:AI$500),
  _xlfn.IFNA(_xlpm.result, "")
)</f>
        <v/>
      </c>
      <c r="AK495" t="str">
        <f>_xlfn.LET(
  _xlpm.result, _xlfn.XLOOKUP($B495, Result_Database!$A$2:$A$500, Result_Database!AJ$2:AJ$500),
  _xlfn.IFNA(_xlpm.result, "")
)</f>
        <v/>
      </c>
      <c r="AL495" t="str">
        <f>_xlfn.LET(
  _xlpm.result, _xlfn.XLOOKUP($B495, Result_Database!$A$2:$A$500, Result_Database!AK$2:AK$500),
  _xlfn.IFNA(_xlpm.result, "")
)</f>
        <v/>
      </c>
      <c r="AM495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95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95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95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95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95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95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95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95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95" t="str">
        <f>IF(SUM(Table5[[#This Row],[A1]:[C6]])&lt;&gt;0,SUM(Table5[[#This Row],[A1]:[C6]]),"")</f>
        <v/>
      </c>
      <c r="AW495" t="str">
        <f>IF(SUM(Table5[[#This Row],[D7]:[F9]])=0,"",SUM(Table5[[#This Row],[D7]:[F9]]))</f>
        <v/>
      </c>
      <c r="AX495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95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95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95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95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95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95" t="str">
        <f>IF(COUNTIF(Table5[[#This Row],[English Language]:[Electrical/ Electronics]],"WITHHELD")=0,"",COUNTIF(Table5[[#This Row],[English Language]:[Electrical/ Electronics]],"WITHHELD"))</f>
        <v/>
      </c>
      <c r="BE495" t="str">
        <f>IF(SUM(Table5[[#This Row],[NO OF CREDITS]:[BELOW CREDITS]])=0,"",SUM(Table5[[#This Row],[NO OF CREDITS]:[BELOW CREDITS]]))</f>
        <v/>
      </c>
    </row>
    <row r="496" spans="1:57" x14ac:dyDescent="0.3">
      <c r="A496" t="str">
        <f>IF(B496&lt;&gt;"",COUNTA($B$6:B496),"")</f>
        <v/>
      </c>
      <c r="B496" t="str">
        <f>IF(Result_Database!A492="","",Result_Database!A492)</f>
        <v/>
      </c>
      <c r="C496" t="str">
        <f>_xlfn.LET(
_xlpm.result,_xlfn.XLOOKUP($B496,Result_Database!$A$2:$A$500,Result_Database!$B$2:$B$500),
_xlfn.IFNA(_xlpm.result,"")
)</f>
        <v/>
      </c>
      <c r="D496" t="str">
        <f>_xlfn.LET(
  _xlpm.result, _xlfn.XLOOKUP($B496, Result_Database!$A$2:$A$500, Result_Database!C$2:C$500),
  _xlfn.IFNA(_xlpm.result, "")
)</f>
        <v/>
      </c>
      <c r="E496" t="str">
        <f>_xlfn.LET(
  _xlpm.result, _xlfn.XLOOKUP($B496, Result_Database!$A$2:$A$500, Result_Database!D$2:D$500),
  _xlfn.IFNA(_xlpm.result, "")
)</f>
        <v/>
      </c>
      <c r="F496" t="str">
        <f>_xlfn.LET(
  _xlpm.result, _xlfn.XLOOKUP($B496, Result_Database!$A$2:$A$500, Result_Database!E$2:E$500),
  _xlfn.IFNA(_xlpm.result, "")
)</f>
        <v/>
      </c>
      <c r="G496" t="str">
        <f>_xlfn.LET(
  _xlpm.result, _xlfn.XLOOKUP($B496, Result_Database!$A$2:$A$500, Result_Database!F$2:F$500),
  _xlfn.IFNA(_xlpm.result, "")
)</f>
        <v/>
      </c>
      <c r="H496" t="str">
        <f>_xlfn.LET(
  _xlpm.result, _xlfn.XLOOKUP($B496, Result_Database!$A$2:$A$500, Result_Database!G$2:G$500),
  _xlfn.IFNA(_xlpm.result, "")
)</f>
        <v/>
      </c>
      <c r="I496" t="str">
        <f>_xlfn.LET(
  _xlpm.result, _xlfn.XLOOKUP($B496, Result_Database!$A$2:$A$500, Result_Database!H$2:H$500),
  _xlfn.IFNA(_xlpm.result, "")
)</f>
        <v/>
      </c>
      <c r="J496" t="str">
        <f>_xlfn.LET(
  _xlpm.result, _xlfn.XLOOKUP($B496, Result_Database!$A$2:$A$500, Result_Database!I$2:I$500),
  _xlfn.IFNA(_xlpm.result, "")
)</f>
        <v/>
      </c>
      <c r="K496" t="str">
        <f>_xlfn.LET(
  _xlpm.result, _xlfn.XLOOKUP($B496, Result_Database!$A$2:$A$500, Result_Database!J$2:J$500),
  _xlfn.IFNA(_xlpm.result, "")
)</f>
        <v/>
      </c>
      <c r="L496" t="str">
        <f>_xlfn.LET(
  _xlpm.result, _xlfn.XLOOKUP($B496, Result_Database!$A$2:$A$500, Result_Database!K$2:K$500),
  _xlfn.IFNA(_xlpm.result, "")
)</f>
        <v/>
      </c>
      <c r="M496" t="str">
        <f>_xlfn.LET(
  _xlpm.result, _xlfn.XLOOKUP($B496, Result_Database!$A$2:$A$500, Result_Database!L$2:L$500),
  _xlfn.IFNA(_xlpm.result, "")
)</f>
        <v/>
      </c>
      <c r="N496" t="str">
        <f>_xlfn.LET(
  _xlpm.result, _xlfn.XLOOKUP($B496, Result_Database!$A$2:$A$500, Result_Database!M$2:M$500),
  _xlfn.IFNA(_xlpm.result, "")
)</f>
        <v/>
      </c>
      <c r="O496" t="str">
        <f>_xlfn.LET(
  _xlpm.result, _xlfn.XLOOKUP($B496, Result_Database!$A$2:$A$500, Result_Database!N$2:N$500),
  _xlfn.IFNA(_xlpm.result, "")
)</f>
        <v/>
      </c>
      <c r="P496" t="str">
        <f>_xlfn.LET(
  _xlpm.result, _xlfn.XLOOKUP($B496, Result_Database!$A$2:$A$500, Result_Database!O$2:O$500),
  _xlfn.IFNA(_xlpm.result, "")
)</f>
        <v/>
      </c>
      <c r="Q496" t="str">
        <f>_xlfn.LET(
  _xlpm.result, _xlfn.XLOOKUP($B496, Result_Database!$A$2:$A$500, Result_Database!P$2:P$500),
  _xlfn.IFNA(_xlpm.result, "")
)</f>
        <v/>
      </c>
      <c r="R496" t="str">
        <f>_xlfn.LET(
  _xlpm.result, _xlfn.XLOOKUP($B496, Result_Database!$A$2:$A$500, Result_Database!Q$2:Q$500),
  _xlfn.IFNA(_xlpm.result, "")
)</f>
        <v/>
      </c>
      <c r="S496" t="str">
        <f>_xlfn.LET(
  _xlpm.result, _xlfn.XLOOKUP($B496, Result_Database!$A$2:$A$500, Result_Database!R$2:R$500),
  _xlfn.IFNA(_xlpm.result, "")
)</f>
        <v/>
      </c>
      <c r="T496" t="str">
        <f>_xlfn.LET(
  _xlpm.result, _xlfn.XLOOKUP($B496, Result_Database!$A$2:$A$500, Result_Database!S$2:S$500),
  _xlfn.IFNA(_xlpm.result, "")
)</f>
        <v/>
      </c>
      <c r="U496" t="str">
        <f>_xlfn.LET(
  _xlpm.result, _xlfn.XLOOKUP($B496, Result_Database!$A$2:$A$500, Result_Database!T$2:T$500),
  _xlfn.IFNA(_xlpm.result, "")
)</f>
        <v/>
      </c>
      <c r="V496" t="str">
        <f>_xlfn.LET(
  _xlpm.result, _xlfn.XLOOKUP($B496, Result_Database!$A$2:$A$500, Result_Database!U$2:U$500),
  _xlfn.IFNA(_xlpm.result, "")
)</f>
        <v/>
      </c>
      <c r="W496" t="str">
        <f>_xlfn.LET(
  _xlpm.result, _xlfn.XLOOKUP($B496, Result_Database!$A$2:$A$500, Result_Database!V$2:V$500),
  _xlfn.IFNA(_xlpm.result, "")
)</f>
        <v/>
      </c>
      <c r="X496" t="str">
        <f>_xlfn.LET(
  _xlpm.result, _xlfn.XLOOKUP($B496, Result_Database!$A$2:$A$500, Result_Database!W$2:W$500),
  _xlfn.IFNA(_xlpm.result, "")
)</f>
        <v/>
      </c>
      <c r="Y496" t="str">
        <f>_xlfn.LET(
  _xlpm.result, _xlfn.XLOOKUP($B496, Result_Database!$A$2:$A$500, Result_Database!X$2:X$500),
  _xlfn.IFNA(_xlpm.result, "")
)</f>
        <v/>
      </c>
      <c r="Z496" t="str">
        <f>_xlfn.LET(
  _xlpm.result, _xlfn.XLOOKUP($B496, Result_Database!$A$2:$A$500, Result_Database!Y$2:Y$500),
  _xlfn.IFNA(_xlpm.result, "")
)</f>
        <v/>
      </c>
      <c r="AA496" t="str">
        <f>_xlfn.LET(
  _xlpm.result, _xlfn.XLOOKUP($B496, Result_Database!$A$2:$A$500, Result_Database!Z$2:Z$500),
  _xlfn.IFNA(_xlpm.result, "")
)</f>
        <v/>
      </c>
      <c r="AB496" t="str">
        <f>_xlfn.LET(
  _xlpm.result, _xlfn.XLOOKUP($B496, Result_Database!$A$2:$A$500, Result_Database!AA$2:AA$500),
  _xlfn.IFNA(_xlpm.result, "")
)</f>
        <v/>
      </c>
      <c r="AC496" t="str">
        <f>_xlfn.LET(
  _xlpm.result, _xlfn.XLOOKUP($B496, Result_Database!$A$2:$A$500, Result_Database!AB$2:AB$500),
  _xlfn.IFNA(_xlpm.result, "")
)</f>
        <v/>
      </c>
      <c r="AD496" t="str">
        <f>_xlfn.LET(
  _xlpm.result, _xlfn.XLOOKUP($B496, Result_Database!$A$2:$A$500, Result_Database!AC$2:AC$500),
  _xlfn.IFNA(_xlpm.result, "")
)</f>
        <v/>
      </c>
      <c r="AE496" t="str">
        <f>_xlfn.LET(
  _xlpm.result, _xlfn.XLOOKUP($B496, Result_Database!$A$2:$A$500, Result_Database!AD$2:AD$500),
  _xlfn.IFNA(_xlpm.result, "")
)</f>
        <v/>
      </c>
      <c r="AF496" t="str">
        <f>_xlfn.LET(
  _xlpm.result, _xlfn.XLOOKUP($B496, Result_Database!$A$2:$A$500, Result_Database!AE$2:AE$500),
  _xlfn.IFNA(_xlpm.result, "")
)</f>
        <v/>
      </c>
      <c r="AG496" t="str">
        <f>_xlfn.LET(
  _xlpm.result, _xlfn.XLOOKUP($B496, Result_Database!$A$2:$A$500, Result_Database!AF$2:AF$500),
  _xlfn.IFNA(_xlpm.result, "")
)</f>
        <v/>
      </c>
      <c r="AH496" t="str">
        <f>_xlfn.LET(
  _xlpm.result, _xlfn.XLOOKUP($B496, Result_Database!$A$2:$A$500, Result_Database!AG$2:AG$500),
  _xlfn.IFNA(_xlpm.result, "")
)</f>
        <v/>
      </c>
      <c r="AI496" t="str">
        <f>_xlfn.LET(
  _xlpm.result, _xlfn.XLOOKUP($B496, Result_Database!$A$2:$A$500, Result_Database!AH$2:AH$500),
  _xlfn.IFNA(_xlpm.result, "")
)</f>
        <v/>
      </c>
      <c r="AJ496" t="str">
        <f>_xlfn.LET(
  _xlpm.result, _xlfn.XLOOKUP($B496, Result_Database!$A$2:$A$500, Result_Database!AI$2:AI$500),
  _xlfn.IFNA(_xlpm.result, "")
)</f>
        <v/>
      </c>
      <c r="AK496" t="str">
        <f>_xlfn.LET(
  _xlpm.result, _xlfn.XLOOKUP($B496, Result_Database!$A$2:$A$500, Result_Database!AJ$2:AJ$500),
  _xlfn.IFNA(_xlpm.result, "")
)</f>
        <v/>
      </c>
      <c r="AL496" t="str">
        <f>_xlfn.LET(
  _xlpm.result, _xlfn.XLOOKUP($B496, Result_Database!$A$2:$A$500, Result_Database!AK$2:AK$500),
  _xlfn.IFNA(_xlpm.result, "")
)</f>
        <v/>
      </c>
      <c r="AM496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96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96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96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96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96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96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96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96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96" t="str">
        <f>IF(SUM(Table5[[#This Row],[A1]:[C6]])&lt;&gt;0,SUM(Table5[[#This Row],[A1]:[C6]]),"")</f>
        <v/>
      </c>
      <c r="AW496" t="str">
        <f>IF(SUM(Table5[[#This Row],[D7]:[F9]])=0,"",SUM(Table5[[#This Row],[D7]:[F9]]))</f>
        <v/>
      </c>
      <c r="AX496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96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96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96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96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96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96" t="str">
        <f>IF(COUNTIF(Table5[[#This Row],[English Language]:[Electrical/ Electronics]],"WITHHELD")=0,"",COUNTIF(Table5[[#This Row],[English Language]:[Electrical/ Electronics]],"WITHHELD"))</f>
        <v/>
      </c>
      <c r="BE496" t="str">
        <f>IF(SUM(Table5[[#This Row],[NO OF CREDITS]:[BELOW CREDITS]])=0,"",SUM(Table5[[#This Row],[NO OF CREDITS]:[BELOW CREDITS]]))</f>
        <v/>
      </c>
    </row>
    <row r="497" spans="1:57" x14ac:dyDescent="0.3">
      <c r="A497" t="str">
        <f>IF(B497&lt;&gt;"",COUNTA($B$6:B497),"")</f>
        <v/>
      </c>
      <c r="B497" t="str">
        <f>IF(Result_Database!A493="","",Result_Database!A493)</f>
        <v/>
      </c>
      <c r="C497" t="str">
        <f>_xlfn.LET(
_xlpm.result,_xlfn.XLOOKUP($B497,Result_Database!$A$2:$A$500,Result_Database!$B$2:$B$500),
_xlfn.IFNA(_xlpm.result,"")
)</f>
        <v/>
      </c>
      <c r="D497" t="str">
        <f>_xlfn.LET(
  _xlpm.result, _xlfn.XLOOKUP($B497, Result_Database!$A$2:$A$500, Result_Database!C$2:C$500),
  _xlfn.IFNA(_xlpm.result, "")
)</f>
        <v/>
      </c>
      <c r="E497" t="str">
        <f>_xlfn.LET(
  _xlpm.result, _xlfn.XLOOKUP($B497, Result_Database!$A$2:$A$500, Result_Database!D$2:D$500),
  _xlfn.IFNA(_xlpm.result, "")
)</f>
        <v/>
      </c>
      <c r="F497" t="str">
        <f>_xlfn.LET(
  _xlpm.result, _xlfn.XLOOKUP($B497, Result_Database!$A$2:$A$500, Result_Database!E$2:E$500),
  _xlfn.IFNA(_xlpm.result, "")
)</f>
        <v/>
      </c>
      <c r="G497" t="str">
        <f>_xlfn.LET(
  _xlpm.result, _xlfn.XLOOKUP($B497, Result_Database!$A$2:$A$500, Result_Database!F$2:F$500),
  _xlfn.IFNA(_xlpm.result, "")
)</f>
        <v/>
      </c>
      <c r="H497" t="str">
        <f>_xlfn.LET(
  _xlpm.result, _xlfn.XLOOKUP($B497, Result_Database!$A$2:$A$500, Result_Database!G$2:G$500),
  _xlfn.IFNA(_xlpm.result, "")
)</f>
        <v/>
      </c>
      <c r="I497" t="str">
        <f>_xlfn.LET(
  _xlpm.result, _xlfn.XLOOKUP($B497, Result_Database!$A$2:$A$500, Result_Database!H$2:H$500),
  _xlfn.IFNA(_xlpm.result, "")
)</f>
        <v/>
      </c>
      <c r="J497" t="str">
        <f>_xlfn.LET(
  _xlpm.result, _xlfn.XLOOKUP($B497, Result_Database!$A$2:$A$500, Result_Database!I$2:I$500),
  _xlfn.IFNA(_xlpm.result, "")
)</f>
        <v/>
      </c>
      <c r="K497" t="str">
        <f>_xlfn.LET(
  _xlpm.result, _xlfn.XLOOKUP($B497, Result_Database!$A$2:$A$500, Result_Database!J$2:J$500),
  _xlfn.IFNA(_xlpm.result, "")
)</f>
        <v/>
      </c>
      <c r="L497" t="str">
        <f>_xlfn.LET(
  _xlpm.result, _xlfn.XLOOKUP($B497, Result_Database!$A$2:$A$500, Result_Database!K$2:K$500),
  _xlfn.IFNA(_xlpm.result, "")
)</f>
        <v/>
      </c>
      <c r="M497" t="str">
        <f>_xlfn.LET(
  _xlpm.result, _xlfn.XLOOKUP($B497, Result_Database!$A$2:$A$500, Result_Database!L$2:L$500),
  _xlfn.IFNA(_xlpm.result, "")
)</f>
        <v/>
      </c>
      <c r="N497" t="str">
        <f>_xlfn.LET(
  _xlpm.result, _xlfn.XLOOKUP($B497, Result_Database!$A$2:$A$500, Result_Database!M$2:M$500),
  _xlfn.IFNA(_xlpm.result, "")
)</f>
        <v/>
      </c>
      <c r="O497" t="str">
        <f>_xlfn.LET(
  _xlpm.result, _xlfn.XLOOKUP($B497, Result_Database!$A$2:$A$500, Result_Database!N$2:N$500),
  _xlfn.IFNA(_xlpm.result, "")
)</f>
        <v/>
      </c>
      <c r="P497" t="str">
        <f>_xlfn.LET(
  _xlpm.result, _xlfn.XLOOKUP($B497, Result_Database!$A$2:$A$500, Result_Database!O$2:O$500),
  _xlfn.IFNA(_xlpm.result, "")
)</f>
        <v/>
      </c>
      <c r="Q497" t="str">
        <f>_xlfn.LET(
  _xlpm.result, _xlfn.XLOOKUP($B497, Result_Database!$A$2:$A$500, Result_Database!P$2:P$500),
  _xlfn.IFNA(_xlpm.result, "")
)</f>
        <v/>
      </c>
      <c r="R497" t="str">
        <f>_xlfn.LET(
  _xlpm.result, _xlfn.XLOOKUP($B497, Result_Database!$A$2:$A$500, Result_Database!Q$2:Q$500),
  _xlfn.IFNA(_xlpm.result, "")
)</f>
        <v/>
      </c>
      <c r="S497" t="str">
        <f>_xlfn.LET(
  _xlpm.result, _xlfn.XLOOKUP($B497, Result_Database!$A$2:$A$500, Result_Database!R$2:R$500),
  _xlfn.IFNA(_xlpm.result, "")
)</f>
        <v/>
      </c>
      <c r="T497" t="str">
        <f>_xlfn.LET(
  _xlpm.result, _xlfn.XLOOKUP($B497, Result_Database!$A$2:$A$500, Result_Database!S$2:S$500),
  _xlfn.IFNA(_xlpm.result, "")
)</f>
        <v/>
      </c>
      <c r="U497" t="str">
        <f>_xlfn.LET(
  _xlpm.result, _xlfn.XLOOKUP($B497, Result_Database!$A$2:$A$500, Result_Database!T$2:T$500),
  _xlfn.IFNA(_xlpm.result, "")
)</f>
        <v/>
      </c>
      <c r="V497" t="str">
        <f>_xlfn.LET(
  _xlpm.result, _xlfn.XLOOKUP($B497, Result_Database!$A$2:$A$500, Result_Database!U$2:U$500),
  _xlfn.IFNA(_xlpm.result, "")
)</f>
        <v/>
      </c>
      <c r="W497" t="str">
        <f>_xlfn.LET(
  _xlpm.result, _xlfn.XLOOKUP($B497, Result_Database!$A$2:$A$500, Result_Database!V$2:V$500),
  _xlfn.IFNA(_xlpm.result, "")
)</f>
        <v/>
      </c>
      <c r="X497" t="str">
        <f>_xlfn.LET(
  _xlpm.result, _xlfn.XLOOKUP($B497, Result_Database!$A$2:$A$500, Result_Database!W$2:W$500),
  _xlfn.IFNA(_xlpm.result, "")
)</f>
        <v/>
      </c>
      <c r="Y497" t="str">
        <f>_xlfn.LET(
  _xlpm.result, _xlfn.XLOOKUP($B497, Result_Database!$A$2:$A$500, Result_Database!X$2:X$500),
  _xlfn.IFNA(_xlpm.result, "")
)</f>
        <v/>
      </c>
      <c r="Z497" t="str">
        <f>_xlfn.LET(
  _xlpm.result, _xlfn.XLOOKUP($B497, Result_Database!$A$2:$A$500, Result_Database!Y$2:Y$500),
  _xlfn.IFNA(_xlpm.result, "")
)</f>
        <v/>
      </c>
      <c r="AA497" t="str">
        <f>_xlfn.LET(
  _xlpm.result, _xlfn.XLOOKUP($B497, Result_Database!$A$2:$A$500, Result_Database!Z$2:Z$500),
  _xlfn.IFNA(_xlpm.result, "")
)</f>
        <v/>
      </c>
      <c r="AB497" t="str">
        <f>_xlfn.LET(
  _xlpm.result, _xlfn.XLOOKUP($B497, Result_Database!$A$2:$A$500, Result_Database!AA$2:AA$500),
  _xlfn.IFNA(_xlpm.result, "")
)</f>
        <v/>
      </c>
      <c r="AC497" t="str">
        <f>_xlfn.LET(
  _xlpm.result, _xlfn.XLOOKUP($B497, Result_Database!$A$2:$A$500, Result_Database!AB$2:AB$500),
  _xlfn.IFNA(_xlpm.result, "")
)</f>
        <v/>
      </c>
      <c r="AD497" t="str">
        <f>_xlfn.LET(
  _xlpm.result, _xlfn.XLOOKUP($B497, Result_Database!$A$2:$A$500, Result_Database!AC$2:AC$500),
  _xlfn.IFNA(_xlpm.result, "")
)</f>
        <v/>
      </c>
      <c r="AE497" t="str">
        <f>_xlfn.LET(
  _xlpm.result, _xlfn.XLOOKUP($B497, Result_Database!$A$2:$A$500, Result_Database!AD$2:AD$500),
  _xlfn.IFNA(_xlpm.result, "")
)</f>
        <v/>
      </c>
      <c r="AF497" t="str">
        <f>_xlfn.LET(
  _xlpm.result, _xlfn.XLOOKUP($B497, Result_Database!$A$2:$A$500, Result_Database!AE$2:AE$500),
  _xlfn.IFNA(_xlpm.result, "")
)</f>
        <v/>
      </c>
      <c r="AG497" t="str">
        <f>_xlfn.LET(
  _xlpm.result, _xlfn.XLOOKUP($B497, Result_Database!$A$2:$A$500, Result_Database!AF$2:AF$500),
  _xlfn.IFNA(_xlpm.result, "")
)</f>
        <v/>
      </c>
      <c r="AH497" t="str">
        <f>_xlfn.LET(
  _xlpm.result, _xlfn.XLOOKUP($B497, Result_Database!$A$2:$A$500, Result_Database!AG$2:AG$500),
  _xlfn.IFNA(_xlpm.result, "")
)</f>
        <v/>
      </c>
      <c r="AI497" t="str">
        <f>_xlfn.LET(
  _xlpm.result, _xlfn.XLOOKUP($B497, Result_Database!$A$2:$A$500, Result_Database!AH$2:AH$500),
  _xlfn.IFNA(_xlpm.result, "")
)</f>
        <v/>
      </c>
      <c r="AJ497" t="str">
        <f>_xlfn.LET(
  _xlpm.result, _xlfn.XLOOKUP($B497, Result_Database!$A$2:$A$500, Result_Database!AI$2:AI$500),
  _xlfn.IFNA(_xlpm.result, "")
)</f>
        <v/>
      </c>
      <c r="AK497" t="str">
        <f>_xlfn.LET(
  _xlpm.result, _xlfn.XLOOKUP($B497, Result_Database!$A$2:$A$500, Result_Database!AJ$2:AJ$500),
  _xlfn.IFNA(_xlpm.result, "")
)</f>
        <v/>
      </c>
      <c r="AL497" t="str">
        <f>_xlfn.LET(
  _xlpm.result, _xlfn.XLOOKUP($B497, Result_Database!$A$2:$A$500, Result_Database!AK$2:AK$500),
  _xlfn.IFNA(_xlpm.result, "")
)</f>
        <v/>
      </c>
      <c r="AM497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97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97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97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97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97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97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97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97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97" t="str">
        <f>IF(SUM(Table5[[#This Row],[A1]:[C6]])&lt;&gt;0,SUM(Table5[[#This Row],[A1]:[C6]]),"")</f>
        <v/>
      </c>
      <c r="AW497" t="str">
        <f>IF(SUM(Table5[[#This Row],[D7]:[F9]])=0,"",SUM(Table5[[#This Row],[D7]:[F9]]))</f>
        <v/>
      </c>
      <c r="AX497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97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97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97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97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97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97" t="str">
        <f>IF(COUNTIF(Table5[[#This Row],[English Language]:[Electrical/ Electronics]],"WITHHELD")=0,"",COUNTIF(Table5[[#This Row],[English Language]:[Electrical/ Electronics]],"WITHHELD"))</f>
        <v/>
      </c>
      <c r="BE497" t="str">
        <f>IF(SUM(Table5[[#This Row],[NO OF CREDITS]:[BELOW CREDITS]])=0,"",SUM(Table5[[#This Row],[NO OF CREDITS]:[BELOW CREDITS]]))</f>
        <v/>
      </c>
    </row>
    <row r="498" spans="1:57" x14ac:dyDescent="0.3">
      <c r="A498" t="str">
        <f>IF(B498&lt;&gt;"",COUNTA($B$6:B498),"")</f>
        <v/>
      </c>
      <c r="B498" t="str">
        <f>IF(Result_Database!A494="","",Result_Database!A494)</f>
        <v/>
      </c>
      <c r="C498" t="str">
        <f>_xlfn.LET(
_xlpm.result,_xlfn.XLOOKUP($B498,Result_Database!$A$2:$A$500,Result_Database!$B$2:$B$500),
_xlfn.IFNA(_xlpm.result,"")
)</f>
        <v/>
      </c>
      <c r="D498" t="str">
        <f>_xlfn.LET(
  _xlpm.result, _xlfn.XLOOKUP($B498, Result_Database!$A$2:$A$500, Result_Database!C$2:C$500),
  _xlfn.IFNA(_xlpm.result, "")
)</f>
        <v/>
      </c>
      <c r="E498" t="str">
        <f>_xlfn.LET(
  _xlpm.result, _xlfn.XLOOKUP($B498, Result_Database!$A$2:$A$500, Result_Database!D$2:D$500),
  _xlfn.IFNA(_xlpm.result, "")
)</f>
        <v/>
      </c>
      <c r="F498" t="str">
        <f>_xlfn.LET(
  _xlpm.result, _xlfn.XLOOKUP($B498, Result_Database!$A$2:$A$500, Result_Database!E$2:E$500),
  _xlfn.IFNA(_xlpm.result, "")
)</f>
        <v/>
      </c>
      <c r="G498" t="str">
        <f>_xlfn.LET(
  _xlpm.result, _xlfn.XLOOKUP($B498, Result_Database!$A$2:$A$500, Result_Database!F$2:F$500),
  _xlfn.IFNA(_xlpm.result, "")
)</f>
        <v/>
      </c>
      <c r="H498" t="str">
        <f>_xlfn.LET(
  _xlpm.result, _xlfn.XLOOKUP($B498, Result_Database!$A$2:$A$500, Result_Database!G$2:G$500),
  _xlfn.IFNA(_xlpm.result, "")
)</f>
        <v/>
      </c>
      <c r="I498" t="str">
        <f>_xlfn.LET(
  _xlpm.result, _xlfn.XLOOKUP($B498, Result_Database!$A$2:$A$500, Result_Database!H$2:H$500),
  _xlfn.IFNA(_xlpm.result, "")
)</f>
        <v/>
      </c>
      <c r="J498" t="str">
        <f>_xlfn.LET(
  _xlpm.result, _xlfn.XLOOKUP($B498, Result_Database!$A$2:$A$500, Result_Database!I$2:I$500),
  _xlfn.IFNA(_xlpm.result, "")
)</f>
        <v/>
      </c>
      <c r="K498" t="str">
        <f>_xlfn.LET(
  _xlpm.result, _xlfn.XLOOKUP($B498, Result_Database!$A$2:$A$500, Result_Database!J$2:J$500),
  _xlfn.IFNA(_xlpm.result, "")
)</f>
        <v/>
      </c>
      <c r="L498" t="str">
        <f>_xlfn.LET(
  _xlpm.result, _xlfn.XLOOKUP($B498, Result_Database!$A$2:$A$500, Result_Database!K$2:K$500),
  _xlfn.IFNA(_xlpm.result, "")
)</f>
        <v/>
      </c>
      <c r="M498" t="str">
        <f>_xlfn.LET(
  _xlpm.result, _xlfn.XLOOKUP($B498, Result_Database!$A$2:$A$500, Result_Database!L$2:L$500),
  _xlfn.IFNA(_xlpm.result, "")
)</f>
        <v/>
      </c>
      <c r="N498" t="str">
        <f>_xlfn.LET(
  _xlpm.result, _xlfn.XLOOKUP($B498, Result_Database!$A$2:$A$500, Result_Database!M$2:M$500),
  _xlfn.IFNA(_xlpm.result, "")
)</f>
        <v/>
      </c>
      <c r="O498" t="str">
        <f>_xlfn.LET(
  _xlpm.result, _xlfn.XLOOKUP($B498, Result_Database!$A$2:$A$500, Result_Database!N$2:N$500),
  _xlfn.IFNA(_xlpm.result, "")
)</f>
        <v/>
      </c>
      <c r="P498" t="str">
        <f>_xlfn.LET(
  _xlpm.result, _xlfn.XLOOKUP($B498, Result_Database!$A$2:$A$500, Result_Database!O$2:O$500),
  _xlfn.IFNA(_xlpm.result, "")
)</f>
        <v/>
      </c>
      <c r="Q498" t="str">
        <f>_xlfn.LET(
  _xlpm.result, _xlfn.XLOOKUP($B498, Result_Database!$A$2:$A$500, Result_Database!P$2:P$500),
  _xlfn.IFNA(_xlpm.result, "")
)</f>
        <v/>
      </c>
      <c r="R498" t="str">
        <f>_xlfn.LET(
  _xlpm.result, _xlfn.XLOOKUP($B498, Result_Database!$A$2:$A$500, Result_Database!Q$2:Q$500),
  _xlfn.IFNA(_xlpm.result, "")
)</f>
        <v/>
      </c>
      <c r="S498" t="str">
        <f>_xlfn.LET(
  _xlpm.result, _xlfn.XLOOKUP($B498, Result_Database!$A$2:$A$500, Result_Database!R$2:R$500),
  _xlfn.IFNA(_xlpm.result, "")
)</f>
        <v/>
      </c>
      <c r="T498" t="str">
        <f>_xlfn.LET(
  _xlpm.result, _xlfn.XLOOKUP($B498, Result_Database!$A$2:$A$500, Result_Database!S$2:S$500),
  _xlfn.IFNA(_xlpm.result, "")
)</f>
        <v/>
      </c>
      <c r="U498" t="str">
        <f>_xlfn.LET(
  _xlpm.result, _xlfn.XLOOKUP($B498, Result_Database!$A$2:$A$500, Result_Database!T$2:T$500),
  _xlfn.IFNA(_xlpm.result, "")
)</f>
        <v/>
      </c>
      <c r="V498" t="str">
        <f>_xlfn.LET(
  _xlpm.result, _xlfn.XLOOKUP($B498, Result_Database!$A$2:$A$500, Result_Database!U$2:U$500),
  _xlfn.IFNA(_xlpm.result, "")
)</f>
        <v/>
      </c>
      <c r="W498" t="str">
        <f>_xlfn.LET(
  _xlpm.result, _xlfn.XLOOKUP($B498, Result_Database!$A$2:$A$500, Result_Database!V$2:V$500),
  _xlfn.IFNA(_xlpm.result, "")
)</f>
        <v/>
      </c>
      <c r="X498" t="str">
        <f>_xlfn.LET(
  _xlpm.result, _xlfn.XLOOKUP($B498, Result_Database!$A$2:$A$500, Result_Database!W$2:W$500),
  _xlfn.IFNA(_xlpm.result, "")
)</f>
        <v/>
      </c>
      <c r="Y498" t="str">
        <f>_xlfn.LET(
  _xlpm.result, _xlfn.XLOOKUP($B498, Result_Database!$A$2:$A$500, Result_Database!X$2:X$500),
  _xlfn.IFNA(_xlpm.result, "")
)</f>
        <v/>
      </c>
      <c r="Z498" t="str">
        <f>_xlfn.LET(
  _xlpm.result, _xlfn.XLOOKUP($B498, Result_Database!$A$2:$A$500, Result_Database!Y$2:Y$500),
  _xlfn.IFNA(_xlpm.result, "")
)</f>
        <v/>
      </c>
      <c r="AA498" t="str">
        <f>_xlfn.LET(
  _xlpm.result, _xlfn.XLOOKUP($B498, Result_Database!$A$2:$A$500, Result_Database!Z$2:Z$500),
  _xlfn.IFNA(_xlpm.result, "")
)</f>
        <v/>
      </c>
      <c r="AB498" t="str">
        <f>_xlfn.LET(
  _xlpm.result, _xlfn.XLOOKUP($B498, Result_Database!$A$2:$A$500, Result_Database!AA$2:AA$500),
  _xlfn.IFNA(_xlpm.result, "")
)</f>
        <v/>
      </c>
      <c r="AC498" t="str">
        <f>_xlfn.LET(
  _xlpm.result, _xlfn.XLOOKUP($B498, Result_Database!$A$2:$A$500, Result_Database!AB$2:AB$500),
  _xlfn.IFNA(_xlpm.result, "")
)</f>
        <v/>
      </c>
      <c r="AD498" t="str">
        <f>_xlfn.LET(
  _xlpm.result, _xlfn.XLOOKUP($B498, Result_Database!$A$2:$A$500, Result_Database!AC$2:AC$500),
  _xlfn.IFNA(_xlpm.result, "")
)</f>
        <v/>
      </c>
      <c r="AE498" t="str">
        <f>_xlfn.LET(
  _xlpm.result, _xlfn.XLOOKUP($B498, Result_Database!$A$2:$A$500, Result_Database!AD$2:AD$500),
  _xlfn.IFNA(_xlpm.result, "")
)</f>
        <v/>
      </c>
      <c r="AF498" t="str">
        <f>_xlfn.LET(
  _xlpm.result, _xlfn.XLOOKUP($B498, Result_Database!$A$2:$A$500, Result_Database!AE$2:AE$500),
  _xlfn.IFNA(_xlpm.result, "")
)</f>
        <v/>
      </c>
      <c r="AG498" t="str">
        <f>_xlfn.LET(
  _xlpm.result, _xlfn.XLOOKUP($B498, Result_Database!$A$2:$A$500, Result_Database!AF$2:AF$500),
  _xlfn.IFNA(_xlpm.result, "")
)</f>
        <v/>
      </c>
      <c r="AH498" t="str">
        <f>_xlfn.LET(
  _xlpm.result, _xlfn.XLOOKUP($B498, Result_Database!$A$2:$A$500, Result_Database!AG$2:AG$500),
  _xlfn.IFNA(_xlpm.result, "")
)</f>
        <v/>
      </c>
      <c r="AI498" t="str">
        <f>_xlfn.LET(
  _xlpm.result, _xlfn.XLOOKUP($B498, Result_Database!$A$2:$A$500, Result_Database!AH$2:AH$500),
  _xlfn.IFNA(_xlpm.result, "")
)</f>
        <v/>
      </c>
      <c r="AJ498" t="str">
        <f>_xlfn.LET(
  _xlpm.result, _xlfn.XLOOKUP($B498, Result_Database!$A$2:$A$500, Result_Database!AI$2:AI$500),
  _xlfn.IFNA(_xlpm.result, "")
)</f>
        <v/>
      </c>
      <c r="AK498" t="str">
        <f>_xlfn.LET(
  _xlpm.result, _xlfn.XLOOKUP($B498, Result_Database!$A$2:$A$500, Result_Database!AJ$2:AJ$500),
  _xlfn.IFNA(_xlpm.result, "")
)</f>
        <v/>
      </c>
      <c r="AL498" t="str">
        <f>_xlfn.LET(
  _xlpm.result, _xlfn.XLOOKUP($B498, Result_Database!$A$2:$A$500, Result_Database!AK$2:AK$500),
  _xlfn.IFNA(_xlpm.result, "")
)</f>
        <v/>
      </c>
      <c r="AM498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98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98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98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98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98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98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98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98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98" t="str">
        <f>IF(SUM(Table5[[#This Row],[A1]:[C6]])&lt;&gt;0,SUM(Table5[[#This Row],[A1]:[C6]]),"")</f>
        <v/>
      </c>
      <c r="AW498" t="str">
        <f>IF(SUM(Table5[[#This Row],[D7]:[F9]])=0,"",SUM(Table5[[#This Row],[D7]:[F9]]))</f>
        <v/>
      </c>
      <c r="AX498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98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98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98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98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98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98" t="str">
        <f>IF(COUNTIF(Table5[[#This Row],[English Language]:[Electrical/ Electronics]],"WITHHELD")=0,"",COUNTIF(Table5[[#This Row],[English Language]:[Electrical/ Electronics]],"WITHHELD"))</f>
        <v/>
      </c>
      <c r="BE498" t="str">
        <f>IF(SUM(Table5[[#This Row],[NO OF CREDITS]:[BELOW CREDITS]])=0,"",SUM(Table5[[#This Row],[NO OF CREDITS]:[BELOW CREDITS]]))</f>
        <v/>
      </c>
    </row>
    <row r="499" spans="1:57" x14ac:dyDescent="0.3">
      <c r="A499" t="str">
        <f>IF(B499&lt;&gt;"",COUNTA($B$6:B499),"")</f>
        <v/>
      </c>
      <c r="B499" t="str">
        <f>IF(Result_Database!A495="","",Result_Database!A495)</f>
        <v/>
      </c>
      <c r="C499" t="str">
        <f>_xlfn.LET(
_xlpm.result,_xlfn.XLOOKUP($B499,Result_Database!$A$2:$A$500,Result_Database!$B$2:$B$500),
_xlfn.IFNA(_xlpm.result,"")
)</f>
        <v/>
      </c>
      <c r="D499" t="str">
        <f>_xlfn.LET(
  _xlpm.result, _xlfn.XLOOKUP($B499, Result_Database!$A$2:$A$500, Result_Database!C$2:C$500),
  _xlfn.IFNA(_xlpm.result, "")
)</f>
        <v/>
      </c>
      <c r="E499" t="str">
        <f>_xlfn.LET(
  _xlpm.result, _xlfn.XLOOKUP($B499, Result_Database!$A$2:$A$500, Result_Database!D$2:D$500),
  _xlfn.IFNA(_xlpm.result, "")
)</f>
        <v/>
      </c>
      <c r="F499" t="str">
        <f>_xlfn.LET(
  _xlpm.result, _xlfn.XLOOKUP($B499, Result_Database!$A$2:$A$500, Result_Database!E$2:E$500),
  _xlfn.IFNA(_xlpm.result, "")
)</f>
        <v/>
      </c>
      <c r="G499" t="str">
        <f>_xlfn.LET(
  _xlpm.result, _xlfn.XLOOKUP($B499, Result_Database!$A$2:$A$500, Result_Database!F$2:F$500),
  _xlfn.IFNA(_xlpm.result, "")
)</f>
        <v/>
      </c>
      <c r="H499" t="str">
        <f>_xlfn.LET(
  _xlpm.result, _xlfn.XLOOKUP($B499, Result_Database!$A$2:$A$500, Result_Database!G$2:G$500),
  _xlfn.IFNA(_xlpm.result, "")
)</f>
        <v/>
      </c>
      <c r="I499" t="str">
        <f>_xlfn.LET(
  _xlpm.result, _xlfn.XLOOKUP($B499, Result_Database!$A$2:$A$500, Result_Database!H$2:H$500),
  _xlfn.IFNA(_xlpm.result, "")
)</f>
        <v/>
      </c>
      <c r="J499" t="str">
        <f>_xlfn.LET(
  _xlpm.result, _xlfn.XLOOKUP($B499, Result_Database!$A$2:$A$500, Result_Database!I$2:I$500),
  _xlfn.IFNA(_xlpm.result, "")
)</f>
        <v/>
      </c>
      <c r="K499" t="str">
        <f>_xlfn.LET(
  _xlpm.result, _xlfn.XLOOKUP($B499, Result_Database!$A$2:$A$500, Result_Database!J$2:J$500),
  _xlfn.IFNA(_xlpm.result, "")
)</f>
        <v/>
      </c>
      <c r="L499" t="str">
        <f>_xlfn.LET(
  _xlpm.result, _xlfn.XLOOKUP($B499, Result_Database!$A$2:$A$500, Result_Database!K$2:K$500),
  _xlfn.IFNA(_xlpm.result, "")
)</f>
        <v/>
      </c>
      <c r="M499" t="str">
        <f>_xlfn.LET(
  _xlpm.result, _xlfn.XLOOKUP($B499, Result_Database!$A$2:$A$500, Result_Database!L$2:L$500),
  _xlfn.IFNA(_xlpm.result, "")
)</f>
        <v/>
      </c>
      <c r="N499" t="str">
        <f>_xlfn.LET(
  _xlpm.result, _xlfn.XLOOKUP($B499, Result_Database!$A$2:$A$500, Result_Database!M$2:M$500),
  _xlfn.IFNA(_xlpm.result, "")
)</f>
        <v/>
      </c>
      <c r="O499" t="str">
        <f>_xlfn.LET(
  _xlpm.result, _xlfn.XLOOKUP($B499, Result_Database!$A$2:$A$500, Result_Database!N$2:N$500),
  _xlfn.IFNA(_xlpm.result, "")
)</f>
        <v/>
      </c>
      <c r="P499" t="str">
        <f>_xlfn.LET(
  _xlpm.result, _xlfn.XLOOKUP($B499, Result_Database!$A$2:$A$500, Result_Database!O$2:O$500),
  _xlfn.IFNA(_xlpm.result, "")
)</f>
        <v/>
      </c>
      <c r="Q499" t="str">
        <f>_xlfn.LET(
  _xlpm.result, _xlfn.XLOOKUP($B499, Result_Database!$A$2:$A$500, Result_Database!P$2:P$500),
  _xlfn.IFNA(_xlpm.result, "")
)</f>
        <v/>
      </c>
      <c r="R499" t="str">
        <f>_xlfn.LET(
  _xlpm.result, _xlfn.XLOOKUP($B499, Result_Database!$A$2:$A$500, Result_Database!Q$2:Q$500),
  _xlfn.IFNA(_xlpm.result, "")
)</f>
        <v/>
      </c>
      <c r="S499" t="str">
        <f>_xlfn.LET(
  _xlpm.result, _xlfn.XLOOKUP($B499, Result_Database!$A$2:$A$500, Result_Database!R$2:R$500),
  _xlfn.IFNA(_xlpm.result, "")
)</f>
        <v/>
      </c>
      <c r="T499" t="str">
        <f>_xlfn.LET(
  _xlpm.result, _xlfn.XLOOKUP($B499, Result_Database!$A$2:$A$500, Result_Database!S$2:S$500),
  _xlfn.IFNA(_xlpm.result, "")
)</f>
        <v/>
      </c>
      <c r="U499" t="str">
        <f>_xlfn.LET(
  _xlpm.result, _xlfn.XLOOKUP($B499, Result_Database!$A$2:$A$500, Result_Database!T$2:T$500),
  _xlfn.IFNA(_xlpm.result, "")
)</f>
        <v/>
      </c>
      <c r="V499" t="str">
        <f>_xlfn.LET(
  _xlpm.result, _xlfn.XLOOKUP($B499, Result_Database!$A$2:$A$500, Result_Database!U$2:U$500),
  _xlfn.IFNA(_xlpm.result, "")
)</f>
        <v/>
      </c>
      <c r="W499" t="str">
        <f>_xlfn.LET(
  _xlpm.result, _xlfn.XLOOKUP($B499, Result_Database!$A$2:$A$500, Result_Database!V$2:V$500),
  _xlfn.IFNA(_xlpm.result, "")
)</f>
        <v/>
      </c>
      <c r="X499" t="str">
        <f>_xlfn.LET(
  _xlpm.result, _xlfn.XLOOKUP($B499, Result_Database!$A$2:$A$500, Result_Database!W$2:W$500),
  _xlfn.IFNA(_xlpm.result, "")
)</f>
        <v/>
      </c>
      <c r="Y499" t="str">
        <f>_xlfn.LET(
  _xlpm.result, _xlfn.XLOOKUP($B499, Result_Database!$A$2:$A$500, Result_Database!X$2:X$500),
  _xlfn.IFNA(_xlpm.result, "")
)</f>
        <v/>
      </c>
      <c r="Z499" t="str">
        <f>_xlfn.LET(
  _xlpm.result, _xlfn.XLOOKUP($B499, Result_Database!$A$2:$A$500, Result_Database!Y$2:Y$500),
  _xlfn.IFNA(_xlpm.result, "")
)</f>
        <v/>
      </c>
      <c r="AA499" t="str">
        <f>_xlfn.LET(
  _xlpm.result, _xlfn.XLOOKUP($B499, Result_Database!$A$2:$A$500, Result_Database!Z$2:Z$500),
  _xlfn.IFNA(_xlpm.result, "")
)</f>
        <v/>
      </c>
      <c r="AB499" t="str">
        <f>_xlfn.LET(
  _xlpm.result, _xlfn.XLOOKUP($B499, Result_Database!$A$2:$A$500, Result_Database!AA$2:AA$500),
  _xlfn.IFNA(_xlpm.result, "")
)</f>
        <v/>
      </c>
      <c r="AC499" t="str">
        <f>_xlfn.LET(
  _xlpm.result, _xlfn.XLOOKUP($B499, Result_Database!$A$2:$A$500, Result_Database!AB$2:AB$500),
  _xlfn.IFNA(_xlpm.result, "")
)</f>
        <v/>
      </c>
      <c r="AD499" t="str">
        <f>_xlfn.LET(
  _xlpm.result, _xlfn.XLOOKUP($B499, Result_Database!$A$2:$A$500, Result_Database!AC$2:AC$500),
  _xlfn.IFNA(_xlpm.result, "")
)</f>
        <v/>
      </c>
      <c r="AE499" t="str">
        <f>_xlfn.LET(
  _xlpm.result, _xlfn.XLOOKUP($B499, Result_Database!$A$2:$A$500, Result_Database!AD$2:AD$500),
  _xlfn.IFNA(_xlpm.result, "")
)</f>
        <v/>
      </c>
      <c r="AF499" t="str">
        <f>_xlfn.LET(
  _xlpm.result, _xlfn.XLOOKUP($B499, Result_Database!$A$2:$A$500, Result_Database!AE$2:AE$500),
  _xlfn.IFNA(_xlpm.result, "")
)</f>
        <v/>
      </c>
      <c r="AG499" t="str">
        <f>_xlfn.LET(
  _xlpm.result, _xlfn.XLOOKUP($B499, Result_Database!$A$2:$A$500, Result_Database!AF$2:AF$500),
  _xlfn.IFNA(_xlpm.result, "")
)</f>
        <v/>
      </c>
      <c r="AH499" t="str">
        <f>_xlfn.LET(
  _xlpm.result, _xlfn.XLOOKUP($B499, Result_Database!$A$2:$A$500, Result_Database!AG$2:AG$500),
  _xlfn.IFNA(_xlpm.result, "")
)</f>
        <v/>
      </c>
      <c r="AI499" t="str">
        <f>_xlfn.LET(
  _xlpm.result, _xlfn.XLOOKUP($B499, Result_Database!$A$2:$A$500, Result_Database!AH$2:AH$500),
  _xlfn.IFNA(_xlpm.result, "")
)</f>
        <v/>
      </c>
      <c r="AJ499" t="str">
        <f>_xlfn.LET(
  _xlpm.result, _xlfn.XLOOKUP($B499, Result_Database!$A$2:$A$500, Result_Database!AI$2:AI$500),
  _xlfn.IFNA(_xlpm.result, "")
)</f>
        <v/>
      </c>
      <c r="AK499" t="str">
        <f>_xlfn.LET(
  _xlpm.result, _xlfn.XLOOKUP($B499, Result_Database!$A$2:$A$500, Result_Database!AJ$2:AJ$500),
  _xlfn.IFNA(_xlpm.result, "")
)</f>
        <v/>
      </c>
      <c r="AL499" t="str">
        <f>_xlfn.LET(
  _xlpm.result, _xlfn.XLOOKUP($B499, Result_Database!$A$2:$A$500, Result_Database!AK$2:AK$500),
  _xlfn.IFNA(_xlpm.result, "")
)</f>
        <v/>
      </c>
      <c r="AM499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499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499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499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499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499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499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499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499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499" t="str">
        <f>IF(SUM(Table5[[#This Row],[A1]:[C6]])&lt;&gt;0,SUM(Table5[[#This Row],[A1]:[C6]]),"")</f>
        <v/>
      </c>
      <c r="AW499" t="str">
        <f>IF(SUM(Table5[[#This Row],[D7]:[F9]])=0,"",SUM(Table5[[#This Row],[D7]:[F9]]))</f>
        <v/>
      </c>
      <c r="AX499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499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499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499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499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499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499" t="str">
        <f>IF(COUNTIF(Table5[[#This Row],[English Language]:[Electrical/ Electronics]],"WITHHELD")=0,"",COUNTIF(Table5[[#This Row],[English Language]:[Electrical/ Electronics]],"WITHHELD"))</f>
        <v/>
      </c>
      <c r="BE499" t="str">
        <f>IF(SUM(Table5[[#This Row],[NO OF CREDITS]:[BELOW CREDITS]])=0,"",SUM(Table5[[#This Row],[NO OF CREDITS]:[BELOW CREDITS]]))</f>
        <v/>
      </c>
    </row>
    <row r="500" spans="1:57" x14ac:dyDescent="0.3">
      <c r="A500" t="str">
        <f>IF(B500&lt;&gt;"",COUNTA($B$6:B500),"")</f>
        <v/>
      </c>
      <c r="B500" t="str">
        <f>IF(Result_Database!A496="","",Result_Database!A496)</f>
        <v/>
      </c>
      <c r="C500" t="str">
        <f>_xlfn.LET(
_xlpm.result,_xlfn.XLOOKUP($B500,Result_Database!$A$2:$A$500,Result_Database!$B$2:$B$500),
_xlfn.IFNA(_xlpm.result,"")
)</f>
        <v/>
      </c>
      <c r="D500" t="str">
        <f>_xlfn.LET(
  _xlpm.result, _xlfn.XLOOKUP($B500, Result_Database!$A$2:$A$500, Result_Database!C$2:C$500),
  _xlfn.IFNA(_xlpm.result, "")
)</f>
        <v/>
      </c>
      <c r="E500" t="str">
        <f>_xlfn.LET(
  _xlpm.result, _xlfn.XLOOKUP($B500, Result_Database!$A$2:$A$500, Result_Database!D$2:D$500),
  _xlfn.IFNA(_xlpm.result, "")
)</f>
        <v/>
      </c>
      <c r="F500" t="str">
        <f>_xlfn.LET(
  _xlpm.result, _xlfn.XLOOKUP($B500, Result_Database!$A$2:$A$500, Result_Database!E$2:E$500),
  _xlfn.IFNA(_xlpm.result, "")
)</f>
        <v/>
      </c>
      <c r="G500" t="str">
        <f>_xlfn.LET(
  _xlpm.result, _xlfn.XLOOKUP($B500, Result_Database!$A$2:$A$500, Result_Database!F$2:F$500),
  _xlfn.IFNA(_xlpm.result, "")
)</f>
        <v/>
      </c>
      <c r="H500" t="str">
        <f>_xlfn.LET(
  _xlpm.result, _xlfn.XLOOKUP($B500, Result_Database!$A$2:$A$500, Result_Database!G$2:G$500),
  _xlfn.IFNA(_xlpm.result, "")
)</f>
        <v/>
      </c>
      <c r="I500" t="str">
        <f>_xlfn.LET(
  _xlpm.result, _xlfn.XLOOKUP($B500, Result_Database!$A$2:$A$500, Result_Database!H$2:H$500),
  _xlfn.IFNA(_xlpm.result, "")
)</f>
        <v/>
      </c>
      <c r="J500" t="str">
        <f>_xlfn.LET(
  _xlpm.result, _xlfn.XLOOKUP($B500, Result_Database!$A$2:$A$500, Result_Database!I$2:I$500),
  _xlfn.IFNA(_xlpm.result, "")
)</f>
        <v/>
      </c>
      <c r="K500" t="str">
        <f>_xlfn.LET(
  _xlpm.result, _xlfn.XLOOKUP($B500, Result_Database!$A$2:$A$500, Result_Database!J$2:J$500),
  _xlfn.IFNA(_xlpm.result, "")
)</f>
        <v/>
      </c>
      <c r="L500" t="str">
        <f>_xlfn.LET(
  _xlpm.result, _xlfn.XLOOKUP($B500, Result_Database!$A$2:$A$500, Result_Database!K$2:K$500),
  _xlfn.IFNA(_xlpm.result, "")
)</f>
        <v/>
      </c>
      <c r="M500" t="str">
        <f>_xlfn.LET(
  _xlpm.result, _xlfn.XLOOKUP($B500, Result_Database!$A$2:$A$500, Result_Database!L$2:L$500),
  _xlfn.IFNA(_xlpm.result, "")
)</f>
        <v/>
      </c>
      <c r="N500" t="str">
        <f>_xlfn.LET(
  _xlpm.result, _xlfn.XLOOKUP($B500, Result_Database!$A$2:$A$500, Result_Database!M$2:M$500),
  _xlfn.IFNA(_xlpm.result, "")
)</f>
        <v/>
      </c>
      <c r="O500" t="str">
        <f>_xlfn.LET(
  _xlpm.result, _xlfn.XLOOKUP($B500, Result_Database!$A$2:$A$500, Result_Database!N$2:N$500),
  _xlfn.IFNA(_xlpm.result, "")
)</f>
        <v/>
      </c>
      <c r="P500" t="str">
        <f>_xlfn.LET(
  _xlpm.result, _xlfn.XLOOKUP($B500, Result_Database!$A$2:$A$500, Result_Database!O$2:O$500),
  _xlfn.IFNA(_xlpm.result, "")
)</f>
        <v/>
      </c>
      <c r="Q500" t="str">
        <f>_xlfn.LET(
  _xlpm.result, _xlfn.XLOOKUP($B500, Result_Database!$A$2:$A$500, Result_Database!P$2:P$500),
  _xlfn.IFNA(_xlpm.result, "")
)</f>
        <v/>
      </c>
      <c r="R500" t="str">
        <f>_xlfn.LET(
  _xlpm.result, _xlfn.XLOOKUP($B500, Result_Database!$A$2:$A$500, Result_Database!Q$2:Q$500),
  _xlfn.IFNA(_xlpm.result, "")
)</f>
        <v/>
      </c>
      <c r="S500" t="str">
        <f>_xlfn.LET(
  _xlpm.result, _xlfn.XLOOKUP($B500, Result_Database!$A$2:$A$500, Result_Database!R$2:R$500),
  _xlfn.IFNA(_xlpm.result, "")
)</f>
        <v/>
      </c>
      <c r="T500" t="str">
        <f>_xlfn.LET(
  _xlpm.result, _xlfn.XLOOKUP($B500, Result_Database!$A$2:$A$500, Result_Database!S$2:S$500),
  _xlfn.IFNA(_xlpm.result, "")
)</f>
        <v/>
      </c>
      <c r="U500" t="str">
        <f>_xlfn.LET(
  _xlpm.result, _xlfn.XLOOKUP($B500, Result_Database!$A$2:$A$500, Result_Database!T$2:T$500),
  _xlfn.IFNA(_xlpm.result, "")
)</f>
        <v/>
      </c>
      <c r="V500" t="str">
        <f>_xlfn.LET(
  _xlpm.result, _xlfn.XLOOKUP($B500, Result_Database!$A$2:$A$500, Result_Database!U$2:U$500),
  _xlfn.IFNA(_xlpm.result, "")
)</f>
        <v/>
      </c>
      <c r="W500" t="str">
        <f>_xlfn.LET(
  _xlpm.result, _xlfn.XLOOKUP($B500, Result_Database!$A$2:$A$500, Result_Database!V$2:V$500),
  _xlfn.IFNA(_xlpm.result, "")
)</f>
        <v/>
      </c>
      <c r="X500" t="str">
        <f>_xlfn.LET(
  _xlpm.result, _xlfn.XLOOKUP($B500, Result_Database!$A$2:$A$500, Result_Database!W$2:W$500),
  _xlfn.IFNA(_xlpm.result, "")
)</f>
        <v/>
      </c>
      <c r="Y500" t="str">
        <f>_xlfn.LET(
  _xlpm.result, _xlfn.XLOOKUP($B500, Result_Database!$A$2:$A$500, Result_Database!X$2:X$500),
  _xlfn.IFNA(_xlpm.result, "")
)</f>
        <v/>
      </c>
      <c r="Z500" t="str">
        <f>_xlfn.LET(
  _xlpm.result, _xlfn.XLOOKUP($B500, Result_Database!$A$2:$A$500, Result_Database!Y$2:Y$500),
  _xlfn.IFNA(_xlpm.result, "")
)</f>
        <v/>
      </c>
      <c r="AA500" t="str">
        <f>_xlfn.LET(
  _xlpm.result, _xlfn.XLOOKUP($B500, Result_Database!$A$2:$A$500, Result_Database!Z$2:Z$500),
  _xlfn.IFNA(_xlpm.result, "")
)</f>
        <v/>
      </c>
      <c r="AB500" t="str">
        <f>_xlfn.LET(
  _xlpm.result, _xlfn.XLOOKUP($B500, Result_Database!$A$2:$A$500, Result_Database!AA$2:AA$500),
  _xlfn.IFNA(_xlpm.result, "")
)</f>
        <v/>
      </c>
      <c r="AC500" t="str">
        <f>_xlfn.LET(
  _xlpm.result, _xlfn.XLOOKUP($B500, Result_Database!$A$2:$A$500, Result_Database!AB$2:AB$500),
  _xlfn.IFNA(_xlpm.result, "")
)</f>
        <v/>
      </c>
      <c r="AD500" t="str">
        <f>_xlfn.LET(
  _xlpm.result, _xlfn.XLOOKUP($B500, Result_Database!$A$2:$A$500, Result_Database!AC$2:AC$500),
  _xlfn.IFNA(_xlpm.result, "")
)</f>
        <v/>
      </c>
      <c r="AE500" t="str">
        <f>_xlfn.LET(
  _xlpm.result, _xlfn.XLOOKUP($B500, Result_Database!$A$2:$A$500, Result_Database!AD$2:AD$500),
  _xlfn.IFNA(_xlpm.result, "")
)</f>
        <v/>
      </c>
      <c r="AF500" t="str">
        <f>_xlfn.LET(
  _xlpm.result, _xlfn.XLOOKUP($B500, Result_Database!$A$2:$A$500, Result_Database!AE$2:AE$500),
  _xlfn.IFNA(_xlpm.result, "")
)</f>
        <v/>
      </c>
      <c r="AG500" t="str">
        <f>_xlfn.LET(
  _xlpm.result, _xlfn.XLOOKUP($B500, Result_Database!$A$2:$A$500, Result_Database!AF$2:AF$500),
  _xlfn.IFNA(_xlpm.result, "")
)</f>
        <v/>
      </c>
      <c r="AH500" t="str">
        <f>_xlfn.LET(
  _xlpm.result, _xlfn.XLOOKUP($B500, Result_Database!$A$2:$A$500, Result_Database!AG$2:AG$500),
  _xlfn.IFNA(_xlpm.result, "")
)</f>
        <v/>
      </c>
      <c r="AI500" t="str">
        <f>_xlfn.LET(
  _xlpm.result, _xlfn.XLOOKUP($B500, Result_Database!$A$2:$A$500, Result_Database!AH$2:AH$500),
  _xlfn.IFNA(_xlpm.result, "")
)</f>
        <v/>
      </c>
      <c r="AJ500" t="str">
        <f>_xlfn.LET(
  _xlpm.result, _xlfn.XLOOKUP($B500, Result_Database!$A$2:$A$500, Result_Database!AI$2:AI$500),
  _xlfn.IFNA(_xlpm.result, "")
)</f>
        <v/>
      </c>
      <c r="AK500" t="str">
        <f>_xlfn.LET(
  _xlpm.result, _xlfn.XLOOKUP($B500, Result_Database!$A$2:$A$500, Result_Database!AJ$2:AJ$500),
  _xlfn.IFNA(_xlpm.result, "")
)</f>
        <v/>
      </c>
      <c r="AL500" t="str">
        <f>_xlfn.LET(
  _xlpm.result, _xlfn.XLOOKUP($B500, Result_Database!$A$2:$A$500, Result_Database!AK$2:AK$500),
  _xlfn.IFNA(_xlpm.result, "")
)</f>
        <v/>
      </c>
      <c r="AM500" t="str">
        <f>_xlfn.LET(
    _xlpm.grade_to_count, Table5[[#Headers],[A1]],
    _xlpm.grade_count, COUNTIF(Table5[[#This Row],[English Language]:[Electrical/ Electronics]], _xlpm.grade_to_count),
    IF(_xlpm.grade_count=0, "", _xlpm.grade_count)
)</f>
        <v/>
      </c>
      <c r="AN500" t="str">
        <f>_xlfn.LET(
    _xlpm.grade_to_count, Table5[[#Headers],[B2]],
    _xlpm.grade_count, COUNTIF(Table5[[#This Row],[English Language]:[Electrical/ Electronics]], _xlpm.grade_to_count),
    IF(_xlpm.grade_count=0, "", _xlpm.grade_count)
)</f>
        <v/>
      </c>
      <c r="AO500" t="str">
        <f>_xlfn.LET(
    _xlpm.grade_to_count, Table5[[#Headers],[B3]],
    _xlpm.grade_count, COUNTIF(Table5[[#This Row],[English Language]:[Electrical/ Electronics]], _xlpm.grade_to_count),
    IF(_xlpm.grade_count=0, "", _xlpm.grade_count)
)</f>
        <v/>
      </c>
      <c r="AP500" t="str">
        <f>_xlfn.LET(
    _xlpm.grade_to_count, Table5[[#Headers],[C4]],
    _xlpm.grade_count, COUNTIF(Table5[[#This Row],[English Language]:[Electrical/ Electronics]], _xlpm.grade_to_count),
    IF(_xlpm.grade_count=0, "", _xlpm.grade_count)
)</f>
        <v/>
      </c>
      <c r="AQ500" t="str">
        <f>_xlfn.LET(
    _xlpm.grade_to_count, Table5[[#Headers],[C5]],
    _xlpm.grade_count, COUNTIF(Table5[[#This Row],[English Language]:[Electrical/ Electronics]], _xlpm.grade_to_count),
    IF(_xlpm.grade_count=0, "", _xlpm.grade_count)
)</f>
        <v/>
      </c>
      <c r="AR500" t="str">
        <f>_xlfn.LET(
    _xlpm.grade_to_count, Table5[[#Headers],[C6]],
    _xlpm.grade_count, COUNTIF(Table5[[#This Row],[English Language]:[Electrical/ Electronics]], _xlpm.grade_to_count),
    IF(_xlpm.grade_count=0, "", _xlpm.grade_count)
)</f>
        <v/>
      </c>
      <c r="AS500" t="str">
        <f>_xlfn.LET(
    _xlpm.grade_to_count, Table5[[#Headers],[D7]],
    _xlpm.grade_count, COUNTIF(Table5[[#This Row],[English Language]:[Electrical/ Electronics]], _xlpm.grade_to_count),
    IF(_xlpm.grade_count=0, "", _xlpm.grade_count)
)</f>
        <v/>
      </c>
      <c r="AT500" t="str">
        <f>_xlfn.LET(
    _xlpm.grade_to_count, Table5[[#Headers],[E8]],
    _xlpm.grade_count, COUNTIF(Table5[[#This Row],[English Language]:[Electrical/ Electronics]], _xlpm.grade_to_count),
    IF(_xlpm.grade_count=0, "", _xlpm.grade_count)
)</f>
        <v/>
      </c>
      <c r="AU500" t="str">
        <f>_xlfn.LET(
    _xlpm.grade_to_count, Table5[[#Headers],[F9]],
    _xlpm.grade_count, COUNTIF(Table5[[#This Row],[English Language]:[Electrical/ Electronics]], _xlpm.grade_to_count),
    IF(_xlpm.grade_count=0, "", _xlpm.grade_count)
)</f>
        <v/>
      </c>
      <c r="AV500" t="str">
        <f>IF(SUM(Table5[[#This Row],[A1]:[C6]])&lt;&gt;0,SUM(Table5[[#This Row],[A1]:[C6]]),"")</f>
        <v/>
      </c>
      <c r="AW500" t="str">
        <f>IF(SUM(Table5[[#This Row],[D7]:[F9]])=0,"",SUM(Table5[[#This Row],[D7]:[F9]]))</f>
        <v/>
      </c>
      <c r="AX500" t="str">
        <f>IF(
   AND(
     ISNA(MATCH(Table5[[#This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AY500" t="str">
        <f>IF(
   AND(
     ISNA(MATCH(Table5[[#This Row],[English Language]], {"D7","E8","F9","ABS","WITHHELD",""}, 0)),
     ISNUMBER(MATCH(Table5[[#This Row],[Mathematics]], {"D7","E8","F9","ABS","WITHHELD",""}, 0)),
     Table5[[#This Row],[NO OF CREDITS]] &gt; 4
   ),
   "PASS",
   ""
)</f>
        <v/>
      </c>
      <c r="AZ500" t="str">
        <f>IF(
   AND(
     ISNUMBER(MATCH(Table5[[#This Row],[English Language]], {"D7","E8","F9","ABS","WITHHELD",""}, 0)),
     ISNA(MATCH(Table5[[#This Row],[Mathematics]], {"D7","E8","F9","ABS","WITHHELD",""}, 0)),
     Table5[[#This Row],[NO OF CREDITS]] &gt; 4
   ),
   "PASS",
   ""
)</f>
        <v/>
      </c>
      <c r="BA500" t="str">
        <f>IF(
   AND(
     ISNA(MATCH(Table5[[#This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B500" t="str">
        <f>IF(
   AND(
     ISNA(MATCH(Table5[[#This Row],[English Language]], {"D7","E8","F9","ABS","WITHHELD",""}, 0)),
     ISNUMBER(MATCH(Table5[[#This Row],[Mathematics]], {"D7","E8","F9","ABS","WITHHELD",""}, 0)),
     Table5[[#This Row],[NO OF CREDITS]] = 4
   ),
   "PASS",
   ""
)</f>
        <v/>
      </c>
      <c r="BC500" t="str">
        <f>IF(
   AND(
     ISNUMBER(MATCH(Table5[[#This Row],[English Language]], {"D7","E8","F9","ABS","WITHHELD",""}, 0)),
     ISNA(MATCH(Table5[[#This Row],[Mathematics]], {"D7","E8","F9","ABS","WITHHELD",""}, 0)),
     Table5[[#This Row],[NO OF CREDITS]] = 4
   ),
   "PASS",
   ""
)</f>
        <v/>
      </c>
      <c r="BD500" t="str">
        <f>IF(COUNTIF(Table5[[#This Row],[English Language]:[Electrical/ Electronics]],"WITHHELD")=0,"",COUNTIF(Table5[[#This Row],[English Language]:[Electrical/ Electronics]],"WITHHELD"))</f>
        <v/>
      </c>
      <c r="BE500" t="str">
        <f>IF(SUM(Table5[[#This Row],[NO OF CREDITS]:[BELOW CREDITS]])=0,"",SUM(Table5[[#This Row],[NO OF CREDITS]:[BELOW CREDITS]]))</f>
        <v/>
      </c>
    </row>
  </sheetData>
  <mergeCells count="4">
    <mergeCell ref="A1:BE1"/>
    <mergeCell ref="A2:BE2"/>
    <mergeCell ref="A3:BE3"/>
    <mergeCell ref="A4:BE4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2CCF8-2A7A-46D5-B583-EB9C3D9BF621}">
  <dimension ref="A4:AN7"/>
  <sheetViews>
    <sheetView topLeftCell="F1" workbookViewId="0">
      <selection activeCell="AC7" sqref="AC7"/>
    </sheetView>
  </sheetViews>
  <sheetFormatPr defaultRowHeight="14.4" x14ac:dyDescent="0.3"/>
  <sheetData>
    <row r="4" spans="1:40" ht="15" thickBot="1" x14ac:dyDescent="0.35"/>
    <row r="5" spans="1:40" ht="80.400000000000006" customHeight="1" thickBot="1" x14ac:dyDescent="0.35">
      <c r="A5" s="31" t="s">
        <v>75</v>
      </c>
      <c r="B5" s="29"/>
      <c r="C5" s="30"/>
      <c r="D5" s="28" t="s">
        <v>76</v>
      </c>
      <c r="E5" s="29"/>
      <c r="F5" s="30"/>
      <c r="G5" s="28" t="s">
        <v>77</v>
      </c>
      <c r="H5" s="29"/>
      <c r="I5" s="30"/>
      <c r="J5" s="28" t="s">
        <v>78</v>
      </c>
      <c r="K5" s="29"/>
      <c r="L5" s="30"/>
      <c r="M5" s="28" t="s">
        <v>79</v>
      </c>
      <c r="N5" s="29"/>
      <c r="O5" s="30"/>
      <c r="P5" s="28" t="s">
        <v>80</v>
      </c>
      <c r="Q5" s="29"/>
      <c r="R5" s="30"/>
      <c r="S5" s="28" t="s">
        <v>81</v>
      </c>
      <c r="T5" s="29"/>
      <c r="U5" s="30"/>
      <c r="V5" s="28" t="s">
        <v>82</v>
      </c>
      <c r="W5" s="29"/>
      <c r="X5" s="30"/>
      <c r="Y5" s="28" t="s">
        <v>83</v>
      </c>
      <c r="Z5" s="29"/>
      <c r="AA5" s="30"/>
      <c r="AB5" s="28" t="s">
        <v>84</v>
      </c>
      <c r="AC5" s="29"/>
      <c r="AD5" s="30"/>
      <c r="AE5" s="28" t="s">
        <v>85</v>
      </c>
      <c r="AF5" s="29"/>
      <c r="AG5" s="30"/>
      <c r="AH5" s="28" t="s">
        <v>86</v>
      </c>
      <c r="AI5" s="29"/>
      <c r="AJ5" s="30"/>
      <c r="AK5" s="28" t="s">
        <v>87</v>
      </c>
      <c r="AL5" s="29"/>
      <c r="AM5" s="30"/>
      <c r="AN5" s="6" t="s">
        <v>88</v>
      </c>
    </row>
    <row r="6" spans="1:40" ht="16.2" thickBot="1" x14ac:dyDescent="0.35">
      <c r="A6" s="10" t="s">
        <v>64</v>
      </c>
      <c r="B6" s="9" t="s">
        <v>55</v>
      </c>
      <c r="C6" s="7" t="s">
        <v>89</v>
      </c>
      <c r="D6" s="7" t="s">
        <v>64</v>
      </c>
      <c r="E6" s="7" t="s">
        <v>55</v>
      </c>
      <c r="F6" s="7" t="s">
        <v>89</v>
      </c>
      <c r="G6" s="7" t="s">
        <v>64</v>
      </c>
      <c r="H6" s="7" t="s">
        <v>55</v>
      </c>
      <c r="I6" s="7" t="s">
        <v>89</v>
      </c>
      <c r="J6" s="7" t="s">
        <v>64</v>
      </c>
      <c r="K6" s="7" t="s">
        <v>55</v>
      </c>
      <c r="L6" s="7" t="s">
        <v>89</v>
      </c>
      <c r="M6" s="7" t="s">
        <v>64</v>
      </c>
      <c r="N6" s="7" t="s">
        <v>55</v>
      </c>
      <c r="O6" s="7" t="s">
        <v>89</v>
      </c>
      <c r="P6" s="7" t="s">
        <v>64</v>
      </c>
      <c r="Q6" s="7" t="s">
        <v>55</v>
      </c>
      <c r="R6" s="7" t="s">
        <v>89</v>
      </c>
      <c r="S6" s="7" t="s">
        <v>64</v>
      </c>
      <c r="T6" s="7" t="s">
        <v>55</v>
      </c>
      <c r="U6" s="7" t="s">
        <v>89</v>
      </c>
      <c r="V6" s="7" t="s">
        <v>64</v>
      </c>
      <c r="W6" s="7" t="s">
        <v>55</v>
      </c>
      <c r="X6" s="7" t="s">
        <v>89</v>
      </c>
      <c r="Y6" s="7" t="s">
        <v>64</v>
      </c>
      <c r="Z6" s="7" t="s">
        <v>55</v>
      </c>
      <c r="AA6" s="7" t="s">
        <v>89</v>
      </c>
      <c r="AB6" s="7" t="s">
        <v>64</v>
      </c>
      <c r="AC6" s="7" t="s">
        <v>55</v>
      </c>
      <c r="AD6" s="7" t="s">
        <v>89</v>
      </c>
      <c r="AE6" s="7" t="s">
        <v>64</v>
      </c>
      <c r="AF6" s="7" t="s">
        <v>55</v>
      </c>
      <c r="AG6" s="7" t="s">
        <v>89</v>
      </c>
      <c r="AH6" s="7" t="s">
        <v>64</v>
      </c>
      <c r="AI6" s="7" t="s">
        <v>55</v>
      </c>
      <c r="AJ6" s="7" t="s">
        <v>89</v>
      </c>
      <c r="AK6" s="7" t="s">
        <v>64</v>
      </c>
      <c r="AL6" s="7" t="s">
        <v>55</v>
      </c>
      <c r="AM6" s="7" t="s">
        <v>89</v>
      </c>
      <c r="AN6" s="8"/>
    </row>
    <row r="7" spans="1:40" x14ac:dyDescent="0.3">
      <c r="A7" t="str">
        <f>IF(Entry_Sheet!D6="","",Entry_Sheet!D6)</f>
        <v/>
      </c>
      <c r="B7" t="str">
        <f>IF(Entry_Sheet!D7="","",Entry_Sheet!D7)</f>
        <v/>
      </c>
      <c r="C7" t="str">
        <f>IF(Entry_Sheet!D8="","",Entry_Sheet!D8)</f>
        <v/>
      </c>
      <c r="D7">
        <f>COUNTIF(Table5[GENDER],"M")</f>
        <v>0</v>
      </c>
      <c r="E7">
        <f>COUNTIF(Table5[GENDER],"F")</f>
        <v>0</v>
      </c>
      <c r="F7" t="str">
        <f>IF((D7+E7)=0,"",D7+E7)</f>
        <v/>
      </c>
      <c r="G7" t="str">
        <f>IFERROR(A7-D7,"")</f>
        <v/>
      </c>
      <c r="H7" t="str">
        <f>IFERROR(B7-E7,"")</f>
        <v/>
      </c>
      <c r="I7" t="str">
        <f>IFERROR(C7-F7,"")</f>
        <v/>
      </c>
      <c r="J7" t="str">
        <f>_xlfn.LET(
    _xlpm.gender, "M",
    _xlpm.category_col, Table5[5 CREDITS WITH MATHS AND ENGLISH],
    _xlpm.count_pass, COUNTIFS(Table5[GENDER], _xlpm.gender, _xlpm.category_col, "PASS"),
    IF(_xlpm.count_pass=0, "", _xlpm.count_pass)
)</f>
        <v/>
      </c>
      <c r="K7" t="str">
        <f>_xlfn.LET(
    _xlpm.gender, "F",
    _xlpm.category_col, Table5[5 CREDITS WITH MATHS AND ENGLISH],
    _xlpm.count_pass, COUNTIFS(Table5[GENDER], _xlpm.gender, _xlpm.category_col, "PASS"),
    IF(_xlpm.count_pass=0, "", _xlpm.count_pass)
)</f>
        <v/>
      </c>
      <c r="L7" t="str">
        <f>IFERROR(J7+K7,"")</f>
        <v/>
      </c>
      <c r="M7" t="str">
        <f>_xlfn.LET(
    _xlpm.gender, "M",
    _xlpm.category_col, Table5[5 CREDITS WITH ENGLISH ONLY],
    _xlpm.count_pass, COUNTIFS(Table5[GENDER], _xlpm.gender, _xlpm.category_col, "PASS"),
    IF(_xlpm.count_pass=0, "", _xlpm.count_pass)
)</f>
        <v/>
      </c>
      <c r="N7" t="str">
        <f>_xlfn.LET(
    _xlpm.gender, "F",
    _xlpm.category_col, Table5[5 CREDITS WITH ENGLISH ONLY],
    _xlpm.count_pass, COUNTIFS(Table5[GENDER], _xlpm.gender, _xlpm.category_col, "PASS"),
    IF(_xlpm.count_pass=0, "", _xlpm.count_pass)
)</f>
        <v/>
      </c>
      <c r="O7" t="str">
        <f>IFERROR(M7+N7,"")</f>
        <v/>
      </c>
      <c r="P7" t="str">
        <f>_xlfn.LET(
    _xlpm.gender, "M",
    _xlpm.category_col, Table5[5 CREDITS WITH MATHS ONLY],
    _xlpm.count_pass, COUNTIFS(Table5[GENDER], _xlpm.gender, _xlpm.category_col, "PASS"),
    IF(_xlpm.count_pass=0, "", _xlpm.count_pass)
)</f>
        <v/>
      </c>
      <c r="Q7" t="str">
        <f>_xlfn.LET(
    _xlpm.gender, "F",
    _xlpm.category_col, Table5[5 CREDITS WITH MATHS ONLY],
    _xlpm.count_pass, COUNTIFS(Table5[GENDER], _xlpm.gender, _xlpm.category_col, "PASS"),
    IF(_xlpm.count_pass=0, "", _xlpm.count_pass)
)</f>
        <v/>
      </c>
      <c r="R7" t="str">
        <f>IFERROR(P7+Q7,"")</f>
        <v/>
      </c>
      <c r="S7" t="str">
        <f>_xlfn.LET(
    _xlpm.gender, "M",
    _xlpm.category_col, Table5[4 CREDITS WITH MATHS AND ENGLISH],
    _xlpm.count_pass, COUNTIFS(Table5[GENDER], _xlpm.gender, _xlpm.category_col, "PASS"),
    IF(_xlpm.count_pass=0, "", _xlpm.count_pass)
)</f>
        <v/>
      </c>
      <c r="T7" t="str">
        <f>_xlfn.LET(
    _xlpm.gender, "F",
    _xlpm.category_col, Table5[4 CREDITS WITH MATHS AND ENGLISH],
    _xlpm.count_pass, COUNTIFS(Table5[GENDER], _xlpm.gender, _xlpm.category_col, "PASS"),
    IF(_xlpm.count_pass=0, "", _xlpm.count_pass)
)</f>
        <v/>
      </c>
      <c r="U7" t="str">
        <f>IFERROR(S7+T7,"")</f>
        <v/>
      </c>
      <c r="V7" t="str">
        <f>_xlfn.LET(
    _xlpm.gender, "M",
    _xlpm.category_col, Table5[4 CREDITS WITH ENGLISH ONLY],
    _xlpm.count_pass, COUNTIFS(Table5[GENDER], _xlpm.gender, _xlpm.category_col, "PASS"),
    IF(_xlpm.count_pass=0, "", _xlpm.count_pass)
)</f>
        <v/>
      </c>
      <c r="W7" t="str">
        <f>_xlfn.LET(
    _xlpm.gender, "F",
    _xlpm.category_col, Table5[4 CREDITS WITH ENGLISH ONLY],
    _xlpm.count_pass, COUNTIFS(Table5[GENDER], _xlpm.gender, _xlpm.category_col, "PASS"),
    IF(_xlpm.count_pass=0, "", _xlpm.count_pass)
)</f>
        <v/>
      </c>
      <c r="X7" t="str">
        <f>IFERROR(V7+W7,"")</f>
        <v/>
      </c>
      <c r="Y7" t="str">
        <f>_xlfn.LET(
    _xlpm.gender, "M",
    _xlpm.category_col, Table5[4 CREDITS WITH MATHS ONLY],
    _xlpm.count_pass, COUNTIFS(Table5[GENDER], _xlpm.gender, _xlpm.category_col, "PASS"),
    IF(_xlpm.count_pass=0, "", _xlpm.count_pass)
)</f>
        <v/>
      </c>
      <c r="Z7" t="str">
        <f>_xlfn.LET(
    _xlpm.gender, "F",
    _xlpm.category_col, Table5[4 CREDITS WITH MATHS ONLY],
    _xlpm.count_pass, COUNTIFS(Table5[GENDER], _xlpm.gender, _xlpm.category_col, "PASS"),
    IF(_xlpm.count_pass=0, "", _xlpm.count_pass)
)</f>
        <v/>
      </c>
      <c r="AA7" t="str">
        <f>IFERROR(Y7+Z7,"")</f>
        <v/>
      </c>
      <c r="AB7">
        <f>COUNTIFS(Table5[GENDER],"M",Table5[NO OF CREDITS],"&lt;4")</f>
        <v>0</v>
      </c>
      <c r="AC7">
        <f>COUNTIFS(Table5[GENDER],"F",Table5[NO OF CREDITS],"&lt;4")</f>
        <v>0</v>
      </c>
      <c r="AD7">
        <f>IFERROR(AB7+AC7,"")</f>
        <v>0</v>
      </c>
      <c r="AE7">
        <f>SUMIF(Table5[GENDER],"M",Table5[WITHHELD RESULTS])</f>
        <v>0</v>
      </c>
      <c r="AF7">
        <f>SUMIF(Table5[GENDER],"F",Table5[WITHHELD RESULTS])</f>
        <v>0</v>
      </c>
      <c r="AG7">
        <f>IFERROR(AE7+AF7,"")</f>
        <v>0</v>
      </c>
      <c r="AH7">
        <f>SUMIF(Table5[GENDER],"M",Table5[NO RELEASED])</f>
        <v>0</v>
      </c>
      <c r="AI7">
        <f>SUMIF(Table5[GENDER],"F",Table5[NO RELEASED])</f>
        <v>0</v>
      </c>
      <c r="AJ7">
        <f>AH7+AI7</f>
        <v>0</v>
      </c>
      <c r="AK7" s="13" t="e">
        <f>J7/D7</f>
        <v>#VALUE!</v>
      </c>
      <c r="AL7" s="13" t="e">
        <f>K7/E7</f>
        <v>#VALUE!</v>
      </c>
      <c r="AM7" s="13" t="e">
        <f>AK7+AL7</f>
        <v>#VALUE!</v>
      </c>
      <c r="AN7" s="13" t="e">
        <f>L7/F7</f>
        <v>#VALUE!</v>
      </c>
    </row>
  </sheetData>
  <mergeCells count="13">
    <mergeCell ref="P5:R5"/>
    <mergeCell ref="A5:C5"/>
    <mergeCell ref="D5:F5"/>
    <mergeCell ref="G5:I5"/>
    <mergeCell ref="J5:L5"/>
    <mergeCell ref="M5:O5"/>
    <mergeCell ref="AK5:AM5"/>
    <mergeCell ref="S5:U5"/>
    <mergeCell ref="V5:X5"/>
    <mergeCell ref="Y5:AA5"/>
    <mergeCell ref="AB5:AD5"/>
    <mergeCell ref="AE5:AG5"/>
    <mergeCell ref="AH5:AJ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05B79-336C-4C9F-9846-8989E5EE7E23}">
  <sheetPr codeName="Sheet1"/>
  <dimension ref="A1:P512"/>
  <sheetViews>
    <sheetView tabSelected="1" workbookViewId="0">
      <selection activeCell="S9" sqref="S9"/>
    </sheetView>
  </sheetViews>
  <sheetFormatPr defaultRowHeight="14.4" x14ac:dyDescent="0.3"/>
  <cols>
    <col min="1" max="1" width="16.33203125" customWidth="1"/>
    <col min="2" max="2" width="18.77734375" bestFit="1" customWidth="1"/>
    <col min="3" max="3" width="12.109375" customWidth="1"/>
    <col min="4" max="4" width="12.21875" customWidth="1"/>
    <col min="5" max="5" width="5.6640625" bestFit="1" customWidth="1"/>
    <col min="6" max="12" width="5.21875" bestFit="1" customWidth="1"/>
    <col min="13" max="13" width="3.5546875" bestFit="1" customWidth="1"/>
    <col min="14" max="14" width="11.109375" customWidth="1"/>
    <col min="15" max="15" width="8.21875" style="13" bestFit="1" customWidth="1"/>
    <col min="16" max="16" width="8" style="13" bestFit="1" customWidth="1"/>
  </cols>
  <sheetData>
    <row r="1" spans="1:16" ht="82.2" thickBot="1" x14ac:dyDescent="0.55000000000000004">
      <c r="A1" t="s">
        <v>46</v>
      </c>
      <c r="B1" t="s">
        <v>47</v>
      </c>
      <c r="C1" s="14" t="s">
        <v>94</v>
      </c>
      <c r="D1" s="14" t="s">
        <v>95</v>
      </c>
      <c r="E1" s="15" t="s">
        <v>2</v>
      </c>
      <c r="F1" s="16" t="s">
        <v>3</v>
      </c>
      <c r="G1" s="17" t="s">
        <v>4</v>
      </c>
      <c r="H1" s="18" t="s">
        <v>5</v>
      </c>
      <c r="I1" s="19" t="s">
        <v>6</v>
      </c>
      <c r="J1" s="20" t="s">
        <v>7</v>
      </c>
      <c r="K1" s="21" t="s">
        <v>8</v>
      </c>
      <c r="L1" s="22" t="s">
        <v>9</v>
      </c>
      <c r="M1" s="23" t="s">
        <v>10</v>
      </c>
      <c r="N1" s="24" t="s">
        <v>96</v>
      </c>
      <c r="O1" s="25" t="s">
        <v>87</v>
      </c>
      <c r="P1" s="25" t="s">
        <v>97</v>
      </c>
    </row>
    <row r="2" spans="1:16" x14ac:dyDescent="0.3">
      <c r="A2">
        <v>1</v>
      </c>
      <c r="B2" t="s">
        <v>11</v>
      </c>
      <c r="D2" cm="1">
        <f t="array" ref="D2">SUMPRODUCT(
  --(INDEX(Analysis!$D$6:$AL$500,,MATCH($B2,Analysis!$D$5:$AL$5,0))&lt;&gt;""),
  --(INDEX(Analysis!$D$6:$AL$500,,MATCH($B2,Analysis!$D$5:$AL$5,0))&lt;&gt;"ABS")
)</f>
        <v>0</v>
      </c>
      <c r="E2">
        <f>COUNTIF(INDEX(Analysis!$D$6:$AL$500, , MATCH($B2, Analysis!$D$5:$AL$5, 0)), E$1)</f>
        <v>0</v>
      </c>
      <c r="F2">
        <f>COUNTIF(INDEX(Analysis!$D$6:$AL$500, , MATCH($B2, Analysis!$D$5:$AL$5, 0)), F$1)</f>
        <v>0</v>
      </c>
      <c r="G2">
        <f>COUNTIF(INDEX(Analysis!$D$6:$AL$500, , MATCH($B2, Analysis!$D$5:$AL$5, 0)), G$1)</f>
        <v>0</v>
      </c>
      <c r="H2">
        <f>COUNTIF(INDEX(Analysis!$D$6:$AL$500, , MATCH($B2, Analysis!$D$5:$AL$5, 0)), H$1)</f>
        <v>0</v>
      </c>
      <c r="I2">
        <f>COUNTIF(INDEX(Analysis!$D$6:$AL$500, , MATCH($B2, Analysis!$D$5:$AL$5, 0)), I$1)</f>
        <v>0</v>
      </c>
      <c r="J2">
        <f>COUNTIF(INDEX(Analysis!$D$6:$AL$500, , MATCH($B2, Analysis!$D$5:$AL$5, 0)), J$1)</f>
        <v>0</v>
      </c>
      <c r="K2">
        <f>COUNTIF(INDEX(Analysis!$D$6:$AL$500, , MATCH($B2, Analysis!$D$5:$AL$5, 0)), K$1)</f>
        <v>0</v>
      </c>
      <c r="L2">
        <f>COUNTIF(INDEX(Analysis!$D$6:$AL$500, , MATCH($B2, Analysis!$D$5:$AL$5, 0)), L$1)</f>
        <v>0</v>
      </c>
      <c r="M2">
        <f>COUNTIF(INDEX(Analysis!$D$6:$AL$500, , MATCH($B2, Analysis!$D$5:$AL$5, 0)), M$1)</f>
        <v>0</v>
      </c>
      <c r="N2">
        <f>COUNTIF(INDEX(Analysis!$D$6:$AL$500, , MATCH($B2, Analysis!$D$5:$AL$5, 0)), N$1)</f>
        <v>0</v>
      </c>
      <c r="O2" s="13" t="str">
        <f>IFERROR(SUM(SUBJECTS[[#This Row],[A1]:[C6]])/SUBJECTS[[#This Row],[No of Present Students]],"")</f>
        <v/>
      </c>
      <c r="P2" s="13" t="str">
        <f>IFERROR(SUM(SUBJECTS[[#This Row],[D7]:[F9]])/SUBJECTS[[#This Row],[No of Present Students]],"")</f>
        <v/>
      </c>
    </row>
    <row r="3" spans="1:16" x14ac:dyDescent="0.3">
      <c r="A3">
        <v>2</v>
      </c>
      <c r="B3" t="s">
        <v>12</v>
      </c>
      <c r="D3" cm="1">
        <f t="array" ref="D3">SUMPRODUCT(
  --(INDEX(Analysis!$D$6:$AL$500,,MATCH($B3,Analysis!$D$5:$AL$5,0))&lt;&gt;""),
  --(INDEX(Analysis!$D$6:$AL$500,,MATCH($B3,Analysis!$D$5:$AL$5,0))&lt;&gt;"ABS")
)</f>
        <v>0</v>
      </c>
      <c r="E3">
        <f>COUNTIF(INDEX(Analysis!$D$6:$AL$500, , MATCH($B3, Analysis!$D$5:$AL$5, 0)), E$1)</f>
        <v>0</v>
      </c>
      <c r="F3">
        <f>COUNTIF(INDEX(Analysis!$D$6:$AL$500, , MATCH($B3, Analysis!$D$5:$AL$5, 0)), F$1)</f>
        <v>0</v>
      </c>
      <c r="G3">
        <f>COUNTIF(INDEX(Analysis!$D$6:$AL$500, , MATCH($B3, Analysis!$D$5:$AL$5, 0)), G$1)</f>
        <v>0</v>
      </c>
      <c r="H3">
        <f>COUNTIF(INDEX(Analysis!$D$6:$AL$500, , MATCH($B3, Analysis!$D$5:$AL$5, 0)), H$1)</f>
        <v>0</v>
      </c>
      <c r="I3">
        <f>COUNTIF(INDEX(Analysis!$D$6:$AL$500, , MATCH($B3, Analysis!$D$5:$AL$5, 0)), I$1)</f>
        <v>0</v>
      </c>
      <c r="J3">
        <f>COUNTIF(INDEX(Analysis!$D$6:$AL$500, , MATCH($B3, Analysis!$D$5:$AL$5, 0)), J$1)</f>
        <v>0</v>
      </c>
      <c r="K3">
        <f>COUNTIF(INDEX(Analysis!$D$6:$AL$500, , MATCH($B3, Analysis!$D$5:$AL$5, 0)), K$1)</f>
        <v>0</v>
      </c>
      <c r="L3">
        <f>COUNTIF(INDEX(Analysis!$D$6:$AL$500, , MATCH($B3, Analysis!$D$5:$AL$5, 0)), L$1)</f>
        <v>0</v>
      </c>
      <c r="M3">
        <f>COUNTIF(INDEX(Analysis!$D$6:$AL$500, , MATCH($B3, Analysis!$D$5:$AL$5, 0)), M$1)</f>
        <v>0</v>
      </c>
      <c r="N3">
        <f>COUNTIF(INDEX(Analysis!$D$6:$AL$500, , MATCH($B3, Analysis!$D$5:$AL$5, 0)), N$1)</f>
        <v>0</v>
      </c>
      <c r="O3" s="13" t="str">
        <f>IFERROR(SUM(SUBJECTS[[#This Row],[A1]:[C6]])/SUBJECTS[[#This Row],[No of Present Students]],"")</f>
        <v/>
      </c>
      <c r="P3" s="13" t="str">
        <f>IFERROR(SUM(SUBJECTS[[#This Row],[D7]:[F9]])/SUBJECTS[[#This Row],[No of Present Students]],"")</f>
        <v/>
      </c>
    </row>
    <row r="4" spans="1:16" x14ac:dyDescent="0.3">
      <c r="A4">
        <v>3</v>
      </c>
      <c r="B4" t="s">
        <v>13</v>
      </c>
      <c r="D4" cm="1">
        <f t="array" ref="D4">SUMPRODUCT(
  --(INDEX(Analysis!$D$6:$AL$500,,MATCH($B4,Analysis!$D$5:$AL$5,0))&lt;&gt;""),
  --(INDEX(Analysis!$D$6:$AL$500,,MATCH($B4,Analysis!$D$5:$AL$5,0))&lt;&gt;"ABS")
)</f>
        <v>0</v>
      </c>
      <c r="E4">
        <f>COUNTIF(INDEX(Analysis!$D$6:$AL$500, , MATCH($B4, Analysis!$D$5:$AL$5, 0)), E$1)</f>
        <v>0</v>
      </c>
      <c r="F4">
        <f>COUNTIF(INDEX(Analysis!$D$6:$AL$500, , MATCH($B4, Analysis!$D$5:$AL$5, 0)), F$1)</f>
        <v>0</v>
      </c>
      <c r="G4">
        <f>COUNTIF(INDEX(Analysis!$D$6:$AL$500, , MATCH($B4, Analysis!$D$5:$AL$5, 0)), G$1)</f>
        <v>0</v>
      </c>
      <c r="H4">
        <f>COUNTIF(INDEX(Analysis!$D$6:$AL$500, , MATCH($B4, Analysis!$D$5:$AL$5, 0)), H$1)</f>
        <v>0</v>
      </c>
      <c r="I4">
        <f>COUNTIF(INDEX(Analysis!$D$6:$AL$500, , MATCH($B4, Analysis!$D$5:$AL$5, 0)), I$1)</f>
        <v>0</v>
      </c>
      <c r="J4">
        <f>COUNTIF(INDEX(Analysis!$D$6:$AL$500, , MATCH($B4, Analysis!$D$5:$AL$5, 0)), J$1)</f>
        <v>0</v>
      </c>
      <c r="K4">
        <f>COUNTIF(INDEX(Analysis!$D$6:$AL$500, , MATCH($B4, Analysis!$D$5:$AL$5, 0)), K$1)</f>
        <v>0</v>
      </c>
      <c r="L4">
        <f>COUNTIF(INDEX(Analysis!$D$6:$AL$500, , MATCH($B4, Analysis!$D$5:$AL$5, 0)), L$1)</f>
        <v>0</v>
      </c>
      <c r="M4">
        <f>COUNTIF(INDEX(Analysis!$D$6:$AL$500, , MATCH($B4, Analysis!$D$5:$AL$5, 0)), M$1)</f>
        <v>0</v>
      </c>
      <c r="N4">
        <f>COUNTIF(INDEX(Analysis!$D$6:$AL$500, , MATCH($B4, Analysis!$D$5:$AL$5, 0)), N$1)</f>
        <v>0</v>
      </c>
      <c r="O4" s="13" t="str">
        <f>IFERROR(SUM(SUBJECTS[[#This Row],[A1]:[C6]])/SUBJECTS[[#This Row],[No of Present Students]],"")</f>
        <v/>
      </c>
      <c r="P4" s="13" t="str">
        <f>IFERROR(SUM(SUBJECTS[[#This Row],[D7]:[F9]])/SUBJECTS[[#This Row],[No of Present Students]],"")</f>
        <v/>
      </c>
    </row>
    <row r="5" spans="1:16" x14ac:dyDescent="0.3">
      <c r="A5">
        <v>4</v>
      </c>
      <c r="B5" t="s">
        <v>14</v>
      </c>
      <c r="D5" cm="1">
        <f t="array" ref="D5">SUMPRODUCT(
  --(INDEX(Analysis!$D$6:$AL$500,,MATCH($B5,Analysis!$D$5:$AL$5,0))&lt;&gt;""),
  --(INDEX(Analysis!$D$6:$AL$500,,MATCH($B5,Analysis!$D$5:$AL$5,0))&lt;&gt;"ABS")
)</f>
        <v>0</v>
      </c>
      <c r="E5">
        <f>COUNTIF(INDEX(Analysis!$D$6:$AL$500, , MATCH($B5, Analysis!$D$5:$AL$5, 0)), E$1)</f>
        <v>0</v>
      </c>
      <c r="F5">
        <f>COUNTIF(INDEX(Analysis!$D$6:$AL$500, , MATCH($B5, Analysis!$D$5:$AL$5, 0)), F$1)</f>
        <v>0</v>
      </c>
      <c r="G5">
        <f>COUNTIF(INDEX(Analysis!$D$6:$AL$500, , MATCH($B5, Analysis!$D$5:$AL$5, 0)), G$1)</f>
        <v>0</v>
      </c>
      <c r="H5">
        <f>COUNTIF(INDEX(Analysis!$D$6:$AL$500, , MATCH($B5, Analysis!$D$5:$AL$5, 0)), H$1)</f>
        <v>0</v>
      </c>
      <c r="I5">
        <f>COUNTIF(INDEX(Analysis!$D$6:$AL$500, , MATCH($B5, Analysis!$D$5:$AL$5, 0)), I$1)</f>
        <v>0</v>
      </c>
      <c r="J5">
        <f>COUNTIF(INDEX(Analysis!$D$6:$AL$500, , MATCH($B5, Analysis!$D$5:$AL$5, 0)), J$1)</f>
        <v>0</v>
      </c>
      <c r="K5">
        <f>COUNTIF(INDEX(Analysis!$D$6:$AL$500, , MATCH($B5, Analysis!$D$5:$AL$5, 0)), K$1)</f>
        <v>0</v>
      </c>
      <c r="L5">
        <f>COUNTIF(INDEX(Analysis!$D$6:$AL$500, , MATCH($B5, Analysis!$D$5:$AL$5, 0)), L$1)</f>
        <v>0</v>
      </c>
      <c r="M5">
        <f>COUNTIF(INDEX(Analysis!$D$6:$AL$500, , MATCH($B5, Analysis!$D$5:$AL$5, 0)), M$1)</f>
        <v>0</v>
      </c>
      <c r="N5">
        <f>COUNTIF(INDEX(Analysis!$D$6:$AL$500, , MATCH($B5, Analysis!$D$5:$AL$5, 0)), N$1)</f>
        <v>0</v>
      </c>
      <c r="O5" s="13" t="str">
        <f>IFERROR(SUM(SUBJECTS[[#This Row],[A1]:[C6]])/SUBJECTS[[#This Row],[No of Present Students]],"")</f>
        <v/>
      </c>
      <c r="P5" s="13" t="str">
        <f>IFERROR(SUM(SUBJECTS[[#This Row],[D7]:[F9]])/SUBJECTS[[#This Row],[No of Present Students]],"")</f>
        <v/>
      </c>
    </row>
    <row r="6" spans="1:16" x14ac:dyDescent="0.3">
      <c r="A6">
        <v>5</v>
      </c>
      <c r="B6" t="s">
        <v>15</v>
      </c>
      <c r="D6" cm="1">
        <f t="array" ref="D6">SUMPRODUCT(
  --(INDEX(Analysis!$D$6:$AL$500,,MATCH($B6,Analysis!$D$5:$AL$5,0))&lt;&gt;""),
  --(INDEX(Analysis!$D$6:$AL$500,,MATCH($B6,Analysis!$D$5:$AL$5,0))&lt;&gt;"ABS")
)</f>
        <v>0</v>
      </c>
      <c r="E6">
        <f>COUNTIF(INDEX(Analysis!$D$6:$AL$500, , MATCH($B6, Analysis!$D$5:$AL$5, 0)), E$1)</f>
        <v>0</v>
      </c>
      <c r="F6">
        <f>COUNTIF(INDEX(Analysis!$D$6:$AL$500, , MATCH($B6, Analysis!$D$5:$AL$5, 0)), F$1)</f>
        <v>0</v>
      </c>
      <c r="G6">
        <f>COUNTIF(INDEX(Analysis!$D$6:$AL$500, , MATCH($B6, Analysis!$D$5:$AL$5, 0)), G$1)</f>
        <v>0</v>
      </c>
      <c r="H6">
        <f>COUNTIF(INDEX(Analysis!$D$6:$AL$500, , MATCH($B6, Analysis!$D$5:$AL$5, 0)), H$1)</f>
        <v>0</v>
      </c>
      <c r="I6">
        <f>COUNTIF(INDEX(Analysis!$D$6:$AL$500, , MATCH($B6, Analysis!$D$5:$AL$5, 0)), I$1)</f>
        <v>0</v>
      </c>
      <c r="J6">
        <f>COUNTIF(INDEX(Analysis!$D$6:$AL$500, , MATCH($B6, Analysis!$D$5:$AL$5, 0)), J$1)</f>
        <v>0</v>
      </c>
      <c r="K6">
        <f>COUNTIF(INDEX(Analysis!$D$6:$AL$500, , MATCH($B6, Analysis!$D$5:$AL$5, 0)), K$1)</f>
        <v>0</v>
      </c>
      <c r="L6">
        <f>COUNTIF(INDEX(Analysis!$D$6:$AL$500, , MATCH($B6, Analysis!$D$5:$AL$5, 0)), L$1)</f>
        <v>0</v>
      </c>
      <c r="M6">
        <f>COUNTIF(INDEX(Analysis!$D$6:$AL$500, , MATCH($B6, Analysis!$D$5:$AL$5, 0)), M$1)</f>
        <v>0</v>
      </c>
      <c r="N6">
        <f>COUNTIF(INDEX(Analysis!$D$6:$AL$500, , MATCH($B6, Analysis!$D$5:$AL$5, 0)), N$1)</f>
        <v>0</v>
      </c>
      <c r="O6" s="13" t="str">
        <f>IFERROR(SUM(SUBJECTS[[#This Row],[A1]:[C6]])/SUBJECTS[[#This Row],[No of Present Students]],"")</f>
        <v/>
      </c>
      <c r="P6" s="13" t="str">
        <f>IFERROR(SUM(SUBJECTS[[#This Row],[D7]:[F9]])/SUBJECTS[[#This Row],[No of Present Students]],"")</f>
        <v/>
      </c>
    </row>
    <row r="7" spans="1:16" x14ac:dyDescent="0.3">
      <c r="A7">
        <v>6</v>
      </c>
      <c r="B7" t="s">
        <v>16</v>
      </c>
      <c r="D7" cm="1">
        <f t="array" ref="D7">SUMPRODUCT(
  --(INDEX(Analysis!$D$6:$AL$500,,MATCH($B7,Analysis!$D$5:$AL$5,0))&lt;&gt;""),
  --(INDEX(Analysis!$D$6:$AL$500,,MATCH($B7,Analysis!$D$5:$AL$5,0))&lt;&gt;"ABS")
)</f>
        <v>0</v>
      </c>
      <c r="E7">
        <f>COUNTIF(INDEX(Analysis!$D$6:$AL$500, , MATCH($B7, Analysis!$D$5:$AL$5, 0)), E$1)</f>
        <v>0</v>
      </c>
      <c r="F7">
        <f>COUNTIF(INDEX(Analysis!$D$6:$AL$500, , MATCH($B7, Analysis!$D$5:$AL$5, 0)), F$1)</f>
        <v>0</v>
      </c>
      <c r="G7">
        <f>COUNTIF(INDEX(Analysis!$D$6:$AL$500, , MATCH($B7, Analysis!$D$5:$AL$5, 0)), G$1)</f>
        <v>0</v>
      </c>
      <c r="H7">
        <f>COUNTIF(INDEX(Analysis!$D$6:$AL$500, , MATCH($B7, Analysis!$D$5:$AL$5, 0)), H$1)</f>
        <v>0</v>
      </c>
      <c r="I7">
        <f>COUNTIF(INDEX(Analysis!$D$6:$AL$500, , MATCH($B7, Analysis!$D$5:$AL$5, 0)), I$1)</f>
        <v>0</v>
      </c>
      <c r="J7">
        <f>COUNTIF(INDEX(Analysis!$D$6:$AL$500, , MATCH($B7, Analysis!$D$5:$AL$5, 0)), J$1)</f>
        <v>0</v>
      </c>
      <c r="K7">
        <f>COUNTIF(INDEX(Analysis!$D$6:$AL$500, , MATCH($B7, Analysis!$D$5:$AL$5, 0)), K$1)</f>
        <v>0</v>
      </c>
      <c r="L7">
        <f>COUNTIF(INDEX(Analysis!$D$6:$AL$500, , MATCH($B7, Analysis!$D$5:$AL$5, 0)), L$1)</f>
        <v>0</v>
      </c>
      <c r="M7">
        <f>COUNTIF(INDEX(Analysis!$D$6:$AL$500, , MATCH($B7, Analysis!$D$5:$AL$5, 0)), M$1)</f>
        <v>0</v>
      </c>
      <c r="N7">
        <f>COUNTIF(INDEX(Analysis!$D$6:$AL$500, , MATCH($B7, Analysis!$D$5:$AL$5, 0)), N$1)</f>
        <v>0</v>
      </c>
      <c r="O7" s="13" t="str">
        <f>IFERROR(SUM(SUBJECTS[[#This Row],[A1]:[C6]])/SUBJECTS[[#This Row],[No of Present Students]],"")</f>
        <v/>
      </c>
      <c r="P7" s="13" t="str">
        <f>IFERROR(SUM(SUBJECTS[[#This Row],[D7]:[F9]])/SUBJECTS[[#This Row],[No of Present Students]],"")</f>
        <v/>
      </c>
    </row>
    <row r="8" spans="1:16" x14ac:dyDescent="0.3">
      <c r="A8">
        <v>7</v>
      </c>
      <c r="B8" t="s">
        <v>17</v>
      </c>
      <c r="D8" cm="1">
        <f t="array" ref="D8">SUMPRODUCT(
  --(INDEX(Analysis!$D$6:$AL$500,,MATCH($B8,Analysis!$D$5:$AL$5,0))&lt;&gt;""),
  --(INDEX(Analysis!$D$6:$AL$500,,MATCH($B8,Analysis!$D$5:$AL$5,0))&lt;&gt;"ABS")
)</f>
        <v>0</v>
      </c>
      <c r="E8">
        <f>COUNTIF(INDEX(Analysis!$D$6:$AL$500, , MATCH($B8, Analysis!$D$5:$AL$5, 0)), E$1)</f>
        <v>0</v>
      </c>
      <c r="F8">
        <f>COUNTIF(INDEX(Analysis!$D$6:$AL$500, , MATCH($B8, Analysis!$D$5:$AL$5, 0)), F$1)</f>
        <v>0</v>
      </c>
      <c r="G8">
        <f>COUNTIF(INDEX(Analysis!$D$6:$AL$500, , MATCH($B8, Analysis!$D$5:$AL$5, 0)), G$1)</f>
        <v>0</v>
      </c>
      <c r="H8">
        <f>COUNTIF(INDEX(Analysis!$D$6:$AL$500, , MATCH($B8, Analysis!$D$5:$AL$5, 0)), H$1)</f>
        <v>0</v>
      </c>
      <c r="I8">
        <f>COUNTIF(INDEX(Analysis!$D$6:$AL$500, , MATCH($B8, Analysis!$D$5:$AL$5, 0)), I$1)</f>
        <v>0</v>
      </c>
      <c r="J8">
        <f>COUNTIF(INDEX(Analysis!$D$6:$AL$500, , MATCH($B8, Analysis!$D$5:$AL$5, 0)), J$1)</f>
        <v>0</v>
      </c>
      <c r="K8">
        <f>COUNTIF(INDEX(Analysis!$D$6:$AL$500, , MATCH($B8, Analysis!$D$5:$AL$5, 0)), K$1)</f>
        <v>0</v>
      </c>
      <c r="L8">
        <f>COUNTIF(INDEX(Analysis!$D$6:$AL$500, , MATCH($B8, Analysis!$D$5:$AL$5, 0)), L$1)</f>
        <v>0</v>
      </c>
      <c r="M8">
        <f>COUNTIF(INDEX(Analysis!$D$6:$AL$500, , MATCH($B8, Analysis!$D$5:$AL$5, 0)), M$1)</f>
        <v>0</v>
      </c>
      <c r="N8">
        <f>COUNTIF(INDEX(Analysis!$D$6:$AL$500, , MATCH($B8, Analysis!$D$5:$AL$5, 0)), N$1)</f>
        <v>0</v>
      </c>
      <c r="O8" s="13" t="str">
        <f>IFERROR(SUM(SUBJECTS[[#This Row],[A1]:[C6]])/SUBJECTS[[#This Row],[No of Present Students]],"")</f>
        <v/>
      </c>
      <c r="P8" s="13" t="str">
        <f>IFERROR(SUM(SUBJECTS[[#This Row],[D7]:[F9]])/SUBJECTS[[#This Row],[No of Present Students]],"")</f>
        <v/>
      </c>
    </row>
    <row r="9" spans="1:16" x14ac:dyDescent="0.3">
      <c r="A9">
        <v>8</v>
      </c>
      <c r="B9" t="s">
        <v>18</v>
      </c>
      <c r="D9" cm="1">
        <f t="array" ref="D9">SUMPRODUCT(
  --(INDEX(Analysis!$D$6:$AL$500,,MATCH($B9,Analysis!$D$5:$AL$5,0))&lt;&gt;""),
  --(INDEX(Analysis!$D$6:$AL$500,,MATCH($B9,Analysis!$D$5:$AL$5,0))&lt;&gt;"ABS")
)</f>
        <v>0</v>
      </c>
      <c r="E9">
        <f>COUNTIF(INDEX(Analysis!$D$6:$AL$500, , MATCH($B9, Analysis!$D$5:$AL$5, 0)), E$1)</f>
        <v>0</v>
      </c>
      <c r="F9">
        <f>COUNTIF(INDEX(Analysis!$D$6:$AL$500, , MATCH($B9, Analysis!$D$5:$AL$5, 0)), F$1)</f>
        <v>0</v>
      </c>
      <c r="G9">
        <f>COUNTIF(INDEX(Analysis!$D$6:$AL$500, , MATCH($B9, Analysis!$D$5:$AL$5, 0)), G$1)</f>
        <v>0</v>
      </c>
      <c r="H9">
        <f>COUNTIF(INDEX(Analysis!$D$6:$AL$500, , MATCH($B9, Analysis!$D$5:$AL$5, 0)), H$1)</f>
        <v>0</v>
      </c>
      <c r="I9">
        <f>COUNTIF(INDEX(Analysis!$D$6:$AL$500, , MATCH($B9, Analysis!$D$5:$AL$5, 0)), I$1)</f>
        <v>0</v>
      </c>
      <c r="J9">
        <f>COUNTIF(INDEX(Analysis!$D$6:$AL$500, , MATCH($B9, Analysis!$D$5:$AL$5, 0)), J$1)</f>
        <v>0</v>
      </c>
      <c r="K9">
        <f>COUNTIF(INDEX(Analysis!$D$6:$AL$500, , MATCH($B9, Analysis!$D$5:$AL$5, 0)), K$1)</f>
        <v>0</v>
      </c>
      <c r="L9">
        <f>COUNTIF(INDEX(Analysis!$D$6:$AL$500, , MATCH($B9, Analysis!$D$5:$AL$5, 0)), L$1)</f>
        <v>0</v>
      </c>
      <c r="M9">
        <f>COUNTIF(INDEX(Analysis!$D$6:$AL$500, , MATCH($B9, Analysis!$D$5:$AL$5, 0)), M$1)</f>
        <v>0</v>
      </c>
      <c r="N9">
        <f>COUNTIF(INDEX(Analysis!$D$6:$AL$500, , MATCH($B9, Analysis!$D$5:$AL$5, 0)), N$1)</f>
        <v>0</v>
      </c>
      <c r="O9" s="13" t="str">
        <f>IFERROR(SUM(SUBJECTS[[#This Row],[A1]:[C6]])/SUBJECTS[[#This Row],[No of Present Students]],"")</f>
        <v/>
      </c>
      <c r="P9" s="13" t="str">
        <f>IFERROR(SUM(SUBJECTS[[#This Row],[D7]:[F9]])/SUBJECTS[[#This Row],[No of Present Students]],"")</f>
        <v/>
      </c>
    </row>
    <row r="10" spans="1:16" x14ac:dyDescent="0.3">
      <c r="A10">
        <v>9</v>
      </c>
      <c r="B10" t="s">
        <v>19</v>
      </c>
      <c r="D10" cm="1">
        <f t="array" ref="D10">SUMPRODUCT(
  --(INDEX(Analysis!$D$6:$AL$500,,MATCH($B10,Analysis!$D$5:$AL$5,0))&lt;&gt;""),
  --(INDEX(Analysis!$D$6:$AL$500,,MATCH($B10,Analysis!$D$5:$AL$5,0))&lt;&gt;"ABS")
)</f>
        <v>0</v>
      </c>
      <c r="E10">
        <f>COUNTIF(INDEX(Analysis!$D$6:$AL$500, , MATCH($B10, Analysis!$D$5:$AL$5, 0)), E$1)</f>
        <v>0</v>
      </c>
      <c r="F10">
        <f>COUNTIF(INDEX(Analysis!$D$6:$AL$500, , MATCH($B10, Analysis!$D$5:$AL$5, 0)), F$1)</f>
        <v>0</v>
      </c>
      <c r="G10">
        <f>COUNTIF(INDEX(Analysis!$D$6:$AL$500, , MATCH($B10, Analysis!$D$5:$AL$5, 0)), G$1)</f>
        <v>0</v>
      </c>
      <c r="H10">
        <f>COUNTIF(INDEX(Analysis!$D$6:$AL$500, , MATCH($B10, Analysis!$D$5:$AL$5, 0)), H$1)</f>
        <v>0</v>
      </c>
      <c r="I10">
        <f>COUNTIF(INDEX(Analysis!$D$6:$AL$500, , MATCH($B10, Analysis!$D$5:$AL$5, 0)), I$1)</f>
        <v>0</v>
      </c>
      <c r="J10">
        <f>COUNTIF(INDEX(Analysis!$D$6:$AL$500, , MATCH($B10, Analysis!$D$5:$AL$5, 0)), J$1)</f>
        <v>0</v>
      </c>
      <c r="K10">
        <f>COUNTIF(INDEX(Analysis!$D$6:$AL$500, , MATCH($B10, Analysis!$D$5:$AL$5, 0)), K$1)</f>
        <v>0</v>
      </c>
      <c r="L10">
        <f>COUNTIF(INDEX(Analysis!$D$6:$AL$500, , MATCH($B10, Analysis!$D$5:$AL$5, 0)), L$1)</f>
        <v>0</v>
      </c>
      <c r="M10">
        <f>COUNTIF(INDEX(Analysis!$D$6:$AL$500, , MATCH($B10, Analysis!$D$5:$AL$5, 0)), M$1)</f>
        <v>0</v>
      </c>
      <c r="N10">
        <f>COUNTIF(INDEX(Analysis!$D$6:$AL$500, , MATCH($B10, Analysis!$D$5:$AL$5, 0)), N$1)</f>
        <v>0</v>
      </c>
      <c r="O10" s="13" t="str">
        <f>IFERROR(SUM(SUBJECTS[[#This Row],[A1]:[C6]])/SUBJECTS[[#This Row],[No of Present Students]],"")</f>
        <v/>
      </c>
      <c r="P10" s="13" t="str">
        <f>IFERROR(SUM(SUBJECTS[[#This Row],[D7]:[F9]])/SUBJECTS[[#This Row],[No of Present Students]],"")</f>
        <v/>
      </c>
    </row>
    <row r="11" spans="1:16" x14ac:dyDescent="0.3">
      <c r="A11">
        <v>10</v>
      </c>
      <c r="B11" t="s">
        <v>20</v>
      </c>
      <c r="D11" cm="1">
        <f t="array" ref="D11">SUMPRODUCT(
  --(INDEX(Analysis!$D$6:$AL$500,,MATCH($B11,Analysis!$D$5:$AL$5,0))&lt;&gt;""),
  --(INDEX(Analysis!$D$6:$AL$500,,MATCH($B11,Analysis!$D$5:$AL$5,0))&lt;&gt;"ABS")
)</f>
        <v>0</v>
      </c>
      <c r="E11">
        <f>COUNTIF(INDEX(Analysis!$D$6:$AL$500, , MATCH($B11, Analysis!$D$5:$AL$5, 0)), E$1)</f>
        <v>0</v>
      </c>
      <c r="F11">
        <f>COUNTIF(INDEX(Analysis!$D$6:$AL$500, , MATCH($B11, Analysis!$D$5:$AL$5, 0)), F$1)</f>
        <v>0</v>
      </c>
      <c r="G11">
        <f>COUNTIF(INDEX(Analysis!$D$6:$AL$500, , MATCH($B11, Analysis!$D$5:$AL$5, 0)), G$1)</f>
        <v>0</v>
      </c>
      <c r="H11">
        <f>COUNTIF(INDEX(Analysis!$D$6:$AL$500, , MATCH($B11, Analysis!$D$5:$AL$5, 0)), H$1)</f>
        <v>0</v>
      </c>
      <c r="I11">
        <f>COUNTIF(INDEX(Analysis!$D$6:$AL$500, , MATCH($B11, Analysis!$D$5:$AL$5, 0)), I$1)</f>
        <v>0</v>
      </c>
      <c r="J11">
        <f>COUNTIF(INDEX(Analysis!$D$6:$AL$500, , MATCH($B11, Analysis!$D$5:$AL$5, 0)), J$1)</f>
        <v>0</v>
      </c>
      <c r="K11">
        <f>COUNTIF(INDEX(Analysis!$D$6:$AL$500, , MATCH($B11, Analysis!$D$5:$AL$5, 0)), K$1)</f>
        <v>0</v>
      </c>
      <c r="L11">
        <f>COUNTIF(INDEX(Analysis!$D$6:$AL$500, , MATCH($B11, Analysis!$D$5:$AL$5, 0)), L$1)</f>
        <v>0</v>
      </c>
      <c r="M11">
        <f>COUNTIF(INDEX(Analysis!$D$6:$AL$500, , MATCH($B11, Analysis!$D$5:$AL$5, 0)), M$1)</f>
        <v>0</v>
      </c>
      <c r="N11">
        <f>COUNTIF(INDEX(Analysis!$D$6:$AL$500, , MATCH($B11, Analysis!$D$5:$AL$5, 0)), N$1)</f>
        <v>0</v>
      </c>
      <c r="O11" s="13" t="str">
        <f>IFERROR(SUM(SUBJECTS[[#This Row],[A1]:[C6]])/SUBJECTS[[#This Row],[No of Present Students]],"")</f>
        <v/>
      </c>
      <c r="P11" s="13" t="str">
        <f>IFERROR(SUM(SUBJECTS[[#This Row],[D7]:[F9]])/SUBJECTS[[#This Row],[No of Present Students]],"")</f>
        <v/>
      </c>
    </row>
    <row r="12" spans="1:16" x14ac:dyDescent="0.3">
      <c r="A12">
        <v>11</v>
      </c>
      <c r="B12" t="s">
        <v>21</v>
      </c>
      <c r="D12" cm="1">
        <f t="array" ref="D12">SUMPRODUCT(
  --(INDEX(Analysis!$D$6:$AL$500,,MATCH($B12,Analysis!$D$5:$AL$5,0))&lt;&gt;""),
  --(INDEX(Analysis!$D$6:$AL$500,,MATCH($B12,Analysis!$D$5:$AL$5,0))&lt;&gt;"ABS")
)</f>
        <v>0</v>
      </c>
      <c r="E12">
        <f>COUNTIF(INDEX(Analysis!$D$6:$AL$500, , MATCH($B12, Analysis!$D$5:$AL$5, 0)), E$1)</f>
        <v>0</v>
      </c>
      <c r="F12">
        <f>COUNTIF(INDEX(Analysis!$D$6:$AL$500, , MATCH($B12, Analysis!$D$5:$AL$5, 0)), F$1)</f>
        <v>0</v>
      </c>
      <c r="G12">
        <f>COUNTIF(INDEX(Analysis!$D$6:$AL$500, , MATCH($B12, Analysis!$D$5:$AL$5, 0)), G$1)</f>
        <v>0</v>
      </c>
      <c r="H12">
        <f>COUNTIF(INDEX(Analysis!$D$6:$AL$500, , MATCH($B12, Analysis!$D$5:$AL$5, 0)), H$1)</f>
        <v>0</v>
      </c>
      <c r="I12">
        <f>COUNTIF(INDEX(Analysis!$D$6:$AL$500, , MATCH($B12, Analysis!$D$5:$AL$5, 0)), I$1)</f>
        <v>0</v>
      </c>
      <c r="J12">
        <f>COUNTIF(INDEX(Analysis!$D$6:$AL$500, , MATCH($B12, Analysis!$D$5:$AL$5, 0)), J$1)</f>
        <v>0</v>
      </c>
      <c r="K12">
        <f>COUNTIF(INDEX(Analysis!$D$6:$AL$500, , MATCH($B12, Analysis!$D$5:$AL$5, 0)), K$1)</f>
        <v>0</v>
      </c>
      <c r="L12">
        <f>COUNTIF(INDEX(Analysis!$D$6:$AL$500, , MATCH($B12, Analysis!$D$5:$AL$5, 0)), L$1)</f>
        <v>0</v>
      </c>
      <c r="M12">
        <f>COUNTIF(INDEX(Analysis!$D$6:$AL$500, , MATCH($B12, Analysis!$D$5:$AL$5, 0)), M$1)</f>
        <v>0</v>
      </c>
      <c r="N12">
        <f>COUNTIF(INDEX(Analysis!$D$6:$AL$500, , MATCH($B12, Analysis!$D$5:$AL$5, 0)), N$1)</f>
        <v>0</v>
      </c>
      <c r="O12" s="13" t="str">
        <f>IFERROR(SUM(SUBJECTS[[#This Row],[A1]:[C6]])/SUBJECTS[[#This Row],[No of Present Students]],"")</f>
        <v/>
      </c>
      <c r="P12" s="13" t="str">
        <f>IFERROR(SUM(SUBJECTS[[#This Row],[D7]:[F9]])/SUBJECTS[[#This Row],[No of Present Students]],"")</f>
        <v/>
      </c>
    </row>
    <row r="13" spans="1:16" x14ac:dyDescent="0.3">
      <c r="A13">
        <v>12</v>
      </c>
      <c r="B13" t="s">
        <v>22</v>
      </c>
      <c r="D13" cm="1">
        <f t="array" ref="D13">SUMPRODUCT(
  --(INDEX(Analysis!$D$6:$AL$500,,MATCH($B13,Analysis!$D$5:$AL$5,0))&lt;&gt;""),
  --(INDEX(Analysis!$D$6:$AL$500,,MATCH($B13,Analysis!$D$5:$AL$5,0))&lt;&gt;"ABS")
)</f>
        <v>0</v>
      </c>
      <c r="E13">
        <f>COUNTIF(INDEX(Analysis!$D$6:$AL$500, , MATCH($B13, Analysis!$D$5:$AL$5, 0)), E$1)</f>
        <v>0</v>
      </c>
      <c r="F13">
        <f>COUNTIF(INDEX(Analysis!$D$6:$AL$500, , MATCH($B13, Analysis!$D$5:$AL$5, 0)), F$1)</f>
        <v>0</v>
      </c>
      <c r="G13">
        <f>COUNTIF(INDEX(Analysis!$D$6:$AL$500, , MATCH($B13, Analysis!$D$5:$AL$5, 0)), G$1)</f>
        <v>0</v>
      </c>
      <c r="H13">
        <f>COUNTIF(INDEX(Analysis!$D$6:$AL$500, , MATCH($B13, Analysis!$D$5:$AL$5, 0)), H$1)</f>
        <v>0</v>
      </c>
      <c r="I13">
        <f>COUNTIF(INDEX(Analysis!$D$6:$AL$500, , MATCH($B13, Analysis!$D$5:$AL$5, 0)), I$1)</f>
        <v>0</v>
      </c>
      <c r="J13">
        <f>COUNTIF(INDEX(Analysis!$D$6:$AL$500, , MATCH($B13, Analysis!$D$5:$AL$5, 0)), J$1)</f>
        <v>0</v>
      </c>
      <c r="K13">
        <f>COUNTIF(INDEX(Analysis!$D$6:$AL$500, , MATCH($B13, Analysis!$D$5:$AL$5, 0)), K$1)</f>
        <v>0</v>
      </c>
      <c r="L13">
        <f>COUNTIF(INDEX(Analysis!$D$6:$AL$500, , MATCH($B13, Analysis!$D$5:$AL$5, 0)), L$1)</f>
        <v>0</v>
      </c>
      <c r="M13">
        <f>COUNTIF(INDEX(Analysis!$D$6:$AL$500, , MATCH($B13, Analysis!$D$5:$AL$5, 0)), M$1)</f>
        <v>0</v>
      </c>
      <c r="N13">
        <f>COUNTIF(INDEX(Analysis!$D$6:$AL$500, , MATCH($B13, Analysis!$D$5:$AL$5, 0)), N$1)</f>
        <v>0</v>
      </c>
      <c r="O13" s="13" t="str">
        <f>IFERROR(SUM(SUBJECTS[[#This Row],[A1]:[C6]])/SUBJECTS[[#This Row],[No of Present Students]],"")</f>
        <v/>
      </c>
      <c r="P13" s="13" t="str">
        <f>IFERROR(SUM(SUBJECTS[[#This Row],[D7]:[F9]])/SUBJECTS[[#This Row],[No of Present Students]],"")</f>
        <v/>
      </c>
    </row>
    <row r="14" spans="1:16" x14ac:dyDescent="0.3">
      <c r="A14">
        <v>13</v>
      </c>
      <c r="B14" t="s">
        <v>23</v>
      </c>
      <c r="D14" cm="1">
        <f t="array" ref="D14">SUMPRODUCT(
  --(INDEX(Analysis!$D$6:$AL$500,,MATCH($B14,Analysis!$D$5:$AL$5,0))&lt;&gt;""),
  --(INDEX(Analysis!$D$6:$AL$500,,MATCH($B14,Analysis!$D$5:$AL$5,0))&lt;&gt;"ABS")
)</f>
        <v>0</v>
      </c>
      <c r="E14">
        <f>COUNTIF(INDEX(Analysis!$D$6:$AL$500, , MATCH($B14, Analysis!$D$5:$AL$5, 0)), E$1)</f>
        <v>0</v>
      </c>
      <c r="F14">
        <f>COUNTIF(INDEX(Analysis!$D$6:$AL$500, , MATCH($B14, Analysis!$D$5:$AL$5, 0)), F$1)</f>
        <v>0</v>
      </c>
      <c r="G14">
        <f>COUNTIF(INDEX(Analysis!$D$6:$AL$500, , MATCH($B14, Analysis!$D$5:$AL$5, 0)), G$1)</f>
        <v>0</v>
      </c>
      <c r="H14">
        <f>COUNTIF(INDEX(Analysis!$D$6:$AL$500, , MATCH($B14, Analysis!$D$5:$AL$5, 0)), H$1)</f>
        <v>0</v>
      </c>
      <c r="I14">
        <f>COUNTIF(INDEX(Analysis!$D$6:$AL$500, , MATCH($B14, Analysis!$D$5:$AL$5, 0)), I$1)</f>
        <v>0</v>
      </c>
      <c r="J14">
        <f>COUNTIF(INDEX(Analysis!$D$6:$AL$500, , MATCH($B14, Analysis!$D$5:$AL$5, 0)), J$1)</f>
        <v>0</v>
      </c>
      <c r="K14">
        <f>COUNTIF(INDEX(Analysis!$D$6:$AL$500, , MATCH($B14, Analysis!$D$5:$AL$5, 0)), K$1)</f>
        <v>0</v>
      </c>
      <c r="L14">
        <f>COUNTIF(INDEX(Analysis!$D$6:$AL$500, , MATCH($B14, Analysis!$D$5:$AL$5, 0)), L$1)</f>
        <v>0</v>
      </c>
      <c r="M14">
        <f>COUNTIF(INDEX(Analysis!$D$6:$AL$500, , MATCH($B14, Analysis!$D$5:$AL$5, 0)), M$1)</f>
        <v>0</v>
      </c>
      <c r="N14">
        <f>COUNTIF(INDEX(Analysis!$D$6:$AL$500, , MATCH($B14, Analysis!$D$5:$AL$5, 0)), N$1)</f>
        <v>0</v>
      </c>
      <c r="O14" s="13" t="str">
        <f>IFERROR(SUM(SUBJECTS[[#This Row],[A1]:[C6]])/SUBJECTS[[#This Row],[No of Present Students]],"")</f>
        <v/>
      </c>
      <c r="P14" s="13" t="str">
        <f>IFERROR(SUM(SUBJECTS[[#This Row],[D7]:[F9]])/SUBJECTS[[#This Row],[No of Present Students]],"")</f>
        <v/>
      </c>
    </row>
    <row r="15" spans="1:16" x14ac:dyDescent="0.3">
      <c r="A15">
        <v>14</v>
      </c>
      <c r="B15" t="s">
        <v>24</v>
      </c>
      <c r="D15" cm="1">
        <f t="array" ref="D15">SUMPRODUCT(
  --(INDEX(Analysis!$D$6:$AL$500,,MATCH($B15,Analysis!$D$5:$AL$5,0))&lt;&gt;""),
  --(INDEX(Analysis!$D$6:$AL$500,,MATCH($B15,Analysis!$D$5:$AL$5,0))&lt;&gt;"ABS")
)</f>
        <v>0</v>
      </c>
      <c r="E15">
        <f>COUNTIF(INDEX(Analysis!$D$6:$AL$500, , MATCH($B15, Analysis!$D$5:$AL$5, 0)), E$1)</f>
        <v>0</v>
      </c>
      <c r="F15">
        <f>COUNTIF(INDEX(Analysis!$D$6:$AL$500, , MATCH($B15, Analysis!$D$5:$AL$5, 0)), F$1)</f>
        <v>0</v>
      </c>
      <c r="G15">
        <f>COUNTIF(INDEX(Analysis!$D$6:$AL$500, , MATCH($B15, Analysis!$D$5:$AL$5, 0)), G$1)</f>
        <v>0</v>
      </c>
      <c r="H15">
        <f>COUNTIF(INDEX(Analysis!$D$6:$AL$500, , MATCH($B15, Analysis!$D$5:$AL$5, 0)), H$1)</f>
        <v>0</v>
      </c>
      <c r="I15">
        <f>COUNTIF(INDEX(Analysis!$D$6:$AL$500, , MATCH($B15, Analysis!$D$5:$AL$5, 0)), I$1)</f>
        <v>0</v>
      </c>
      <c r="J15">
        <f>COUNTIF(INDEX(Analysis!$D$6:$AL$500, , MATCH($B15, Analysis!$D$5:$AL$5, 0)), J$1)</f>
        <v>0</v>
      </c>
      <c r="K15">
        <f>COUNTIF(INDEX(Analysis!$D$6:$AL$500, , MATCH($B15, Analysis!$D$5:$AL$5, 0)), K$1)</f>
        <v>0</v>
      </c>
      <c r="L15">
        <f>COUNTIF(INDEX(Analysis!$D$6:$AL$500, , MATCH($B15, Analysis!$D$5:$AL$5, 0)), L$1)</f>
        <v>0</v>
      </c>
      <c r="M15">
        <f>COUNTIF(INDEX(Analysis!$D$6:$AL$500, , MATCH($B15, Analysis!$D$5:$AL$5, 0)), M$1)</f>
        <v>0</v>
      </c>
      <c r="N15">
        <f>COUNTIF(INDEX(Analysis!$D$6:$AL$500, , MATCH($B15, Analysis!$D$5:$AL$5, 0)), N$1)</f>
        <v>0</v>
      </c>
      <c r="O15" s="13" t="str">
        <f>IFERROR(SUM(SUBJECTS[[#This Row],[A1]:[C6]])/SUBJECTS[[#This Row],[No of Present Students]],"")</f>
        <v/>
      </c>
      <c r="P15" s="13" t="str">
        <f>IFERROR(SUM(SUBJECTS[[#This Row],[D7]:[F9]])/SUBJECTS[[#This Row],[No of Present Students]],"")</f>
        <v/>
      </c>
    </row>
    <row r="16" spans="1:16" x14ac:dyDescent="0.3">
      <c r="A16">
        <v>15</v>
      </c>
      <c r="B16" t="s">
        <v>25</v>
      </c>
      <c r="D16" cm="1">
        <f t="array" ref="D16">SUMPRODUCT(
  --(INDEX(Analysis!$D$6:$AL$500,,MATCH($B16,Analysis!$D$5:$AL$5,0))&lt;&gt;""),
  --(INDEX(Analysis!$D$6:$AL$500,,MATCH($B16,Analysis!$D$5:$AL$5,0))&lt;&gt;"ABS")
)</f>
        <v>0</v>
      </c>
      <c r="E16">
        <f>COUNTIF(INDEX(Analysis!$D$6:$AL$500, , MATCH($B16, Analysis!$D$5:$AL$5, 0)), E$1)</f>
        <v>0</v>
      </c>
      <c r="F16">
        <f>COUNTIF(INDEX(Analysis!$D$6:$AL$500, , MATCH($B16, Analysis!$D$5:$AL$5, 0)), F$1)</f>
        <v>0</v>
      </c>
      <c r="G16">
        <f>COUNTIF(INDEX(Analysis!$D$6:$AL$500, , MATCH($B16, Analysis!$D$5:$AL$5, 0)), G$1)</f>
        <v>0</v>
      </c>
      <c r="H16">
        <f>COUNTIF(INDEX(Analysis!$D$6:$AL$500, , MATCH($B16, Analysis!$D$5:$AL$5, 0)), H$1)</f>
        <v>0</v>
      </c>
      <c r="I16">
        <f>COUNTIF(INDEX(Analysis!$D$6:$AL$500, , MATCH($B16, Analysis!$D$5:$AL$5, 0)), I$1)</f>
        <v>0</v>
      </c>
      <c r="J16">
        <f>COUNTIF(INDEX(Analysis!$D$6:$AL$500, , MATCH($B16, Analysis!$D$5:$AL$5, 0)), J$1)</f>
        <v>0</v>
      </c>
      <c r="K16">
        <f>COUNTIF(INDEX(Analysis!$D$6:$AL$500, , MATCH($B16, Analysis!$D$5:$AL$5, 0)), K$1)</f>
        <v>0</v>
      </c>
      <c r="L16">
        <f>COUNTIF(INDEX(Analysis!$D$6:$AL$500, , MATCH($B16, Analysis!$D$5:$AL$5, 0)), L$1)</f>
        <v>0</v>
      </c>
      <c r="M16">
        <f>COUNTIF(INDEX(Analysis!$D$6:$AL$500, , MATCH($B16, Analysis!$D$5:$AL$5, 0)), M$1)</f>
        <v>0</v>
      </c>
      <c r="N16">
        <f>COUNTIF(INDEX(Analysis!$D$6:$AL$500, , MATCH($B16, Analysis!$D$5:$AL$5, 0)), N$1)</f>
        <v>0</v>
      </c>
      <c r="O16" s="13" t="str">
        <f>IFERROR(SUM(SUBJECTS[[#This Row],[A1]:[C6]])/SUBJECTS[[#This Row],[No of Present Students]],"")</f>
        <v/>
      </c>
      <c r="P16" s="13" t="str">
        <f>IFERROR(SUM(SUBJECTS[[#This Row],[D7]:[F9]])/SUBJECTS[[#This Row],[No of Present Students]],"")</f>
        <v/>
      </c>
    </row>
    <row r="17" spans="1:16" x14ac:dyDescent="0.3">
      <c r="A17">
        <v>16</v>
      </c>
      <c r="B17" t="s">
        <v>26</v>
      </c>
      <c r="D17" cm="1">
        <f t="array" ref="D17">SUMPRODUCT(
  --(INDEX(Analysis!$D$6:$AL$500,,MATCH($B17,Analysis!$D$5:$AL$5,0))&lt;&gt;""),
  --(INDEX(Analysis!$D$6:$AL$500,,MATCH($B17,Analysis!$D$5:$AL$5,0))&lt;&gt;"ABS")
)</f>
        <v>0</v>
      </c>
      <c r="E17">
        <f>COUNTIF(INDEX(Analysis!$D$6:$AL$500, , MATCH($B17, Analysis!$D$5:$AL$5, 0)), E$1)</f>
        <v>0</v>
      </c>
      <c r="F17">
        <f>COUNTIF(INDEX(Analysis!$D$6:$AL$500, , MATCH($B17, Analysis!$D$5:$AL$5, 0)), F$1)</f>
        <v>0</v>
      </c>
      <c r="G17">
        <f>COUNTIF(INDEX(Analysis!$D$6:$AL$500, , MATCH($B17, Analysis!$D$5:$AL$5, 0)), G$1)</f>
        <v>0</v>
      </c>
      <c r="H17">
        <f>COUNTIF(INDEX(Analysis!$D$6:$AL$500, , MATCH($B17, Analysis!$D$5:$AL$5, 0)), H$1)</f>
        <v>0</v>
      </c>
      <c r="I17">
        <f>COUNTIF(INDEX(Analysis!$D$6:$AL$500, , MATCH($B17, Analysis!$D$5:$AL$5, 0)), I$1)</f>
        <v>0</v>
      </c>
      <c r="J17">
        <f>COUNTIF(INDEX(Analysis!$D$6:$AL$500, , MATCH($B17, Analysis!$D$5:$AL$5, 0)), J$1)</f>
        <v>0</v>
      </c>
      <c r="K17">
        <f>COUNTIF(INDEX(Analysis!$D$6:$AL$500, , MATCH($B17, Analysis!$D$5:$AL$5, 0)), K$1)</f>
        <v>0</v>
      </c>
      <c r="L17">
        <f>COUNTIF(INDEX(Analysis!$D$6:$AL$500, , MATCH($B17, Analysis!$D$5:$AL$5, 0)), L$1)</f>
        <v>0</v>
      </c>
      <c r="M17">
        <f>COUNTIF(INDEX(Analysis!$D$6:$AL$500, , MATCH($B17, Analysis!$D$5:$AL$5, 0)), M$1)</f>
        <v>0</v>
      </c>
      <c r="N17">
        <f>COUNTIF(INDEX(Analysis!$D$6:$AL$500, , MATCH($B17, Analysis!$D$5:$AL$5, 0)), N$1)</f>
        <v>0</v>
      </c>
      <c r="O17" s="13" t="str">
        <f>IFERROR(SUM(SUBJECTS[[#This Row],[A1]:[C6]])/SUBJECTS[[#This Row],[No of Present Students]],"")</f>
        <v/>
      </c>
      <c r="P17" s="13" t="str">
        <f>IFERROR(SUM(SUBJECTS[[#This Row],[D7]:[F9]])/SUBJECTS[[#This Row],[No of Present Students]],"")</f>
        <v/>
      </c>
    </row>
    <row r="18" spans="1:16" x14ac:dyDescent="0.3">
      <c r="A18">
        <v>17</v>
      </c>
      <c r="B18" t="s">
        <v>27</v>
      </c>
      <c r="D18" cm="1">
        <f t="array" ref="D18">SUMPRODUCT(
  --(INDEX(Analysis!$D$6:$AL$500,,MATCH($B18,Analysis!$D$5:$AL$5,0))&lt;&gt;""),
  --(INDEX(Analysis!$D$6:$AL$500,,MATCH($B18,Analysis!$D$5:$AL$5,0))&lt;&gt;"ABS")
)</f>
        <v>0</v>
      </c>
      <c r="E18">
        <f>COUNTIF(INDEX(Analysis!$D$6:$AL$500, , MATCH($B18, Analysis!$D$5:$AL$5, 0)), E$1)</f>
        <v>0</v>
      </c>
      <c r="F18">
        <f>COUNTIF(INDEX(Analysis!$D$6:$AL$500, , MATCH($B18, Analysis!$D$5:$AL$5, 0)), F$1)</f>
        <v>0</v>
      </c>
      <c r="G18">
        <f>COUNTIF(INDEX(Analysis!$D$6:$AL$500, , MATCH($B18, Analysis!$D$5:$AL$5, 0)), G$1)</f>
        <v>0</v>
      </c>
      <c r="H18">
        <f>COUNTIF(INDEX(Analysis!$D$6:$AL$500, , MATCH($B18, Analysis!$D$5:$AL$5, 0)), H$1)</f>
        <v>0</v>
      </c>
      <c r="I18">
        <f>COUNTIF(INDEX(Analysis!$D$6:$AL$500, , MATCH($B18, Analysis!$D$5:$AL$5, 0)), I$1)</f>
        <v>0</v>
      </c>
      <c r="J18">
        <f>COUNTIF(INDEX(Analysis!$D$6:$AL$500, , MATCH($B18, Analysis!$D$5:$AL$5, 0)), J$1)</f>
        <v>0</v>
      </c>
      <c r="K18">
        <f>COUNTIF(INDEX(Analysis!$D$6:$AL$500, , MATCH($B18, Analysis!$D$5:$AL$5, 0)), K$1)</f>
        <v>0</v>
      </c>
      <c r="L18">
        <f>COUNTIF(INDEX(Analysis!$D$6:$AL$500, , MATCH($B18, Analysis!$D$5:$AL$5, 0)), L$1)</f>
        <v>0</v>
      </c>
      <c r="M18">
        <f>COUNTIF(INDEX(Analysis!$D$6:$AL$500, , MATCH($B18, Analysis!$D$5:$AL$5, 0)), M$1)</f>
        <v>0</v>
      </c>
      <c r="N18">
        <f>COUNTIF(INDEX(Analysis!$D$6:$AL$500, , MATCH($B18, Analysis!$D$5:$AL$5, 0)), N$1)</f>
        <v>0</v>
      </c>
      <c r="O18" s="13" t="str">
        <f>IFERROR(SUM(SUBJECTS[[#This Row],[A1]:[C6]])/SUBJECTS[[#This Row],[No of Present Students]],"")</f>
        <v/>
      </c>
      <c r="P18" s="13" t="str">
        <f>IFERROR(SUM(SUBJECTS[[#This Row],[D7]:[F9]])/SUBJECTS[[#This Row],[No of Present Students]],"")</f>
        <v/>
      </c>
    </row>
    <row r="19" spans="1:16" x14ac:dyDescent="0.3">
      <c r="A19">
        <v>18</v>
      </c>
      <c r="B19" t="s">
        <v>28</v>
      </c>
      <c r="D19" cm="1">
        <f t="array" ref="D19">SUMPRODUCT(
  --(INDEX(Analysis!$D$6:$AL$500,,MATCH($B19,Analysis!$D$5:$AL$5,0))&lt;&gt;""),
  --(INDEX(Analysis!$D$6:$AL$500,,MATCH($B19,Analysis!$D$5:$AL$5,0))&lt;&gt;"ABS")
)</f>
        <v>0</v>
      </c>
      <c r="E19">
        <f>COUNTIF(INDEX(Analysis!$D$6:$AL$500, , MATCH($B19, Analysis!$D$5:$AL$5, 0)), E$1)</f>
        <v>0</v>
      </c>
      <c r="F19">
        <f>COUNTIF(INDEX(Analysis!$D$6:$AL$500, , MATCH($B19, Analysis!$D$5:$AL$5, 0)), F$1)</f>
        <v>0</v>
      </c>
      <c r="G19">
        <f>COUNTIF(INDEX(Analysis!$D$6:$AL$500, , MATCH($B19, Analysis!$D$5:$AL$5, 0)), G$1)</f>
        <v>0</v>
      </c>
      <c r="H19">
        <f>COUNTIF(INDEX(Analysis!$D$6:$AL$500, , MATCH($B19, Analysis!$D$5:$AL$5, 0)), H$1)</f>
        <v>0</v>
      </c>
      <c r="I19">
        <f>COUNTIF(INDEX(Analysis!$D$6:$AL$500, , MATCH($B19, Analysis!$D$5:$AL$5, 0)), I$1)</f>
        <v>0</v>
      </c>
      <c r="J19">
        <f>COUNTIF(INDEX(Analysis!$D$6:$AL$500, , MATCH($B19, Analysis!$D$5:$AL$5, 0)), J$1)</f>
        <v>0</v>
      </c>
      <c r="K19">
        <f>COUNTIF(INDEX(Analysis!$D$6:$AL$500, , MATCH($B19, Analysis!$D$5:$AL$5, 0)), K$1)</f>
        <v>0</v>
      </c>
      <c r="L19">
        <f>COUNTIF(INDEX(Analysis!$D$6:$AL$500, , MATCH($B19, Analysis!$D$5:$AL$5, 0)), L$1)</f>
        <v>0</v>
      </c>
      <c r="M19">
        <f>COUNTIF(INDEX(Analysis!$D$6:$AL$500, , MATCH($B19, Analysis!$D$5:$AL$5, 0)), M$1)</f>
        <v>0</v>
      </c>
      <c r="N19">
        <f>COUNTIF(INDEX(Analysis!$D$6:$AL$500, , MATCH($B19, Analysis!$D$5:$AL$5, 0)), N$1)</f>
        <v>0</v>
      </c>
      <c r="O19" s="13" t="str">
        <f>IFERROR(SUM(SUBJECTS[[#This Row],[A1]:[C6]])/SUBJECTS[[#This Row],[No of Present Students]],"")</f>
        <v/>
      </c>
      <c r="P19" s="13" t="str">
        <f>IFERROR(SUM(SUBJECTS[[#This Row],[D7]:[F9]])/SUBJECTS[[#This Row],[No of Present Students]],"")</f>
        <v/>
      </c>
    </row>
    <row r="20" spans="1:16" x14ac:dyDescent="0.3">
      <c r="A20">
        <v>19</v>
      </c>
      <c r="B20" t="s">
        <v>29</v>
      </c>
      <c r="D20" cm="1">
        <f t="array" ref="D20">SUMPRODUCT(
  --(INDEX(Analysis!$D$6:$AL$500,,MATCH($B20,Analysis!$D$5:$AL$5,0))&lt;&gt;""),
  --(INDEX(Analysis!$D$6:$AL$500,,MATCH($B20,Analysis!$D$5:$AL$5,0))&lt;&gt;"ABS")
)</f>
        <v>0</v>
      </c>
      <c r="E20">
        <f>COUNTIF(INDEX(Analysis!$D$6:$AL$500, , MATCH($B20, Analysis!$D$5:$AL$5, 0)), E$1)</f>
        <v>0</v>
      </c>
      <c r="F20">
        <f>COUNTIF(INDEX(Analysis!$D$6:$AL$500, , MATCH($B20, Analysis!$D$5:$AL$5, 0)), F$1)</f>
        <v>0</v>
      </c>
      <c r="G20">
        <f>COUNTIF(INDEX(Analysis!$D$6:$AL$500, , MATCH($B20, Analysis!$D$5:$AL$5, 0)), G$1)</f>
        <v>0</v>
      </c>
      <c r="H20">
        <f>COUNTIF(INDEX(Analysis!$D$6:$AL$500, , MATCH($B20, Analysis!$D$5:$AL$5, 0)), H$1)</f>
        <v>0</v>
      </c>
      <c r="I20">
        <f>COUNTIF(INDEX(Analysis!$D$6:$AL$500, , MATCH($B20, Analysis!$D$5:$AL$5, 0)), I$1)</f>
        <v>0</v>
      </c>
      <c r="J20">
        <f>COUNTIF(INDEX(Analysis!$D$6:$AL$500, , MATCH($B20, Analysis!$D$5:$AL$5, 0)), J$1)</f>
        <v>0</v>
      </c>
      <c r="K20">
        <f>COUNTIF(INDEX(Analysis!$D$6:$AL$500, , MATCH($B20, Analysis!$D$5:$AL$5, 0)), K$1)</f>
        <v>0</v>
      </c>
      <c r="L20">
        <f>COUNTIF(INDEX(Analysis!$D$6:$AL$500, , MATCH($B20, Analysis!$D$5:$AL$5, 0)), L$1)</f>
        <v>0</v>
      </c>
      <c r="M20">
        <f>COUNTIF(INDEX(Analysis!$D$6:$AL$500, , MATCH($B20, Analysis!$D$5:$AL$5, 0)), M$1)</f>
        <v>0</v>
      </c>
      <c r="N20">
        <f>COUNTIF(INDEX(Analysis!$D$6:$AL$500, , MATCH($B20, Analysis!$D$5:$AL$5, 0)), N$1)</f>
        <v>0</v>
      </c>
      <c r="O20" s="13" t="str">
        <f>IFERROR(SUM(SUBJECTS[[#This Row],[A1]:[C6]])/SUBJECTS[[#This Row],[No of Present Students]],"")</f>
        <v/>
      </c>
      <c r="P20" s="13" t="str">
        <f>IFERROR(SUM(SUBJECTS[[#This Row],[D7]:[F9]])/SUBJECTS[[#This Row],[No of Present Students]],"")</f>
        <v/>
      </c>
    </row>
    <row r="21" spans="1:16" x14ac:dyDescent="0.3">
      <c r="A21">
        <v>20</v>
      </c>
      <c r="B21" t="s">
        <v>30</v>
      </c>
      <c r="D21" cm="1">
        <f t="array" ref="D21">SUMPRODUCT(
  --(INDEX(Analysis!$D$6:$AL$500,,MATCH($B21,Analysis!$D$5:$AL$5,0))&lt;&gt;""),
  --(INDEX(Analysis!$D$6:$AL$500,,MATCH($B21,Analysis!$D$5:$AL$5,0))&lt;&gt;"ABS")
)</f>
        <v>0</v>
      </c>
      <c r="E21">
        <f>COUNTIF(INDEX(Analysis!$D$6:$AL$500, , MATCH($B21, Analysis!$D$5:$AL$5, 0)), E$1)</f>
        <v>0</v>
      </c>
      <c r="F21">
        <f>COUNTIF(INDEX(Analysis!$D$6:$AL$500, , MATCH($B21, Analysis!$D$5:$AL$5, 0)), F$1)</f>
        <v>0</v>
      </c>
      <c r="G21">
        <f>COUNTIF(INDEX(Analysis!$D$6:$AL$500, , MATCH($B21, Analysis!$D$5:$AL$5, 0)), G$1)</f>
        <v>0</v>
      </c>
      <c r="H21">
        <f>COUNTIF(INDEX(Analysis!$D$6:$AL$500, , MATCH($B21, Analysis!$D$5:$AL$5, 0)), H$1)</f>
        <v>0</v>
      </c>
      <c r="I21">
        <f>COUNTIF(INDEX(Analysis!$D$6:$AL$500, , MATCH($B21, Analysis!$D$5:$AL$5, 0)), I$1)</f>
        <v>0</v>
      </c>
      <c r="J21">
        <f>COUNTIF(INDEX(Analysis!$D$6:$AL$500, , MATCH($B21, Analysis!$D$5:$AL$5, 0)), J$1)</f>
        <v>0</v>
      </c>
      <c r="K21">
        <f>COUNTIF(INDEX(Analysis!$D$6:$AL$500, , MATCH($B21, Analysis!$D$5:$AL$5, 0)), K$1)</f>
        <v>0</v>
      </c>
      <c r="L21">
        <f>COUNTIF(INDEX(Analysis!$D$6:$AL$500, , MATCH($B21, Analysis!$D$5:$AL$5, 0)), L$1)</f>
        <v>0</v>
      </c>
      <c r="M21">
        <f>COUNTIF(INDEX(Analysis!$D$6:$AL$500, , MATCH($B21, Analysis!$D$5:$AL$5, 0)), M$1)</f>
        <v>0</v>
      </c>
      <c r="N21">
        <f>COUNTIF(INDEX(Analysis!$D$6:$AL$500, , MATCH($B21, Analysis!$D$5:$AL$5, 0)), N$1)</f>
        <v>0</v>
      </c>
      <c r="O21" s="13" t="str">
        <f>IFERROR(SUM(SUBJECTS[[#This Row],[A1]:[C6]])/SUBJECTS[[#This Row],[No of Present Students]],"")</f>
        <v/>
      </c>
      <c r="P21" s="13" t="str">
        <f>IFERROR(SUM(SUBJECTS[[#This Row],[D7]:[F9]])/SUBJECTS[[#This Row],[No of Present Students]],"")</f>
        <v/>
      </c>
    </row>
    <row r="22" spans="1:16" x14ac:dyDescent="0.3">
      <c r="A22">
        <v>21</v>
      </c>
      <c r="B22" t="s">
        <v>31</v>
      </c>
      <c r="D22" cm="1">
        <f t="array" ref="D22">SUMPRODUCT(
  --(INDEX(Analysis!$D$6:$AL$500,,MATCH($B22,Analysis!$D$5:$AL$5,0))&lt;&gt;""),
  --(INDEX(Analysis!$D$6:$AL$500,,MATCH($B22,Analysis!$D$5:$AL$5,0))&lt;&gt;"ABS")
)</f>
        <v>0</v>
      </c>
      <c r="E22">
        <f>COUNTIF(INDEX(Analysis!$D$6:$AL$500, , MATCH($B22, Analysis!$D$5:$AL$5, 0)), E$1)</f>
        <v>0</v>
      </c>
      <c r="F22">
        <f>COUNTIF(INDEX(Analysis!$D$6:$AL$500, , MATCH($B22, Analysis!$D$5:$AL$5, 0)), F$1)</f>
        <v>0</v>
      </c>
      <c r="G22">
        <f>COUNTIF(INDEX(Analysis!$D$6:$AL$500, , MATCH($B22, Analysis!$D$5:$AL$5, 0)), G$1)</f>
        <v>0</v>
      </c>
      <c r="H22">
        <f>COUNTIF(INDEX(Analysis!$D$6:$AL$500, , MATCH($B22, Analysis!$D$5:$AL$5, 0)), H$1)</f>
        <v>0</v>
      </c>
      <c r="I22">
        <f>COUNTIF(INDEX(Analysis!$D$6:$AL$500, , MATCH($B22, Analysis!$D$5:$AL$5, 0)), I$1)</f>
        <v>0</v>
      </c>
      <c r="J22">
        <f>COUNTIF(INDEX(Analysis!$D$6:$AL$500, , MATCH($B22, Analysis!$D$5:$AL$5, 0)), J$1)</f>
        <v>0</v>
      </c>
      <c r="K22">
        <f>COUNTIF(INDEX(Analysis!$D$6:$AL$500, , MATCH($B22, Analysis!$D$5:$AL$5, 0)), K$1)</f>
        <v>0</v>
      </c>
      <c r="L22">
        <f>COUNTIF(INDEX(Analysis!$D$6:$AL$500, , MATCH($B22, Analysis!$D$5:$AL$5, 0)), L$1)</f>
        <v>0</v>
      </c>
      <c r="M22">
        <f>COUNTIF(INDEX(Analysis!$D$6:$AL$500, , MATCH($B22, Analysis!$D$5:$AL$5, 0)), M$1)</f>
        <v>0</v>
      </c>
      <c r="N22">
        <f>COUNTIF(INDEX(Analysis!$D$6:$AL$500, , MATCH($B22, Analysis!$D$5:$AL$5, 0)), N$1)</f>
        <v>0</v>
      </c>
      <c r="O22" s="13" t="str">
        <f>IFERROR(SUM(SUBJECTS[[#This Row],[A1]:[C6]])/SUBJECTS[[#This Row],[No of Present Students]],"")</f>
        <v/>
      </c>
      <c r="P22" s="13" t="str">
        <f>IFERROR(SUM(SUBJECTS[[#This Row],[D7]:[F9]])/SUBJECTS[[#This Row],[No of Present Students]],"")</f>
        <v/>
      </c>
    </row>
    <row r="23" spans="1:16" x14ac:dyDescent="0.3">
      <c r="A23">
        <v>22</v>
      </c>
      <c r="B23" t="s">
        <v>32</v>
      </c>
      <c r="D23" cm="1">
        <f t="array" ref="D23">SUMPRODUCT(
  --(INDEX(Analysis!$D$6:$AL$500,,MATCH($B23,Analysis!$D$5:$AL$5,0))&lt;&gt;""),
  --(INDEX(Analysis!$D$6:$AL$500,,MATCH($B23,Analysis!$D$5:$AL$5,0))&lt;&gt;"ABS")
)</f>
        <v>0</v>
      </c>
      <c r="E23">
        <f>COUNTIF(INDEX(Analysis!$D$6:$AL$500, , MATCH($B23, Analysis!$D$5:$AL$5, 0)), E$1)</f>
        <v>0</v>
      </c>
      <c r="F23">
        <f>COUNTIF(INDEX(Analysis!$D$6:$AL$500, , MATCH($B23, Analysis!$D$5:$AL$5, 0)), F$1)</f>
        <v>0</v>
      </c>
      <c r="G23">
        <f>COUNTIF(INDEX(Analysis!$D$6:$AL$500, , MATCH($B23, Analysis!$D$5:$AL$5, 0)), G$1)</f>
        <v>0</v>
      </c>
      <c r="H23">
        <f>COUNTIF(INDEX(Analysis!$D$6:$AL$500, , MATCH($B23, Analysis!$D$5:$AL$5, 0)), H$1)</f>
        <v>0</v>
      </c>
      <c r="I23">
        <f>COUNTIF(INDEX(Analysis!$D$6:$AL$500, , MATCH($B23, Analysis!$D$5:$AL$5, 0)), I$1)</f>
        <v>0</v>
      </c>
      <c r="J23">
        <f>COUNTIF(INDEX(Analysis!$D$6:$AL$500, , MATCH($B23, Analysis!$D$5:$AL$5, 0)), J$1)</f>
        <v>0</v>
      </c>
      <c r="K23">
        <f>COUNTIF(INDEX(Analysis!$D$6:$AL$500, , MATCH($B23, Analysis!$D$5:$AL$5, 0)), K$1)</f>
        <v>0</v>
      </c>
      <c r="L23">
        <f>COUNTIF(INDEX(Analysis!$D$6:$AL$500, , MATCH($B23, Analysis!$D$5:$AL$5, 0)), L$1)</f>
        <v>0</v>
      </c>
      <c r="M23">
        <f>COUNTIF(INDEX(Analysis!$D$6:$AL$500, , MATCH($B23, Analysis!$D$5:$AL$5, 0)), M$1)</f>
        <v>0</v>
      </c>
      <c r="N23">
        <f>COUNTIF(INDEX(Analysis!$D$6:$AL$500, , MATCH($B23, Analysis!$D$5:$AL$5, 0)), N$1)</f>
        <v>0</v>
      </c>
      <c r="O23" s="13" t="str">
        <f>IFERROR(SUM(SUBJECTS[[#This Row],[A1]:[C6]])/SUBJECTS[[#This Row],[No of Present Students]],"")</f>
        <v/>
      </c>
      <c r="P23" s="13" t="str">
        <f>IFERROR(SUM(SUBJECTS[[#This Row],[D7]:[F9]])/SUBJECTS[[#This Row],[No of Present Students]],"")</f>
        <v/>
      </c>
    </row>
    <row r="24" spans="1:16" x14ac:dyDescent="0.3">
      <c r="A24">
        <v>23</v>
      </c>
      <c r="B24" t="s">
        <v>33</v>
      </c>
      <c r="D24" cm="1">
        <f t="array" ref="D24">SUMPRODUCT(
  --(INDEX(Analysis!$D$6:$AL$500,,MATCH($B24,Analysis!$D$5:$AL$5,0))&lt;&gt;""),
  --(INDEX(Analysis!$D$6:$AL$500,,MATCH($B24,Analysis!$D$5:$AL$5,0))&lt;&gt;"ABS")
)</f>
        <v>0</v>
      </c>
      <c r="E24">
        <f>COUNTIF(INDEX(Analysis!$D$6:$AL$500, , MATCH($B24, Analysis!$D$5:$AL$5, 0)), E$1)</f>
        <v>0</v>
      </c>
      <c r="F24">
        <f>COUNTIF(INDEX(Analysis!$D$6:$AL$500, , MATCH($B24, Analysis!$D$5:$AL$5, 0)), F$1)</f>
        <v>0</v>
      </c>
      <c r="G24">
        <f>COUNTIF(INDEX(Analysis!$D$6:$AL$500, , MATCH($B24, Analysis!$D$5:$AL$5, 0)), G$1)</f>
        <v>0</v>
      </c>
      <c r="H24">
        <f>COUNTIF(INDEX(Analysis!$D$6:$AL$500, , MATCH($B24, Analysis!$D$5:$AL$5, 0)), H$1)</f>
        <v>0</v>
      </c>
      <c r="I24">
        <f>COUNTIF(INDEX(Analysis!$D$6:$AL$500, , MATCH($B24, Analysis!$D$5:$AL$5, 0)), I$1)</f>
        <v>0</v>
      </c>
      <c r="J24">
        <f>COUNTIF(INDEX(Analysis!$D$6:$AL$500, , MATCH($B24, Analysis!$D$5:$AL$5, 0)), J$1)</f>
        <v>0</v>
      </c>
      <c r="K24">
        <f>COUNTIF(INDEX(Analysis!$D$6:$AL$500, , MATCH($B24, Analysis!$D$5:$AL$5, 0)), K$1)</f>
        <v>0</v>
      </c>
      <c r="L24">
        <f>COUNTIF(INDEX(Analysis!$D$6:$AL$500, , MATCH($B24, Analysis!$D$5:$AL$5, 0)), L$1)</f>
        <v>0</v>
      </c>
      <c r="M24">
        <f>COUNTIF(INDEX(Analysis!$D$6:$AL$500, , MATCH($B24, Analysis!$D$5:$AL$5, 0)), M$1)</f>
        <v>0</v>
      </c>
      <c r="N24">
        <f>COUNTIF(INDEX(Analysis!$D$6:$AL$500, , MATCH($B24, Analysis!$D$5:$AL$5, 0)), N$1)</f>
        <v>0</v>
      </c>
      <c r="O24" s="13" t="str">
        <f>IFERROR(SUM(SUBJECTS[[#This Row],[A1]:[C6]])/SUBJECTS[[#This Row],[No of Present Students]],"")</f>
        <v/>
      </c>
      <c r="P24" s="13" t="str">
        <f>IFERROR(SUM(SUBJECTS[[#This Row],[D7]:[F9]])/SUBJECTS[[#This Row],[No of Present Students]],"")</f>
        <v/>
      </c>
    </row>
    <row r="25" spans="1:16" x14ac:dyDescent="0.3">
      <c r="A25">
        <v>24</v>
      </c>
      <c r="B25" t="s">
        <v>34</v>
      </c>
      <c r="D25" cm="1">
        <f t="array" ref="D25">SUMPRODUCT(
  --(INDEX(Analysis!$D$6:$AL$500,,MATCH($B25,Analysis!$D$5:$AL$5,0))&lt;&gt;""),
  --(INDEX(Analysis!$D$6:$AL$500,,MATCH($B25,Analysis!$D$5:$AL$5,0))&lt;&gt;"ABS")
)</f>
        <v>0</v>
      </c>
      <c r="E25">
        <f>COUNTIF(INDEX(Analysis!$D$6:$AL$500, , MATCH($B25, Analysis!$D$5:$AL$5, 0)), E$1)</f>
        <v>0</v>
      </c>
      <c r="F25">
        <f>COUNTIF(INDEX(Analysis!$D$6:$AL$500, , MATCH($B25, Analysis!$D$5:$AL$5, 0)), F$1)</f>
        <v>0</v>
      </c>
      <c r="G25">
        <f>COUNTIF(INDEX(Analysis!$D$6:$AL$500, , MATCH($B25, Analysis!$D$5:$AL$5, 0)), G$1)</f>
        <v>0</v>
      </c>
      <c r="H25">
        <f>COUNTIF(INDEX(Analysis!$D$6:$AL$500, , MATCH($B25, Analysis!$D$5:$AL$5, 0)), H$1)</f>
        <v>0</v>
      </c>
      <c r="I25">
        <f>COUNTIF(INDEX(Analysis!$D$6:$AL$500, , MATCH($B25, Analysis!$D$5:$AL$5, 0)), I$1)</f>
        <v>0</v>
      </c>
      <c r="J25">
        <f>COUNTIF(INDEX(Analysis!$D$6:$AL$500, , MATCH($B25, Analysis!$D$5:$AL$5, 0)), J$1)</f>
        <v>0</v>
      </c>
      <c r="K25">
        <f>COUNTIF(INDEX(Analysis!$D$6:$AL$500, , MATCH($B25, Analysis!$D$5:$AL$5, 0)), K$1)</f>
        <v>0</v>
      </c>
      <c r="L25">
        <f>COUNTIF(INDEX(Analysis!$D$6:$AL$500, , MATCH($B25, Analysis!$D$5:$AL$5, 0)), L$1)</f>
        <v>0</v>
      </c>
      <c r="M25">
        <f>COUNTIF(INDEX(Analysis!$D$6:$AL$500, , MATCH($B25, Analysis!$D$5:$AL$5, 0)), M$1)</f>
        <v>0</v>
      </c>
      <c r="N25">
        <f>COUNTIF(INDEX(Analysis!$D$6:$AL$500, , MATCH($B25, Analysis!$D$5:$AL$5, 0)), N$1)</f>
        <v>0</v>
      </c>
      <c r="O25" s="13" t="str">
        <f>IFERROR(SUM(SUBJECTS[[#This Row],[A1]:[C6]])/SUBJECTS[[#This Row],[No of Present Students]],"")</f>
        <v/>
      </c>
      <c r="P25" s="13" t="str">
        <f>IFERROR(SUM(SUBJECTS[[#This Row],[D7]:[F9]])/SUBJECTS[[#This Row],[No of Present Students]],"")</f>
        <v/>
      </c>
    </row>
    <row r="26" spans="1:16" x14ac:dyDescent="0.3">
      <c r="A26">
        <v>25</v>
      </c>
      <c r="B26" t="s">
        <v>35</v>
      </c>
      <c r="D26" cm="1">
        <f t="array" ref="D26">SUMPRODUCT(
  --(INDEX(Analysis!$D$6:$AL$500,,MATCH($B26,Analysis!$D$5:$AL$5,0))&lt;&gt;""),
  --(INDEX(Analysis!$D$6:$AL$500,,MATCH($B26,Analysis!$D$5:$AL$5,0))&lt;&gt;"ABS")
)</f>
        <v>0</v>
      </c>
      <c r="E26">
        <f>COUNTIF(INDEX(Analysis!$D$6:$AL$500, , MATCH($B26, Analysis!$D$5:$AL$5, 0)), E$1)</f>
        <v>0</v>
      </c>
      <c r="F26">
        <f>COUNTIF(INDEX(Analysis!$D$6:$AL$500, , MATCH($B26, Analysis!$D$5:$AL$5, 0)), F$1)</f>
        <v>0</v>
      </c>
      <c r="G26">
        <f>COUNTIF(INDEX(Analysis!$D$6:$AL$500, , MATCH($B26, Analysis!$D$5:$AL$5, 0)), G$1)</f>
        <v>0</v>
      </c>
      <c r="H26">
        <f>COUNTIF(INDEX(Analysis!$D$6:$AL$500, , MATCH($B26, Analysis!$D$5:$AL$5, 0)), H$1)</f>
        <v>0</v>
      </c>
      <c r="I26">
        <f>COUNTIF(INDEX(Analysis!$D$6:$AL$500, , MATCH($B26, Analysis!$D$5:$AL$5, 0)), I$1)</f>
        <v>0</v>
      </c>
      <c r="J26">
        <f>COUNTIF(INDEX(Analysis!$D$6:$AL$500, , MATCH($B26, Analysis!$D$5:$AL$5, 0)), J$1)</f>
        <v>0</v>
      </c>
      <c r="K26">
        <f>COUNTIF(INDEX(Analysis!$D$6:$AL$500, , MATCH($B26, Analysis!$D$5:$AL$5, 0)), K$1)</f>
        <v>0</v>
      </c>
      <c r="L26">
        <f>COUNTIF(INDEX(Analysis!$D$6:$AL$500, , MATCH($B26, Analysis!$D$5:$AL$5, 0)), L$1)</f>
        <v>0</v>
      </c>
      <c r="M26">
        <f>COUNTIF(INDEX(Analysis!$D$6:$AL$500, , MATCH($B26, Analysis!$D$5:$AL$5, 0)), M$1)</f>
        <v>0</v>
      </c>
      <c r="N26">
        <f>COUNTIF(INDEX(Analysis!$D$6:$AL$500, , MATCH($B26, Analysis!$D$5:$AL$5, 0)), N$1)</f>
        <v>0</v>
      </c>
      <c r="O26" s="13" t="str">
        <f>IFERROR(SUM(SUBJECTS[[#This Row],[A1]:[C6]])/SUBJECTS[[#This Row],[No of Present Students]],"")</f>
        <v/>
      </c>
      <c r="P26" s="13" t="str">
        <f>IFERROR(SUM(SUBJECTS[[#This Row],[D7]:[F9]])/SUBJECTS[[#This Row],[No of Present Students]],"")</f>
        <v/>
      </c>
    </row>
    <row r="27" spans="1:16" x14ac:dyDescent="0.3">
      <c r="A27">
        <v>26</v>
      </c>
      <c r="B27" t="s">
        <v>36</v>
      </c>
      <c r="D27" cm="1">
        <f t="array" ref="D27">SUMPRODUCT(
  --(INDEX(Analysis!$D$6:$AL$500,,MATCH($B27,Analysis!$D$5:$AL$5,0))&lt;&gt;""),
  --(INDEX(Analysis!$D$6:$AL$500,,MATCH($B27,Analysis!$D$5:$AL$5,0))&lt;&gt;"ABS")
)</f>
        <v>0</v>
      </c>
      <c r="E27">
        <f>COUNTIF(INDEX(Analysis!$D$6:$AL$500, , MATCH($B27, Analysis!$D$5:$AL$5, 0)), E$1)</f>
        <v>0</v>
      </c>
      <c r="F27">
        <f>COUNTIF(INDEX(Analysis!$D$6:$AL$500, , MATCH($B27, Analysis!$D$5:$AL$5, 0)), F$1)</f>
        <v>0</v>
      </c>
      <c r="G27">
        <f>COUNTIF(INDEX(Analysis!$D$6:$AL$500, , MATCH($B27, Analysis!$D$5:$AL$5, 0)), G$1)</f>
        <v>0</v>
      </c>
      <c r="H27">
        <f>COUNTIF(INDEX(Analysis!$D$6:$AL$500, , MATCH($B27, Analysis!$D$5:$AL$5, 0)), H$1)</f>
        <v>0</v>
      </c>
      <c r="I27">
        <f>COUNTIF(INDEX(Analysis!$D$6:$AL$500, , MATCH($B27, Analysis!$D$5:$AL$5, 0)), I$1)</f>
        <v>0</v>
      </c>
      <c r="J27">
        <f>COUNTIF(INDEX(Analysis!$D$6:$AL$500, , MATCH($B27, Analysis!$D$5:$AL$5, 0)), J$1)</f>
        <v>0</v>
      </c>
      <c r="K27">
        <f>COUNTIF(INDEX(Analysis!$D$6:$AL$500, , MATCH($B27, Analysis!$D$5:$AL$5, 0)), K$1)</f>
        <v>0</v>
      </c>
      <c r="L27">
        <f>COUNTIF(INDEX(Analysis!$D$6:$AL$500, , MATCH($B27, Analysis!$D$5:$AL$5, 0)), L$1)</f>
        <v>0</v>
      </c>
      <c r="M27">
        <f>COUNTIF(INDEX(Analysis!$D$6:$AL$500, , MATCH($B27, Analysis!$D$5:$AL$5, 0)), M$1)</f>
        <v>0</v>
      </c>
      <c r="N27">
        <f>COUNTIF(INDEX(Analysis!$D$6:$AL$500, , MATCH($B27, Analysis!$D$5:$AL$5, 0)), N$1)</f>
        <v>0</v>
      </c>
      <c r="O27" s="13" t="str">
        <f>IFERROR(SUM(SUBJECTS[[#This Row],[A1]:[C6]])/SUBJECTS[[#This Row],[No of Present Students]],"")</f>
        <v/>
      </c>
      <c r="P27" s="13" t="str">
        <f>IFERROR(SUM(SUBJECTS[[#This Row],[D7]:[F9]])/SUBJECTS[[#This Row],[No of Present Students]],"")</f>
        <v/>
      </c>
    </row>
    <row r="28" spans="1:16" x14ac:dyDescent="0.3">
      <c r="A28">
        <v>27</v>
      </c>
      <c r="B28" t="s">
        <v>37</v>
      </c>
      <c r="D28" cm="1">
        <f t="array" ref="D28">SUMPRODUCT(
  --(INDEX(Analysis!$D$6:$AL$500,,MATCH($B28,Analysis!$D$5:$AL$5,0))&lt;&gt;""),
  --(INDEX(Analysis!$D$6:$AL$500,,MATCH($B28,Analysis!$D$5:$AL$5,0))&lt;&gt;"ABS")
)</f>
        <v>0</v>
      </c>
      <c r="E28">
        <f>COUNTIF(INDEX(Analysis!$D$6:$AL$500, , MATCH($B28, Analysis!$D$5:$AL$5, 0)), E$1)</f>
        <v>0</v>
      </c>
      <c r="F28">
        <f>COUNTIF(INDEX(Analysis!$D$6:$AL$500, , MATCH($B28, Analysis!$D$5:$AL$5, 0)), F$1)</f>
        <v>0</v>
      </c>
      <c r="G28">
        <f>COUNTIF(INDEX(Analysis!$D$6:$AL$500, , MATCH($B28, Analysis!$D$5:$AL$5, 0)), G$1)</f>
        <v>0</v>
      </c>
      <c r="H28">
        <f>COUNTIF(INDEX(Analysis!$D$6:$AL$500, , MATCH($B28, Analysis!$D$5:$AL$5, 0)), H$1)</f>
        <v>0</v>
      </c>
      <c r="I28">
        <f>COUNTIF(INDEX(Analysis!$D$6:$AL$500, , MATCH($B28, Analysis!$D$5:$AL$5, 0)), I$1)</f>
        <v>0</v>
      </c>
      <c r="J28">
        <f>COUNTIF(INDEX(Analysis!$D$6:$AL$500, , MATCH($B28, Analysis!$D$5:$AL$5, 0)), J$1)</f>
        <v>0</v>
      </c>
      <c r="K28">
        <f>COUNTIF(INDEX(Analysis!$D$6:$AL$500, , MATCH($B28, Analysis!$D$5:$AL$5, 0)), K$1)</f>
        <v>0</v>
      </c>
      <c r="L28">
        <f>COUNTIF(INDEX(Analysis!$D$6:$AL$500, , MATCH($B28, Analysis!$D$5:$AL$5, 0)), L$1)</f>
        <v>0</v>
      </c>
      <c r="M28">
        <f>COUNTIF(INDEX(Analysis!$D$6:$AL$500, , MATCH($B28, Analysis!$D$5:$AL$5, 0)), M$1)</f>
        <v>0</v>
      </c>
      <c r="N28">
        <f>COUNTIF(INDEX(Analysis!$D$6:$AL$500, , MATCH($B28, Analysis!$D$5:$AL$5, 0)), N$1)</f>
        <v>0</v>
      </c>
      <c r="O28" s="13" t="str">
        <f>IFERROR(SUM(SUBJECTS[[#This Row],[A1]:[C6]])/SUBJECTS[[#This Row],[No of Present Students]],"")</f>
        <v/>
      </c>
      <c r="P28" s="13" t="str">
        <f>IFERROR(SUM(SUBJECTS[[#This Row],[D7]:[F9]])/SUBJECTS[[#This Row],[No of Present Students]],"")</f>
        <v/>
      </c>
    </row>
    <row r="29" spans="1:16" x14ac:dyDescent="0.3">
      <c r="A29">
        <v>28</v>
      </c>
      <c r="B29" t="s">
        <v>38</v>
      </c>
      <c r="D29" cm="1">
        <f t="array" ref="D29">SUMPRODUCT(
  --(INDEX(Analysis!$D$6:$AL$500,,MATCH($B29,Analysis!$D$5:$AL$5,0))&lt;&gt;""),
  --(INDEX(Analysis!$D$6:$AL$500,,MATCH($B29,Analysis!$D$5:$AL$5,0))&lt;&gt;"ABS")
)</f>
        <v>0</v>
      </c>
      <c r="E29">
        <f>COUNTIF(INDEX(Analysis!$D$6:$AL$500, , MATCH($B29, Analysis!$D$5:$AL$5, 0)), E$1)</f>
        <v>0</v>
      </c>
      <c r="F29">
        <f>COUNTIF(INDEX(Analysis!$D$6:$AL$500, , MATCH($B29, Analysis!$D$5:$AL$5, 0)), F$1)</f>
        <v>0</v>
      </c>
      <c r="G29">
        <f>COUNTIF(INDEX(Analysis!$D$6:$AL$500, , MATCH($B29, Analysis!$D$5:$AL$5, 0)), G$1)</f>
        <v>0</v>
      </c>
      <c r="H29">
        <f>COUNTIF(INDEX(Analysis!$D$6:$AL$500, , MATCH($B29, Analysis!$D$5:$AL$5, 0)), H$1)</f>
        <v>0</v>
      </c>
      <c r="I29">
        <f>COUNTIF(INDEX(Analysis!$D$6:$AL$500, , MATCH($B29, Analysis!$D$5:$AL$5, 0)), I$1)</f>
        <v>0</v>
      </c>
      <c r="J29">
        <f>COUNTIF(INDEX(Analysis!$D$6:$AL$500, , MATCH($B29, Analysis!$D$5:$AL$5, 0)), J$1)</f>
        <v>0</v>
      </c>
      <c r="K29">
        <f>COUNTIF(INDEX(Analysis!$D$6:$AL$500, , MATCH($B29, Analysis!$D$5:$AL$5, 0)), K$1)</f>
        <v>0</v>
      </c>
      <c r="L29">
        <f>COUNTIF(INDEX(Analysis!$D$6:$AL$500, , MATCH($B29, Analysis!$D$5:$AL$5, 0)), L$1)</f>
        <v>0</v>
      </c>
      <c r="M29">
        <f>COUNTIF(INDEX(Analysis!$D$6:$AL$500, , MATCH($B29, Analysis!$D$5:$AL$5, 0)), M$1)</f>
        <v>0</v>
      </c>
      <c r="N29">
        <f>COUNTIF(INDEX(Analysis!$D$6:$AL$500, , MATCH($B29, Analysis!$D$5:$AL$5, 0)), N$1)</f>
        <v>0</v>
      </c>
      <c r="O29" s="13" t="str">
        <f>IFERROR(SUM(SUBJECTS[[#This Row],[A1]:[C6]])/SUBJECTS[[#This Row],[No of Present Students]],"")</f>
        <v/>
      </c>
      <c r="P29" s="13" t="str">
        <f>IFERROR(SUM(SUBJECTS[[#This Row],[D7]:[F9]])/SUBJECTS[[#This Row],[No of Present Students]],"")</f>
        <v/>
      </c>
    </row>
    <row r="30" spans="1:16" x14ac:dyDescent="0.3">
      <c r="A30">
        <v>29</v>
      </c>
      <c r="B30" t="s">
        <v>39</v>
      </c>
      <c r="D30" cm="1">
        <f t="array" ref="D30">SUMPRODUCT(
  --(INDEX(Analysis!$D$6:$AL$500,,MATCH($B30,Analysis!$D$5:$AL$5,0))&lt;&gt;""),
  --(INDEX(Analysis!$D$6:$AL$500,,MATCH($B30,Analysis!$D$5:$AL$5,0))&lt;&gt;"ABS")
)</f>
        <v>0</v>
      </c>
      <c r="E30">
        <f>COUNTIF(INDEX(Analysis!$D$6:$AL$500, , MATCH($B30, Analysis!$D$5:$AL$5, 0)), E$1)</f>
        <v>0</v>
      </c>
      <c r="F30">
        <f>COUNTIF(INDEX(Analysis!$D$6:$AL$500, , MATCH($B30, Analysis!$D$5:$AL$5, 0)), F$1)</f>
        <v>0</v>
      </c>
      <c r="G30">
        <f>COUNTIF(INDEX(Analysis!$D$6:$AL$500, , MATCH($B30, Analysis!$D$5:$AL$5, 0)), G$1)</f>
        <v>0</v>
      </c>
      <c r="H30">
        <f>COUNTIF(INDEX(Analysis!$D$6:$AL$500, , MATCH($B30, Analysis!$D$5:$AL$5, 0)), H$1)</f>
        <v>0</v>
      </c>
      <c r="I30">
        <f>COUNTIF(INDEX(Analysis!$D$6:$AL$500, , MATCH($B30, Analysis!$D$5:$AL$5, 0)), I$1)</f>
        <v>0</v>
      </c>
      <c r="J30">
        <f>COUNTIF(INDEX(Analysis!$D$6:$AL$500, , MATCH($B30, Analysis!$D$5:$AL$5, 0)), J$1)</f>
        <v>0</v>
      </c>
      <c r="K30">
        <f>COUNTIF(INDEX(Analysis!$D$6:$AL$500, , MATCH($B30, Analysis!$D$5:$AL$5, 0)), K$1)</f>
        <v>0</v>
      </c>
      <c r="L30">
        <f>COUNTIF(INDEX(Analysis!$D$6:$AL$500, , MATCH($B30, Analysis!$D$5:$AL$5, 0)), L$1)</f>
        <v>0</v>
      </c>
      <c r="M30">
        <f>COUNTIF(INDEX(Analysis!$D$6:$AL$500, , MATCH($B30, Analysis!$D$5:$AL$5, 0)), M$1)</f>
        <v>0</v>
      </c>
      <c r="N30">
        <f>COUNTIF(INDEX(Analysis!$D$6:$AL$500, , MATCH($B30, Analysis!$D$5:$AL$5, 0)), N$1)</f>
        <v>0</v>
      </c>
      <c r="O30" s="13" t="str">
        <f>IFERROR(SUM(SUBJECTS[[#This Row],[A1]:[C6]])/SUBJECTS[[#This Row],[No of Present Students]],"")</f>
        <v/>
      </c>
      <c r="P30" s="13" t="str">
        <f>IFERROR(SUM(SUBJECTS[[#This Row],[D7]:[F9]])/SUBJECTS[[#This Row],[No of Present Students]],"")</f>
        <v/>
      </c>
    </row>
    <row r="31" spans="1:16" x14ac:dyDescent="0.3">
      <c r="A31">
        <v>30</v>
      </c>
      <c r="B31" t="s">
        <v>40</v>
      </c>
      <c r="D31" cm="1">
        <f t="array" ref="D31">SUMPRODUCT(
  --(INDEX(Analysis!$D$6:$AL$500,,MATCH($B31,Analysis!$D$5:$AL$5,0))&lt;&gt;""),
  --(INDEX(Analysis!$D$6:$AL$500,,MATCH($B31,Analysis!$D$5:$AL$5,0))&lt;&gt;"ABS")
)</f>
        <v>0</v>
      </c>
      <c r="E31">
        <f>COUNTIF(INDEX(Analysis!$D$6:$AL$500, , MATCH($B31, Analysis!$D$5:$AL$5, 0)), E$1)</f>
        <v>0</v>
      </c>
      <c r="F31">
        <f>COUNTIF(INDEX(Analysis!$D$6:$AL$500, , MATCH($B31, Analysis!$D$5:$AL$5, 0)), F$1)</f>
        <v>0</v>
      </c>
      <c r="G31">
        <f>COUNTIF(INDEX(Analysis!$D$6:$AL$500, , MATCH($B31, Analysis!$D$5:$AL$5, 0)), G$1)</f>
        <v>0</v>
      </c>
      <c r="H31">
        <f>COUNTIF(INDEX(Analysis!$D$6:$AL$500, , MATCH($B31, Analysis!$D$5:$AL$5, 0)), H$1)</f>
        <v>0</v>
      </c>
      <c r="I31">
        <f>COUNTIF(INDEX(Analysis!$D$6:$AL$500, , MATCH($B31, Analysis!$D$5:$AL$5, 0)), I$1)</f>
        <v>0</v>
      </c>
      <c r="J31">
        <f>COUNTIF(INDEX(Analysis!$D$6:$AL$500, , MATCH($B31, Analysis!$D$5:$AL$5, 0)), J$1)</f>
        <v>0</v>
      </c>
      <c r="K31">
        <f>COUNTIF(INDEX(Analysis!$D$6:$AL$500, , MATCH($B31, Analysis!$D$5:$AL$5, 0)), K$1)</f>
        <v>0</v>
      </c>
      <c r="L31">
        <f>COUNTIF(INDEX(Analysis!$D$6:$AL$500, , MATCH($B31, Analysis!$D$5:$AL$5, 0)), L$1)</f>
        <v>0</v>
      </c>
      <c r="M31">
        <f>COUNTIF(INDEX(Analysis!$D$6:$AL$500, , MATCH($B31, Analysis!$D$5:$AL$5, 0)), M$1)</f>
        <v>0</v>
      </c>
      <c r="N31">
        <f>COUNTIF(INDEX(Analysis!$D$6:$AL$500, , MATCH($B31, Analysis!$D$5:$AL$5, 0)), N$1)</f>
        <v>0</v>
      </c>
      <c r="O31" s="13" t="str">
        <f>IFERROR(SUM(SUBJECTS[[#This Row],[A1]:[C6]])/SUBJECTS[[#This Row],[No of Present Students]],"")</f>
        <v/>
      </c>
      <c r="P31" s="13" t="str">
        <f>IFERROR(SUM(SUBJECTS[[#This Row],[D7]:[F9]])/SUBJECTS[[#This Row],[No of Present Students]],"")</f>
        <v/>
      </c>
    </row>
    <row r="32" spans="1:16" x14ac:dyDescent="0.3">
      <c r="A32">
        <v>31</v>
      </c>
      <c r="B32" t="s">
        <v>41</v>
      </c>
      <c r="D32" cm="1">
        <f t="array" ref="D32">SUMPRODUCT(
  --(INDEX(Analysis!$D$6:$AL$500,,MATCH($B32,Analysis!$D$5:$AL$5,0))&lt;&gt;""),
  --(INDEX(Analysis!$D$6:$AL$500,,MATCH($B32,Analysis!$D$5:$AL$5,0))&lt;&gt;"ABS")
)</f>
        <v>0</v>
      </c>
      <c r="E32">
        <f>COUNTIF(INDEX(Analysis!$D$6:$AL$500, , MATCH($B32, Analysis!$D$5:$AL$5, 0)), E$1)</f>
        <v>0</v>
      </c>
      <c r="F32">
        <f>COUNTIF(INDEX(Analysis!$D$6:$AL$500, , MATCH($B32, Analysis!$D$5:$AL$5, 0)), F$1)</f>
        <v>0</v>
      </c>
      <c r="G32">
        <f>COUNTIF(INDEX(Analysis!$D$6:$AL$500, , MATCH($B32, Analysis!$D$5:$AL$5, 0)), G$1)</f>
        <v>0</v>
      </c>
      <c r="H32">
        <f>COUNTIF(INDEX(Analysis!$D$6:$AL$500, , MATCH($B32, Analysis!$D$5:$AL$5, 0)), H$1)</f>
        <v>0</v>
      </c>
      <c r="I32">
        <f>COUNTIF(INDEX(Analysis!$D$6:$AL$500, , MATCH($B32, Analysis!$D$5:$AL$5, 0)), I$1)</f>
        <v>0</v>
      </c>
      <c r="J32">
        <f>COUNTIF(INDEX(Analysis!$D$6:$AL$500, , MATCH($B32, Analysis!$D$5:$AL$5, 0)), J$1)</f>
        <v>0</v>
      </c>
      <c r="K32">
        <f>COUNTIF(INDEX(Analysis!$D$6:$AL$500, , MATCH($B32, Analysis!$D$5:$AL$5, 0)), K$1)</f>
        <v>0</v>
      </c>
      <c r="L32">
        <f>COUNTIF(INDEX(Analysis!$D$6:$AL$500, , MATCH($B32, Analysis!$D$5:$AL$5, 0)), L$1)</f>
        <v>0</v>
      </c>
      <c r="M32">
        <f>COUNTIF(INDEX(Analysis!$D$6:$AL$500, , MATCH($B32, Analysis!$D$5:$AL$5, 0)), M$1)</f>
        <v>0</v>
      </c>
      <c r="N32">
        <f>COUNTIF(INDEX(Analysis!$D$6:$AL$500, , MATCH($B32, Analysis!$D$5:$AL$5, 0)), N$1)</f>
        <v>0</v>
      </c>
      <c r="O32" s="13" t="str">
        <f>IFERROR(SUM(SUBJECTS[[#This Row],[A1]:[C6]])/SUBJECTS[[#This Row],[No of Present Students]],"")</f>
        <v/>
      </c>
      <c r="P32" s="13" t="str">
        <f>IFERROR(SUM(SUBJECTS[[#This Row],[D7]:[F9]])/SUBJECTS[[#This Row],[No of Present Students]],"")</f>
        <v/>
      </c>
    </row>
    <row r="33" spans="1:16" x14ac:dyDescent="0.3">
      <c r="A33">
        <v>32</v>
      </c>
      <c r="B33" t="s">
        <v>42</v>
      </c>
      <c r="D33" cm="1">
        <f t="array" ref="D33">SUMPRODUCT(
  --(INDEX(Analysis!$D$6:$AL$500,,MATCH($B33,Analysis!$D$5:$AL$5,0))&lt;&gt;""),
  --(INDEX(Analysis!$D$6:$AL$500,,MATCH($B33,Analysis!$D$5:$AL$5,0))&lt;&gt;"ABS")
)</f>
        <v>0</v>
      </c>
      <c r="E33">
        <f>COUNTIF(INDEX(Analysis!$D$6:$AL$500, , MATCH($B33, Analysis!$D$5:$AL$5, 0)), E$1)</f>
        <v>0</v>
      </c>
      <c r="F33">
        <f>COUNTIF(INDEX(Analysis!$D$6:$AL$500, , MATCH($B33, Analysis!$D$5:$AL$5, 0)), F$1)</f>
        <v>0</v>
      </c>
      <c r="G33">
        <f>COUNTIF(INDEX(Analysis!$D$6:$AL$500, , MATCH($B33, Analysis!$D$5:$AL$5, 0)), G$1)</f>
        <v>0</v>
      </c>
      <c r="H33">
        <f>COUNTIF(INDEX(Analysis!$D$6:$AL$500, , MATCH($B33, Analysis!$D$5:$AL$5, 0)), H$1)</f>
        <v>0</v>
      </c>
      <c r="I33">
        <f>COUNTIF(INDEX(Analysis!$D$6:$AL$500, , MATCH($B33, Analysis!$D$5:$AL$5, 0)), I$1)</f>
        <v>0</v>
      </c>
      <c r="J33">
        <f>COUNTIF(INDEX(Analysis!$D$6:$AL$500, , MATCH($B33, Analysis!$D$5:$AL$5, 0)), J$1)</f>
        <v>0</v>
      </c>
      <c r="K33">
        <f>COUNTIF(INDEX(Analysis!$D$6:$AL$500, , MATCH($B33, Analysis!$D$5:$AL$5, 0)), K$1)</f>
        <v>0</v>
      </c>
      <c r="L33">
        <f>COUNTIF(INDEX(Analysis!$D$6:$AL$500, , MATCH($B33, Analysis!$D$5:$AL$5, 0)), L$1)</f>
        <v>0</v>
      </c>
      <c r="M33">
        <f>COUNTIF(INDEX(Analysis!$D$6:$AL$500, , MATCH($B33, Analysis!$D$5:$AL$5, 0)), M$1)</f>
        <v>0</v>
      </c>
      <c r="N33">
        <f>COUNTIF(INDEX(Analysis!$D$6:$AL$500, , MATCH($B33, Analysis!$D$5:$AL$5, 0)), N$1)</f>
        <v>0</v>
      </c>
      <c r="O33" s="13" t="str">
        <f>IFERROR(SUM(SUBJECTS[[#This Row],[A1]:[C6]])/SUBJECTS[[#This Row],[No of Present Students]],"")</f>
        <v/>
      </c>
      <c r="P33" s="13" t="str">
        <f>IFERROR(SUM(SUBJECTS[[#This Row],[D7]:[F9]])/SUBJECTS[[#This Row],[No of Present Students]],"")</f>
        <v/>
      </c>
    </row>
    <row r="34" spans="1:16" x14ac:dyDescent="0.3">
      <c r="A34">
        <v>33</v>
      </c>
      <c r="B34" t="s">
        <v>43</v>
      </c>
      <c r="D34" cm="1">
        <f t="array" ref="D34">SUMPRODUCT(
  --(INDEX(Analysis!$D$6:$AL$500,,MATCH($B34,Analysis!$D$5:$AL$5,0))&lt;&gt;""),
  --(INDEX(Analysis!$D$6:$AL$500,,MATCH($B34,Analysis!$D$5:$AL$5,0))&lt;&gt;"ABS")
)</f>
        <v>0</v>
      </c>
      <c r="E34">
        <f>COUNTIF(INDEX(Analysis!$D$6:$AL$500, , MATCH($B34, Analysis!$D$5:$AL$5, 0)), E$1)</f>
        <v>0</v>
      </c>
      <c r="F34">
        <f>COUNTIF(INDEX(Analysis!$D$6:$AL$500, , MATCH($B34, Analysis!$D$5:$AL$5, 0)), F$1)</f>
        <v>0</v>
      </c>
      <c r="G34">
        <f>COUNTIF(INDEX(Analysis!$D$6:$AL$500, , MATCH($B34, Analysis!$D$5:$AL$5, 0)), G$1)</f>
        <v>0</v>
      </c>
      <c r="H34">
        <f>COUNTIF(INDEX(Analysis!$D$6:$AL$500, , MATCH($B34, Analysis!$D$5:$AL$5, 0)), H$1)</f>
        <v>0</v>
      </c>
      <c r="I34">
        <f>COUNTIF(INDEX(Analysis!$D$6:$AL$500, , MATCH($B34, Analysis!$D$5:$AL$5, 0)), I$1)</f>
        <v>0</v>
      </c>
      <c r="J34">
        <f>COUNTIF(INDEX(Analysis!$D$6:$AL$500, , MATCH($B34, Analysis!$D$5:$AL$5, 0)), J$1)</f>
        <v>0</v>
      </c>
      <c r="K34">
        <f>COUNTIF(INDEX(Analysis!$D$6:$AL$500, , MATCH($B34, Analysis!$D$5:$AL$5, 0)), K$1)</f>
        <v>0</v>
      </c>
      <c r="L34">
        <f>COUNTIF(INDEX(Analysis!$D$6:$AL$500, , MATCH($B34, Analysis!$D$5:$AL$5, 0)), L$1)</f>
        <v>0</v>
      </c>
      <c r="M34">
        <f>COUNTIF(INDEX(Analysis!$D$6:$AL$500, , MATCH($B34, Analysis!$D$5:$AL$5, 0)), M$1)</f>
        <v>0</v>
      </c>
      <c r="N34">
        <f>COUNTIF(INDEX(Analysis!$D$6:$AL$500, , MATCH($B34, Analysis!$D$5:$AL$5, 0)), N$1)</f>
        <v>0</v>
      </c>
      <c r="O34" s="13" t="str">
        <f>IFERROR(SUM(SUBJECTS[[#This Row],[A1]:[C6]])/SUBJECTS[[#This Row],[No of Present Students]],"")</f>
        <v/>
      </c>
      <c r="P34" s="13" t="str">
        <f>IFERROR(SUM(SUBJECTS[[#This Row],[D7]:[F9]])/SUBJECTS[[#This Row],[No of Present Students]],"")</f>
        <v/>
      </c>
    </row>
    <row r="35" spans="1:16" x14ac:dyDescent="0.3">
      <c r="A35">
        <v>34</v>
      </c>
      <c r="B35" t="s">
        <v>44</v>
      </c>
      <c r="D35" cm="1">
        <f t="array" ref="D35">SUMPRODUCT(
  --(INDEX(Analysis!$D$6:$AL$500,,MATCH($B35,Analysis!$D$5:$AL$5,0))&lt;&gt;""),
  --(INDEX(Analysis!$D$6:$AL$500,,MATCH($B35,Analysis!$D$5:$AL$5,0))&lt;&gt;"ABS")
)</f>
        <v>0</v>
      </c>
      <c r="E35">
        <f>COUNTIF(INDEX(Analysis!$D$6:$AL$500, , MATCH($B35, Analysis!$D$5:$AL$5, 0)), E$1)</f>
        <v>0</v>
      </c>
      <c r="F35">
        <f>COUNTIF(INDEX(Analysis!$D$6:$AL$500, , MATCH($B35, Analysis!$D$5:$AL$5, 0)), F$1)</f>
        <v>0</v>
      </c>
      <c r="G35">
        <f>COUNTIF(INDEX(Analysis!$D$6:$AL$500, , MATCH($B35, Analysis!$D$5:$AL$5, 0)), G$1)</f>
        <v>0</v>
      </c>
      <c r="H35">
        <f>COUNTIF(INDEX(Analysis!$D$6:$AL$500, , MATCH($B35, Analysis!$D$5:$AL$5, 0)), H$1)</f>
        <v>0</v>
      </c>
      <c r="I35">
        <f>COUNTIF(INDEX(Analysis!$D$6:$AL$500, , MATCH($B35, Analysis!$D$5:$AL$5, 0)), I$1)</f>
        <v>0</v>
      </c>
      <c r="J35">
        <f>COUNTIF(INDEX(Analysis!$D$6:$AL$500, , MATCH($B35, Analysis!$D$5:$AL$5, 0)), J$1)</f>
        <v>0</v>
      </c>
      <c r="K35">
        <f>COUNTIF(INDEX(Analysis!$D$6:$AL$500, , MATCH($B35, Analysis!$D$5:$AL$5, 0)), K$1)</f>
        <v>0</v>
      </c>
      <c r="L35">
        <f>COUNTIF(INDEX(Analysis!$D$6:$AL$500, , MATCH($B35, Analysis!$D$5:$AL$5, 0)), L$1)</f>
        <v>0</v>
      </c>
      <c r="M35">
        <f>COUNTIF(INDEX(Analysis!$D$6:$AL$500, , MATCH($B35, Analysis!$D$5:$AL$5, 0)), M$1)</f>
        <v>0</v>
      </c>
      <c r="N35">
        <f>COUNTIF(INDEX(Analysis!$D$6:$AL$500, , MATCH($B35, Analysis!$D$5:$AL$5, 0)), N$1)</f>
        <v>0</v>
      </c>
      <c r="O35" s="13" t="str">
        <f>IFERROR(SUM(SUBJECTS[[#This Row],[A1]:[C6]])/SUBJECTS[[#This Row],[No of Present Students]],"")</f>
        <v/>
      </c>
      <c r="P35" s="13" t="str">
        <f>IFERROR(SUM(SUBJECTS[[#This Row],[D7]:[F9]])/SUBJECTS[[#This Row],[No of Present Students]],"")</f>
        <v/>
      </c>
    </row>
    <row r="36" spans="1:16" x14ac:dyDescent="0.3">
      <c r="A36">
        <v>35</v>
      </c>
      <c r="B36" t="s">
        <v>45</v>
      </c>
      <c r="D36" cm="1">
        <f t="array" ref="D36">SUMPRODUCT(
  --(INDEX(Analysis!$D$6:$AL$500,,MATCH($B36,Analysis!$D$5:$AL$5,0))&lt;&gt;""),
  --(INDEX(Analysis!$D$6:$AL$500,,MATCH($B36,Analysis!$D$5:$AL$5,0))&lt;&gt;"ABS")
)</f>
        <v>0</v>
      </c>
      <c r="E36">
        <f>COUNTIF(INDEX(Analysis!$D$6:$AL$500, , MATCH($B36, Analysis!$D$5:$AL$5, 0)), E$1)</f>
        <v>0</v>
      </c>
      <c r="F36">
        <f>COUNTIF(INDEX(Analysis!$D$6:$AL$500, , MATCH($B36, Analysis!$D$5:$AL$5, 0)), F$1)</f>
        <v>0</v>
      </c>
      <c r="G36">
        <f>COUNTIF(INDEX(Analysis!$D$6:$AL$500, , MATCH($B36, Analysis!$D$5:$AL$5, 0)), G$1)</f>
        <v>0</v>
      </c>
      <c r="H36">
        <f>COUNTIF(INDEX(Analysis!$D$6:$AL$500, , MATCH($B36, Analysis!$D$5:$AL$5, 0)), H$1)</f>
        <v>0</v>
      </c>
      <c r="I36">
        <f>COUNTIF(INDEX(Analysis!$D$6:$AL$500, , MATCH($B36, Analysis!$D$5:$AL$5, 0)), I$1)</f>
        <v>0</v>
      </c>
      <c r="J36">
        <f>COUNTIF(INDEX(Analysis!$D$6:$AL$500, , MATCH($B36, Analysis!$D$5:$AL$5, 0)), J$1)</f>
        <v>0</v>
      </c>
      <c r="K36">
        <f>COUNTIF(INDEX(Analysis!$D$6:$AL$500, , MATCH($B36, Analysis!$D$5:$AL$5, 0)), K$1)</f>
        <v>0</v>
      </c>
      <c r="L36">
        <f>COUNTIF(INDEX(Analysis!$D$6:$AL$500, , MATCH($B36, Analysis!$D$5:$AL$5, 0)), L$1)</f>
        <v>0</v>
      </c>
      <c r="M36">
        <f>COUNTIF(INDEX(Analysis!$D$6:$AL$500, , MATCH($B36, Analysis!$D$5:$AL$5, 0)), M$1)</f>
        <v>0</v>
      </c>
      <c r="N36">
        <f>COUNTIF(INDEX(Analysis!$D$6:$AL$500, , MATCH($B36, Analysis!$D$5:$AL$5, 0)), N$1)</f>
        <v>0</v>
      </c>
      <c r="O36" s="13" t="str">
        <f>IFERROR(SUM(SUBJECTS[[#This Row],[A1]:[C6]])/SUBJECTS[[#This Row],[No of Present Students]],"")</f>
        <v/>
      </c>
      <c r="P36" s="13" t="str">
        <f>IFERROR(SUM(SUBJECTS[[#This Row],[D7]:[F9]])/SUBJECTS[[#This Row],[No of Present Students]],"")</f>
        <v/>
      </c>
    </row>
    <row r="501" spans="1:2" x14ac:dyDescent="0.3">
      <c r="A501" t="s">
        <v>0</v>
      </c>
      <c r="B501" t="s">
        <v>1</v>
      </c>
    </row>
    <row r="502" spans="1:2" x14ac:dyDescent="0.3">
      <c r="A502" t="s">
        <v>2</v>
      </c>
      <c r="B502">
        <v>8</v>
      </c>
    </row>
    <row r="503" spans="1:2" x14ac:dyDescent="0.3">
      <c r="A503" t="s">
        <v>3</v>
      </c>
      <c r="B503">
        <v>7</v>
      </c>
    </row>
    <row r="504" spans="1:2" x14ac:dyDescent="0.3">
      <c r="A504" t="s">
        <v>4</v>
      </c>
      <c r="B504">
        <v>6</v>
      </c>
    </row>
    <row r="505" spans="1:2" x14ac:dyDescent="0.3">
      <c r="A505" t="s">
        <v>5</v>
      </c>
      <c r="B505">
        <v>5</v>
      </c>
    </row>
    <row r="506" spans="1:2" x14ac:dyDescent="0.3">
      <c r="A506" t="s">
        <v>6</v>
      </c>
      <c r="B506">
        <v>4</v>
      </c>
    </row>
    <row r="507" spans="1:2" x14ac:dyDescent="0.3">
      <c r="A507" t="s">
        <v>7</v>
      </c>
      <c r="B507">
        <v>3</v>
      </c>
    </row>
    <row r="508" spans="1:2" x14ac:dyDescent="0.3">
      <c r="A508" t="s">
        <v>8</v>
      </c>
      <c r="B508">
        <v>2</v>
      </c>
    </row>
    <row r="509" spans="1:2" x14ac:dyDescent="0.3">
      <c r="A509" t="s">
        <v>9</v>
      </c>
      <c r="B509">
        <v>1</v>
      </c>
    </row>
    <row r="510" spans="1:2" x14ac:dyDescent="0.3">
      <c r="A510" t="s">
        <v>10</v>
      </c>
      <c r="B510">
        <v>0</v>
      </c>
    </row>
    <row r="511" spans="1:2" x14ac:dyDescent="0.3">
      <c r="A511" t="s">
        <v>52</v>
      </c>
      <c r="B511" t="s">
        <v>53</v>
      </c>
    </row>
    <row r="512" spans="1:2" x14ac:dyDescent="0.3">
      <c r="A512" t="s">
        <v>54</v>
      </c>
      <c r="B512" t="s">
        <v>54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Entry_Sheet</vt:lpstr>
      <vt:lpstr>Result_Database</vt:lpstr>
      <vt:lpstr>Backend</vt:lpstr>
      <vt:lpstr>Analysis</vt:lpstr>
      <vt:lpstr>Result_Summary</vt:lpstr>
      <vt:lpstr>Subject_Analysis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uthman toyyib</cp:lastModifiedBy>
  <dcterms:created xsi:type="dcterms:W3CDTF">2025-07-22T18:24:37Z</dcterms:created>
  <dcterms:modified xsi:type="dcterms:W3CDTF">2026-01-05T14:02:23Z</dcterms:modified>
</cp:coreProperties>
</file>